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ttom\Downloads\"/>
    </mc:Choice>
  </mc:AlternateContent>
  <xr:revisionPtr revIDLastSave="0" documentId="13_ncr:1_{DBDCB95C-C71B-4914-A628-40918771A95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CF" sheetId="7" r:id="rId1"/>
    <sheet name="AUM" sheetId="9" r:id="rId2"/>
    <sheet name="Overview" sheetId="1" r:id="rId3"/>
    <sheet name="Comparable Analysis" sheetId="10" r:id="rId4"/>
    <sheet name="Capital structure" sheetId="6" r:id="rId5"/>
    <sheet name="Monte Carlo" sheetId="8" r:id="rId6"/>
    <sheet name="Tuloslaskelma" sheetId="2" state="hidden" r:id="rId7"/>
    <sheet name="Tase" sheetId="3" state="hidden" r:id="rId8"/>
    <sheet name="Rahavirtalaskelma" sheetId="4" state="hidden" r:id="rId9"/>
    <sheet name="Hinta" sheetId="5" r:id="rId10"/>
  </sheets>
  <definedNames>
    <definedName name="_xlchart.v1.0" hidden="1">'Monte Carlo'!$H$16:$H$2116</definedName>
    <definedName name="_xlchart.v1.1" hidden="1">'Monte Carlo'!$H$16:$H$2116</definedName>
    <definedName name="_xlchart.v1.2" hidden="1">'Monte Carlo'!$H$16:$H$2116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8" l="1"/>
  <c r="H12" i="8"/>
  <c r="G12" i="8"/>
  <c r="F12" i="8"/>
  <c r="E12" i="8"/>
  <c r="D12" i="8"/>
  <c r="C12" i="8"/>
  <c r="I11" i="8"/>
  <c r="H11" i="8"/>
  <c r="G11" i="8"/>
  <c r="F11" i="8"/>
  <c r="E11" i="8"/>
  <c r="D11" i="8"/>
  <c r="C11" i="8"/>
  <c r="C10" i="8"/>
  <c r="C9" i="8"/>
  <c r="C8" i="8"/>
  <c r="C6" i="8"/>
  <c r="O19" i="10"/>
  <c r="N19" i="10"/>
  <c r="O18" i="10"/>
  <c r="N18" i="10"/>
  <c r="O17" i="10"/>
  <c r="N17" i="10"/>
  <c r="O16" i="10"/>
  <c r="N16" i="10"/>
  <c r="O15" i="10"/>
  <c r="N15" i="10"/>
  <c r="O14" i="10"/>
  <c r="N14" i="10"/>
  <c r="M19" i="10"/>
  <c r="M18" i="10"/>
  <c r="M17" i="10"/>
  <c r="M16" i="10"/>
  <c r="M15" i="10"/>
  <c r="M14" i="10"/>
  <c r="E20" i="10"/>
  <c r="D20" i="10"/>
  <c r="C20" i="10"/>
  <c r="E17" i="10"/>
  <c r="O12" i="10"/>
  <c r="O11" i="10"/>
  <c r="O10" i="10"/>
  <c r="O9" i="10"/>
  <c r="O8" i="10"/>
  <c r="O7" i="10"/>
  <c r="E19" i="10"/>
  <c r="E21" i="10" s="1"/>
  <c r="D18" i="10"/>
  <c r="D17" i="10"/>
  <c r="D19" i="10" s="1"/>
  <c r="D21" i="10" s="1"/>
  <c r="C18" i="10"/>
  <c r="C17" i="10"/>
  <c r="C19" i="10" s="1"/>
  <c r="C21" i="10" s="1"/>
  <c r="N12" i="10"/>
  <c r="N11" i="10"/>
  <c r="N10" i="10"/>
  <c r="N9" i="10"/>
  <c r="N8" i="10"/>
  <c r="N7" i="10"/>
  <c r="M12" i="10"/>
  <c r="M11" i="10"/>
  <c r="M10" i="10"/>
  <c r="M9" i="10"/>
  <c r="M8" i="10"/>
  <c r="M7" i="10"/>
  <c r="H29" i="1"/>
  <c r="E15" i="1"/>
  <c r="E14" i="1"/>
  <c r="E13" i="1"/>
  <c r="E12" i="1"/>
  <c r="E11" i="1"/>
  <c r="E10" i="1"/>
  <c r="B15" i="1"/>
  <c r="B14" i="1"/>
  <c r="V29" i="9"/>
  <c r="U29" i="9"/>
  <c r="T29" i="9"/>
  <c r="S29" i="9"/>
  <c r="R29" i="9"/>
  <c r="Q29" i="9"/>
  <c r="P29" i="9"/>
  <c r="H29" i="9"/>
  <c r="I29" i="9"/>
  <c r="G29" i="9"/>
  <c r="H25" i="9"/>
  <c r="G25" i="9"/>
  <c r="G21" i="9"/>
  <c r="G10" i="9"/>
  <c r="G9" i="9"/>
  <c r="H19" i="7"/>
  <c r="D48" i="7"/>
  <c r="D44" i="7"/>
  <c r="B18" i="1"/>
  <c r="J16" i="7"/>
  <c r="I16" i="7"/>
  <c r="G11" i="7"/>
  <c r="F11" i="7"/>
  <c r="E11" i="7"/>
  <c r="D11" i="7"/>
  <c r="C11" i="7"/>
  <c r="N10" i="7"/>
  <c r="M10" i="7"/>
  <c r="L10" i="7"/>
  <c r="K10" i="7"/>
  <c r="J10" i="7"/>
  <c r="I10" i="7"/>
  <c r="H10" i="7"/>
  <c r="H11" i="7"/>
  <c r="H13" i="7" s="1"/>
  <c r="G9" i="7"/>
  <c r="F9" i="7"/>
  <c r="E9" i="7"/>
  <c r="D9" i="7"/>
  <c r="V26" i="9"/>
  <c r="U26" i="9"/>
  <c r="T26" i="9"/>
  <c r="S26" i="9"/>
  <c r="V25" i="9"/>
  <c r="U25" i="9"/>
  <c r="T25" i="9"/>
  <c r="S25" i="9"/>
  <c r="H7" i="7"/>
  <c r="V21" i="9"/>
  <c r="U21" i="9"/>
  <c r="T21" i="9"/>
  <c r="S21" i="9"/>
  <c r="G22" i="7"/>
  <c r="F22" i="7"/>
  <c r="E22" i="7"/>
  <c r="D22" i="7"/>
  <c r="C22" i="7"/>
  <c r="G16" i="7"/>
  <c r="F16" i="7"/>
  <c r="E16" i="7"/>
  <c r="H15" i="7"/>
  <c r="I15" i="7" s="1"/>
  <c r="J15" i="7" s="1"/>
  <c r="K15" i="7" s="1"/>
  <c r="L15" i="7" s="1"/>
  <c r="M15" i="7" s="1"/>
  <c r="N15" i="7" s="1"/>
  <c r="P30" i="9"/>
  <c r="H8" i="7" s="1"/>
  <c r="P28" i="9"/>
  <c r="R26" i="9"/>
  <c r="Q26" i="9"/>
  <c r="P26" i="9"/>
  <c r="Q25" i="9"/>
  <c r="R25" i="9"/>
  <c r="P25" i="9"/>
  <c r="P24" i="9"/>
  <c r="F33" i="9"/>
  <c r="E33" i="9"/>
  <c r="I30" i="9"/>
  <c r="H30" i="9"/>
  <c r="G30" i="9"/>
  <c r="G31" i="9" s="1"/>
  <c r="G32" i="9" s="1"/>
  <c r="F30" i="9"/>
  <c r="F31" i="9" s="1"/>
  <c r="F32" i="9" s="1"/>
  <c r="E30" i="9"/>
  <c r="E31" i="9" s="1"/>
  <c r="E32" i="9" s="1"/>
  <c r="G17" i="9"/>
  <c r="P13" i="9" s="1"/>
  <c r="T13" i="9" s="1"/>
  <c r="G26" i="9"/>
  <c r="F26" i="9"/>
  <c r="F27" i="9" s="1"/>
  <c r="F28" i="9" s="1"/>
  <c r="E26" i="9"/>
  <c r="E27" i="9" s="1"/>
  <c r="E28" i="9" s="1"/>
  <c r="G22" i="9"/>
  <c r="F22" i="9"/>
  <c r="F23" i="9" s="1"/>
  <c r="F24" i="9" s="1"/>
  <c r="F10" i="9"/>
  <c r="E10" i="9"/>
  <c r="F18" i="9"/>
  <c r="E18" i="9"/>
  <c r="G18" i="9"/>
  <c r="F19" i="9"/>
  <c r="F20" i="9" s="1"/>
  <c r="E19" i="9"/>
  <c r="E20" i="9" s="1"/>
  <c r="G14" i="9"/>
  <c r="G13" i="9"/>
  <c r="P12" i="9" s="1"/>
  <c r="T12" i="9" s="1"/>
  <c r="F15" i="9"/>
  <c r="F16" i="9" s="1"/>
  <c r="F14" i="9"/>
  <c r="E14" i="9"/>
  <c r="E15" i="9"/>
  <c r="E16" i="9" s="1"/>
  <c r="F11" i="9"/>
  <c r="F12" i="9" s="1"/>
  <c r="E11" i="9"/>
  <c r="E12" i="9" s="1"/>
  <c r="D33" i="9"/>
  <c r="C33" i="7"/>
  <c r="C35" i="7"/>
  <c r="C36" i="7"/>
  <c r="G22" i="6"/>
  <c r="K8" i="6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C17" i="8"/>
  <c r="D17" i="8" s="1"/>
  <c r="E17" i="8"/>
  <c r="C18" i="8"/>
  <c r="D18" i="8" s="1"/>
  <c r="E18" i="8"/>
  <c r="C19" i="8"/>
  <c r="D19" i="8" s="1"/>
  <c r="E19" i="8"/>
  <c r="C20" i="8"/>
  <c r="D20" i="8" s="1"/>
  <c r="E20" i="8"/>
  <c r="C21" i="8"/>
  <c r="D21" i="8" s="1"/>
  <c r="E21" i="8"/>
  <c r="C22" i="8"/>
  <c r="D22" i="8" s="1"/>
  <c r="E22" i="8"/>
  <c r="C23" i="8"/>
  <c r="D23" i="8" s="1"/>
  <c r="E23" i="8"/>
  <c r="C24" i="8"/>
  <c r="D24" i="8" s="1"/>
  <c r="E24" i="8"/>
  <c r="C25" i="8"/>
  <c r="D25" i="8" s="1"/>
  <c r="E25" i="8"/>
  <c r="C26" i="8"/>
  <c r="D26" i="8" s="1"/>
  <c r="E26" i="8"/>
  <c r="C27" i="8"/>
  <c r="D27" i="8" s="1"/>
  <c r="E27" i="8"/>
  <c r="C28" i="8"/>
  <c r="D28" i="8" s="1"/>
  <c r="E28" i="8"/>
  <c r="C29" i="8"/>
  <c r="D29" i="8" s="1"/>
  <c r="E29" i="8"/>
  <c r="C30" i="8"/>
  <c r="D30" i="8" s="1"/>
  <c r="E30" i="8"/>
  <c r="C31" i="8"/>
  <c r="D31" i="8" s="1"/>
  <c r="E31" i="8"/>
  <c r="C32" i="8"/>
  <c r="D32" i="8" s="1"/>
  <c r="E32" i="8"/>
  <c r="C33" i="8"/>
  <c r="D33" i="8" s="1"/>
  <c r="E33" i="8"/>
  <c r="C34" i="8"/>
  <c r="D34" i="8" s="1"/>
  <c r="E34" i="8"/>
  <c r="C35" i="8"/>
  <c r="D35" i="8" s="1"/>
  <c r="E35" i="8"/>
  <c r="C36" i="8"/>
  <c r="D36" i="8" s="1"/>
  <c r="E36" i="8"/>
  <c r="C37" i="8"/>
  <c r="D37" i="8" s="1"/>
  <c r="E37" i="8"/>
  <c r="C38" i="8"/>
  <c r="D38" i="8" s="1"/>
  <c r="E38" i="8"/>
  <c r="C39" i="8"/>
  <c r="D39" i="8" s="1"/>
  <c r="E39" i="8"/>
  <c r="C40" i="8"/>
  <c r="D40" i="8" s="1"/>
  <c r="E40" i="8"/>
  <c r="C41" i="8"/>
  <c r="D41" i="8" s="1"/>
  <c r="E41" i="8"/>
  <c r="C42" i="8"/>
  <c r="D42" i="8" s="1"/>
  <c r="E42" i="8"/>
  <c r="C43" i="8"/>
  <c r="D43" i="8" s="1"/>
  <c r="E43" i="8"/>
  <c r="C44" i="8"/>
  <c r="D44" i="8" s="1"/>
  <c r="E44" i="8"/>
  <c r="C45" i="8"/>
  <c r="D45" i="8" s="1"/>
  <c r="E45" i="8"/>
  <c r="C46" i="8"/>
  <c r="D46" i="8" s="1"/>
  <c r="E46" i="8"/>
  <c r="C47" i="8"/>
  <c r="D47" i="8" s="1"/>
  <c r="E47" i="8"/>
  <c r="C48" i="8"/>
  <c r="D48" i="8" s="1"/>
  <c r="E48" i="8"/>
  <c r="C49" i="8"/>
  <c r="D49" i="8" s="1"/>
  <c r="E49" i="8"/>
  <c r="C50" i="8"/>
  <c r="D50" i="8" s="1"/>
  <c r="E50" i="8"/>
  <c r="C51" i="8"/>
  <c r="D51" i="8" s="1"/>
  <c r="E51" i="8"/>
  <c r="C52" i="8"/>
  <c r="D52" i="8" s="1"/>
  <c r="E52" i="8"/>
  <c r="C53" i="8"/>
  <c r="D53" i="8" s="1"/>
  <c r="E53" i="8"/>
  <c r="C54" i="8"/>
  <c r="D54" i="8" s="1"/>
  <c r="E54" i="8"/>
  <c r="C55" i="8"/>
  <c r="D55" i="8" s="1"/>
  <c r="E55" i="8"/>
  <c r="C56" i="8"/>
  <c r="D56" i="8" s="1"/>
  <c r="E56" i="8"/>
  <c r="C57" i="8"/>
  <c r="D57" i="8" s="1"/>
  <c r="E57" i="8"/>
  <c r="C58" i="8"/>
  <c r="D58" i="8" s="1"/>
  <c r="E58" i="8"/>
  <c r="C59" i="8"/>
  <c r="D59" i="8" s="1"/>
  <c r="E59" i="8"/>
  <c r="C60" i="8"/>
  <c r="D60" i="8" s="1"/>
  <c r="E60" i="8"/>
  <c r="C61" i="8"/>
  <c r="D61" i="8" s="1"/>
  <c r="E61" i="8"/>
  <c r="C62" i="8"/>
  <c r="D62" i="8" s="1"/>
  <c r="E62" i="8"/>
  <c r="C63" i="8"/>
  <c r="D63" i="8" s="1"/>
  <c r="E63" i="8"/>
  <c r="C64" i="8"/>
  <c r="D64" i="8" s="1"/>
  <c r="E64" i="8"/>
  <c r="C65" i="8"/>
  <c r="D65" i="8" s="1"/>
  <c r="E65" i="8"/>
  <c r="C66" i="8"/>
  <c r="D66" i="8" s="1"/>
  <c r="E66" i="8"/>
  <c r="C67" i="8"/>
  <c r="D67" i="8" s="1"/>
  <c r="E67" i="8"/>
  <c r="C68" i="8"/>
  <c r="D68" i="8" s="1"/>
  <c r="E68" i="8"/>
  <c r="C69" i="8"/>
  <c r="D69" i="8" s="1"/>
  <c r="E69" i="8"/>
  <c r="C70" i="8"/>
  <c r="D70" i="8" s="1"/>
  <c r="E70" i="8"/>
  <c r="C71" i="8"/>
  <c r="D71" i="8" s="1"/>
  <c r="E71" i="8"/>
  <c r="C72" i="8"/>
  <c r="D72" i="8" s="1"/>
  <c r="E72" i="8"/>
  <c r="C73" i="8"/>
  <c r="D73" i="8" s="1"/>
  <c r="E73" i="8"/>
  <c r="C74" i="8"/>
  <c r="D74" i="8" s="1"/>
  <c r="E74" i="8"/>
  <c r="C75" i="8"/>
  <c r="D75" i="8" s="1"/>
  <c r="E75" i="8"/>
  <c r="C76" i="8"/>
  <c r="D76" i="8" s="1"/>
  <c r="E76" i="8"/>
  <c r="C77" i="8"/>
  <c r="D77" i="8" s="1"/>
  <c r="E77" i="8"/>
  <c r="C78" i="8"/>
  <c r="D78" i="8" s="1"/>
  <c r="E78" i="8"/>
  <c r="C79" i="8"/>
  <c r="D79" i="8" s="1"/>
  <c r="E79" i="8"/>
  <c r="C80" i="8"/>
  <c r="D80" i="8" s="1"/>
  <c r="E80" i="8"/>
  <c r="C81" i="8"/>
  <c r="D81" i="8" s="1"/>
  <c r="E81" i="8"/>
  <c r="C82" i="8"/>
  <c r="D82" i="8" s="1"/>
  <c r="E82" i="8"/>
  <c r="C83" i="8"/>
  <c r="D83" i="8" s="1"/>
  <c r="E83" i="8"/>
  <c r="C84" i="8"/>
  <c r="D84" i="8" s="1"/>
  <c r="E84" i="8"/>
  <c r="C85" i="8"/>
  <c r="D85" i="8" s="1"/>
  <c r="E85" i="8"/>
  <c r="C86" i="8"/>
  <c r="D86" i="8" s="1"/>
  <c r="E86" i="8"/>
  <c r="C87" i="8"/>
  <c r="D87" i="8" s="1"/>
  <c r="E87" i="8"/>
  <c r="C88" i="8"/>
  <c r="D88" i="8" s="1"/>
  <c r="E88" i="8"/>
  <c r="C89" i="8"/>
  <c r="D89" i="8" s="1"/>
  <c r="E89" i="8"/>
  <c r="C90" i="8"/>
  <c r="D90" i="8" s="1"/>
  <c r="E90" i="8"/>
  <c r="C91" i="8"/>
  <c r="D91" i="8" s="1"/>
  <c r="E91" i="8"/>
  <c r="C92" i="8"/>
  <c r="D92" i="8" s="1"/>
  <c r="E92" i="8"/>
  <c r="C93" i="8"/>
  <c r="D93" i="8" s="1"/>
  <c r="E93" i="8"/>
  <c r="C94" i="8"/>
  <c r="D94" i="8" s="1"/>
  <c r="E94" i="8"/>
  <c r="C95" i="8"/>
  <c r="D95" i="8" s="1"/>
  <c r="E95" i="8"/>
  <c r="C96" i="8"/>
  <c r="D96" i="8" s="1"/>
  <c r="E96" i="8"/>
  <c r="C97" i="8"/>
  <c r="D97" i="8" s="1"/>
  <c r="E97" i="8"/>
  <c r="C98" i="8"/>
  <c r="D98" i="8" s="1"/>
  <c r="E98" i="8"/>
  <c r="C99" i="8"/>
  <c r="D99" i="8" s="1"/>
  <c r="E99" i="8"/>
  <c r="C100" i="8"/>
  <c r="D100" i="8" s="1"/>
  <c r="E100" i="8"/>
  <c r="C101" i="8"/>
  <c r="D101" i="8" s="1"/>
  <c r="E101" i="8"/>
  <c r="C102" i="8"/>
  <c r="D102" i="8" s="1"/>
  <c r="E102" i="8"/>
  <c r="C103" i="8"/>
  <c r="D103" i="8" s="1"/>
  <c r="E103" i="8"/>
  <c r="C104" i="8"/>
  <c r="D104" i="8" s="1"/>
  <c r="E104" i="8"/>
  <c r="C105" i="8"/>
  <c r="D105" i="8" s="1"/>
  <c r="E105" i="8"/>
  <c r="C106" i="8"/>
  <c r="D106" i="8" s="1"/>
  <c r="E106" i="8"/>
  <c r="C107" i="8"/>
  <c r="D107" i="8" s="1"/>
  <c r="E107" i="8"/>
  <c r="C108" i="8"/>
  <c r="D108" i="8" s="1"/>
  <c r="E108" i="8"/>
  <c r="C109" i="8"/>
  <c r="D109" i="8" s="1"/>
  <c r="E109" i="8"/>
  <c r="C110" i="8"/>
  <c r="D110" i="8" s="1"/>
  <c r="E110" i="8"/>
  <c r="C111" i="8"/>
  <c r="D111" i="8" s="1"/>
  <c r="E111" i="8"/>
  <c r="C112" i="8"/>
  <c r="D112" i="8" s="1"/>
  <c r="E112" i="8"/>
  <c r="C113" i="8"/>
  <c r="D113" i="8" s="1"/>
  <c r="E113" i="8"/>
  <c r="C114" i="8"/>
  <c r="D114" i="8" s="1"/>
  <c r="E114" i="8"/>
  <c r="C115" i="8"/>
  <c r="D115" i="8" s="1"/>
  <c r="E115" i="8"/>
  <c r="C116" i="8"/>
  <c r="D116" i="8" s="1"/>
  <c r="E116" i="8"/>
  <c r="C117" i="8"/>
  <c r="D117" i="8" s="1"/>
  <c r="E117" i="8"/>
  <c r="C118" i="8"/>
  <c r="D118" i="8" s="1"/>
  <c r="E118" i="8"/>
  <c r="C119" i="8"/>
  <c r="D119" i="8" s="1"/>
  <c r="E119" i="8"/>
  <c r="C120" i="8"/>
  <c r="D120" i="8" s="1"/>
  <c r="E120" i="8"/>
  <c r="C121" i="8"/>
  <c r="D121" i="8" s="1"/>
  <c r="E121" i="8"/>
  <c r="C122" i="8"/>
  <c r="D122" i="8" s="1"/>
  <c r="E122" i="8"/>
  <c r="C123" i="8"/>
  <c r="D123" i="8" s="1"/>
  <c r="E123" i="8"/>
  <c r="C124" i="8"/>
  <c r="D124" i="8" s="1"/>
  <c r="E124" i="8"/>
  <c r="C125" i="8"/>
  <c r="D125" i="8" s="1"/>
  <c r="E125" i="8"/>
  <c r="C126" i="8"/>
  <c r="D126" i="8" s="1"/>
  <c r="E126" i="8"/>
  <c r="C127" i="8"/>
  <c r="D127" i="8" s="1"/>
  <c r="E127" i="8"/>
  <c r="C128" i="8"/>
  <c r="D128" i="8" s="1"/>
  <c r="E128" i="8"/>
  <c r="C129" i="8"/>
  <c r="D129" i="8" s="1"/>
  <c r="E129" i="8"/>
  <c r="C130" i="8"/>
  <c r="D130" i="8" s="1"/>
  <c r="E130" i="8"/>
  <c r="C131" i="8"/>
  <c r="D131" i="8" s="1"/>
  <c r="E131" i="8"/>
  <c r="C132" i="8"/>
  <c r="D132" i="8" s="1"/>
  <c r="E132" i="8"/>
  <c r="C133" i="8"/>
  <c r="D133" i="8" s="1"/>
  <c r="E133" i="8"/>
  <c r="C134" i="8"/>
  <c r="D134" i="8" s="1"/>
  <c r="E134" i="8"/>
  <c r="C135" i="8"/>
  <c r="D135" i="8" s="1"/>
  <c r="E135" i="8"/>
  <c r="C136" i="8"/>
  <c r="D136" i="8" s="1"/>
  <c r="E136" i="8"/>
  <c r="C137" i="8"/>
  <c r="D137" i="8" s="1"/>
  <c r="E137" i="8"/>
  <c r="C138" i="8"/>
  <c r="D138" i="8" s="1"/>
  <c r="E138" i="8"/>
  <c r="C139" i="8"/>
  <c r="D139" i="8" s="1"/>
  <c r="E139" i="8"/>
  <c r="C140" i="8"/>
  <c r="D140" i="8" s="1"/>
  <c r="E140" i="8"/>
  <c r="C141" i="8"/>
  <c r="D141" i="8" s="1"/>
  <c r="E141" i="8"/>
  <c r="C142" i="8"/>
  <c r="D142" i="8" s="1"/>
  <c r="E142" i="8"/>
  <c r="C143" i="8"/>
  <c r="D143" i="8" s="1"/>
  <c r="E143" i="8"/>
  <c r="C144" i="8"/>
  <c r="D144" i="8" s="1"/>
  <c r="E144" i="8"/>
  <c r="C145" i="8"/>
  <c r="D145" i="8" s="1"/>
  <c r="E145" i="8"/>
  <c r="C146" i="8"/>
  <c r="D146" i="8" s="1"/>
  <c r="E146" i="8"/>
  <c r="C147" i="8"/>
  <c r="D147" i="8" s="1"/>
  <c r="E147" i="8"/>
  <c r="C148" i="8"/>
  <c r="D148" i="8" s="1"/>
  <c r="E148" i="8"/>
  <c r="C149" i="8"/>
  <c r="D149" i="8" s="1"/>
  <c r="E149" i="8"/>
  <c r="C150" i="8"/>
  <c r="D150" i="8" s="1"/>
  <c r="E150" i="8"/>
  <c r="C151" i="8"/>
  <c r="D151" i="8" s="1"/>
  <c r="E151" i="8"/>
  <c r="C152" i="8"/>
  <c r="D152" i="8" s="1"/>
  <c r="E152" i="8"/>
  <c r="C153" i="8"/>
  <c r="D153" i="8" s="1"/>
  <c r="E153" i="8"/>
  <c r="C154" i="8"/>
  <c r="D154" i="8" s="1"/>
  <c r="E154" i="8"/>
  <c r="C155" i="8"/>
  <c r="D155" i="8" s="1"/>
  <c r="E155" i="8"/>
  <c r="C156" i="8"/>
  <c r="D156" i="8" s="1"/>
  <c r="E156" i="8"/>
  <c r="C157" i="8"/>
  <c r="D157" i="8" s="1"/>
  <c r="E157" i="8"/>
  <c r="C158" i="8"/>
  <c r="D158" i="8" s="1"/>
  <c r="E158" i="8"/>
  <c r="C159" i="8"/>
  <c r="D159" i="8" s="1"/>
  <c r="E159" i="8"/>
  <c r="C160" i="8"/>
  <c r="D160" i="8" s="1"/>
  <c r="E160" i="8"/>
  <c r="C161" i="8"/>
  <c r="D161" i="8" s="1"/>
  <c r="E161" i="8"/>
  <c r="C162" i="8"/>
  <c r="D162" i="8" s="1"/>
  <c r="E162" i="8"/>
  <c r="C163" i="8"/>
  <c r="D163" i="8" s="1"/>
  <c r="E163" i="8"/>
  <c r="C164" i="8"/>
  <c r="D164" i="8" s="1"/>
  <c r="E164" i="8"/>
  <c r="C165" i="8"/>
  <c r="D165" i="8" s="1"/>
  <c r="E165" i="8"/>
  <c r="C166" i="8"/>
  <c r="D166" i="8" s="1"/>
  <c r="E166" i="8"/>
  <c r="C167" i="8"/>
  <c r="D167" i="8" s="1"/>
  <c r="E167" i="8"/>
  <c r="C168" i="8"/>
  <c r="D168" i="8" s="1"/>
  <c r="E168" i="8"/>
  <c r="C169" i="8"/>
  <c r="D169" i="8" s="1"/>
  <c r="E169" i="8"/>
  <c r="C170" i="8"/>
  <c r="D170" i="8" s="1"/>
  <c r="E170" i="8"/>
  <c r="C171" i="8"/>
  <c r="D171" i="8" s="1"/>
  <c r="E171" i="8"/>
  <c r="C172" i="8"/>
  <c r="D172" i="8" s="1"/>
  <c r="E172" i="8"/>
  <c r="C173" i="8"/>
  <c r="D173" i="8" s="1"/>
  <c r="E173" i="8"/>
  <c r="C174" i="8"/>
  <c r="D174" i="8" s="1"/>
  <c r="E174" i="8"/>
  <c r="C175" i="8"/>
  <c r="D175" i="8" s="1"/>
  <c r="E175" i="8"/>
  <c r="C176" i="8"/>
  <c r="D176" i="8" s="1"/>
  <c r="E176" i="8"/>
  <c r="C177" i="8"/>
  <c r="D177" i="8" s="1"/>
  <c r="E177" i="8"/>
  <c r="C178" i="8"/>
  <c r="D178" i="8" s="1"/>
  <c r="E178" i="8"/>
  <c r="C179" i="8"/>
  <c r="D179" i="8" s="1"/>
  <c r="E179" i="8"/>
  <c r="C180" i="8"/>
  <c r="D180" i="8" s="1"/>
  <c r="E180" i="8"/>
  <c r="C181" i="8"/>
  <c r="D181" i="8" s="1"/>
  <c r="E181" i="8"/>
  <c r="C182" i="8"/>
  <c r="D182" i="8" s="1"/>
  <c r="E182" i="8"/>
  <c r="C183" i="8"/>
  <c r="D183" i="8" s="1"/>
  <c r="E183" i="8"/>
  <c r="C184" i="8"/>
  <c r="D184" i="8" s="1"/>
  <c r="E184" i="8"/>
  <c r="C185" i="8"/>
  <c r="D185" i="8" s="1"/>
  <c r="E185" i="8"/>
  <c r="C186" i="8"/>
  <c r="D186" i="8" s="1"/>
  <c r="E186" i="8"/>
  <c r="C187" i="8"/>
  <c r="D187" i="8" s="1"/>
  <c r="E187" i="8"/>
  <c r="C188" i="8"/>
  <c r="D188" i="8" s="1"/>
  <c r="E188" i="8"/>
  <c r="C189" i="8"/>
  <c r="D189" i="8" s="1"/>
  <c r="E189" i="8"/>
  <c r="C190" i="8"/>
  <c r="D190" i="8" s="1"/>
  <c r="E190" i="8"/>
  <c r="C191" i="8"/>
  <c r="D191" i="8" s="1"/>
  <c r="E191" i="8"/>
  <c r="C192" i="8"/>
  <c r="D192" i="8" s="1"/>
  <c r="E192" i="8"/>
  <c r="C193" i="8"/>
  <c r="D193" i="8" s="1"/>
  <c r="E193" i="8"/>
  <c r="C194" i="8"/>
  <c r="D194" i="8" s="1"/>
  <c r="E194" i="8"/>
  <c r="C195" i="8"/>
  <c r="D195" i="8" s="1"/>
  <c r="E195" i="8"/>
  <c r="C196" i="8"/>
  <c r="D196" i="8" s="1"/>
  <c r="E196" i="8"/>
  <c r="C197" i="8"/>
  <c r="D197" i="8" s="1"/>
  <c r="E197" i="8"/>
  <c r="C198" i="8"/>
  <c r="D198" i="8" s="1"/>
  <c r="E198" i="8"/>
  <c r="C199" i="8"/>
  <c r="D199" i="8" s="1"/>
  <c r="E199" i="8"/>
  <c r="C200" i="8"/>
  <c r="D200" i="8" s="1"/>
  <c r="E200" i="8"/>
  <c r="C201" i="8"/>
  <c r="D201" i="8" s="1"/>
  <c r="E201" i="8"/>
  <c r="C202" i="8"/>
  <c r="D202" i="8" s="1"/>
  <c r="E202" i="8"/>
  <c r="C203" i="8"/>
  <c r="D203" i="8" s="1"/>
  <c r="E203" i="8"/>
  <c r="C204" i="8"/>
  <c r="D204" i="8" s="1"/>
  <c r="E204" i="8"/>
  <c r="C205" i="8"/>
  <c r="D205" i="8" s="1"/>
  <c r="E205" i="8"/>
  <c r="C206" i="8"/>
  <c r="D206" i="8" s="1"/>
  <c r="E206" i="8"/>
  <c r="C207" i="8"/>
  <c r="D207" i="8" s="1"/>
  <c r="E207" i="8"/>
  <c r="C208" i="8"/>
  <c r="D208" i="8" s="1"/>
  <c r="E208" i="8"/>
  <c r="C209" i="8"/>
  <c r="D209" i="8" s="1"/>
  <c r="E209" i="8"/>
  <c r="C210" i="8"/>
  <c r="D210" i="8" s="1"/>
  <c r="E210" i="8"/>
  <c r="C211" i="8"/>
  <c r="D211" i="8" s="1"/>
  <c r="E211" i="8"/>
  <c r="C212" i="8"/>
  <c r="D212" i="8" s="1"/>
  <c r="E212" i="8"/>
  <c r="C213" i="8"/>
  <c r="D213" i="8" s="1"/>
  <c r="E213" i="8"/>
  <c r="C214" i="8"/>
  <c r="D214" i="8" s="1"/>
  <c r="E214" i="8"/>
  <c r="C215" i="8"/>
  <c r="D215" i="8" s="1"/>
  <c r="E215" i="8"/>
  <c r="C216" i="8"/>
  <c r="D216" i="8" s="1"/>
  <c r="E216" i="8"/>
  <c r="C217" i="8"/>
  <c r="D217" i="8" s="1"/>
  <c r="E217" i="8"/>
  <c r="C218" i="8"/>
  <c r="D218" i="8" s="1"/>
  <c r="E218" i="8"/>
  <c r="C219" i="8"/>
  <c r="D219" i="8" s="1"/>
  <c r="E219" i="8"/>
  <c r="C220" i="8"/>
  <c r="D220" i="8" s="1"/>
  <c r="E220" i="8"/>
  <c r="C221" i="8"/>
  <c r="D221" i="8" s="1"/>
  <c r="E221" i="8"/>
  <c r="C222" i="8"/>
  <c r="D222" i="8" s="1"/>
  <c r="E222" i="8"/>
  <c r="C223" i="8"/>
  <c r="D223" i="8" s="1"/>
  <c r="E223" i="8"/>
  <c r="C224" i="8"/>
  <c r="D224" i="8" s="1"/>
  <c r="E224" i="8"/>
  <c r="C225" i="8"/>
  <c r="D225" i="8" s="1"/>
  <c r="E225" i="8"/>
  <c r="C226" i="8"/>
  <c r="D226" i="8" s="1"/>
  <c r="E226" i="8"/>
  <c r="C227" i="8"/>
  <c r="D227" i="8" s="1"/>
  <c r="E227" i="8"/>
  <c r="C228" i="8"/>
  <c r="D228" i="8" s="1"/>
  <c r="E228" i="8"/>
  <c r="C229" i="8"/>
  <c r="D229" i="8" s="1"/>
  <c r="E229" i="8"/>
  <c r="C230" i="8"/>
  <c r="D230" i="8" s="1"/>
  <c r="E230" i="8"/>
  <c r="C231" i="8"/>
  <c r="D231" i="8" s="1"/>
  <c r="E231" i="8"/>
  <c r="C232" i="8"/>
  <c r="D232" i="8" s="1"/>
  <c r="E232" i="8"/>
  <c r="C233" i="8"/>
  <c r="D233" i="8" s="1"/>
  <c r="E233" i="8"/>
  <c r="C234" i="8"/>
  <c r="D234" i="8" s="1"/>
  <c r="E234" i="8"/>
  <c r="C235" i="8"/>
  <c r="D235" i="8" s="1"/>
  <c r="E235" i="8"/>
  <c r="C236" i="8"/>
  <c r="D236" i="8" s="1"/>
  <c r="E236" i="8"/>
  <c r="C237" i="8"/>
  <c r="D237" i="8" s="1"/>
  <c r="E237" i="8"/>
  <c r="C238" i="8"/>
  <c r="D238" i="8" s="1"/>
  <c r="E238" i="8"/>
  <c r="C239" i="8"/>
  <c r="D239" i="8" s="1"/>
  <c r="E239" i="8"/>
  <c r="C240" i="8"/>
  <c r="D240" i="8" s="1"/>
  <c r="E240" i="8"/>
  <c r="C241" i="8"/>
  <c r="D241" i="8" s="1"/>
  <c r="E241" i="8"/>
  <c r="C242" i="8"/>
  <c r="D242" i="8" s="1"/>
  <c r="E242" i="8"/>
  <c r="C243" i="8"/>
  <c r="D243" i="8" s="1"/>
  <c r="E243" i="8"/>
  <c r="C244" i="8"/>
  <c r="D244" i="8" s="1"/>
  <c r="E244" i="8"/>
  <c r="C245" i="8"/>
  <c r="D245" i="8" s="1"/>
  <c r="E245" i="8"/>
  <c r="C246" i="8"/>
  <c r="D246" i="8" s="1"/>
  <c r="E246" i="8"/>
  <c r="C247" i="8"/>
  <c r="D247" i="8" s="1"/>
  <c r="E247" i="8"/>
  <c r="C248" i="8"/>
  <c r="D248" i="8" s="1"/>
  <c r="E248" i="8"/>
  <c r="C249" i="8"/>
  <c r="D249" i="8" s="1"/>
  <c r="E249" i="8"/>
  <c r="C250" i="8"/>
  <c r="D250" i="8" s="1"/>
  <c r="E250" i="8"/>
  <c r="C251" i="8"/>
  <c r="D251" i="8" s="1"/>
  <c r="E251" i="8"/>
  <c r="C252" i="8"/>
  <c r="D252" i="8" s="1"/>
  <c r="E252" i="8"/>
  <c r="C253" i="8"/>
  <c r="D253" i="8" s="1"/>
  <c r="E253" i="8"/>
  <c r="C254" i="8"/>
  <c r="D254" i="8" s="1"/>
  <c r="E254" i="8"/>
  <c r="C255" i="8"/>
  <c r="D255" i="8" s="1"/>
  <c r="E255" i="8"/>
  <c r="C256" i="8"/>
  <c r="D256" i="8" s="1"/>
  <c r="E256" i="8"/>
  <c r="C257" i="8"/>
  <c r="D257" i="8" s="1"/>
  <c r="E257" i="8"/>
  <c r="C258" i="8"/>
  <c r="D258" i="8" s="1"/>
  <c r="E258" i="8"/>
  <c r="C259" i="8"/>
  <c r="D259" i="8" s="1"/>
  <c r="E259" i="8"/>
  <c r="C260" i="8"/>
  <c r="D260" i="8" s="1"/>
  <c r="E260" i="8"/>
  <c r="C261" i="8"/>
  <c r="D261" i="8" s="1"/>
  <c r="E261" i="8"/>
  <c r="C262" i="8"/>
  <c r="D262" i="8" s="1"/>
  <c r="E262" i="8"/>
  <c r="C263" i="8"/>
  <c r="D263" i="8" s="1"/>
  <c r="E263" i="8"/>
  <c r="C264" i="8"/>
  <c r="D264" i="8" s="1"/>
  <c r="E264" i="8"/>
  <c r="C265" i="8"/>
  <c r="D265" i="8" s="1"/>
  <c r="E265" i="8"/>
  <c r="C266" i="8"/>
  <c r="D266" i="8" s="1"/>
  <c r="E266" i="8"/>
  <c r="C267" i="8"/>
  <c r="D267" i="8" s="1"/>
  <c r="E267" i="8"/>
  <c r="C268" i="8"/>
  <c r="D268" i="8" s="1"/>
  <c r="E268" i="8"/>
  <c r="C269" i="8"/>
  <c r="D269" i="8" s="1"/>
  <c r="E269" i="8"/>
  <c r="C270" i="8"/>
  <c r="D270" i="8" s="1"/>
  <c r="E270" i="8"/>
  <c r="C271" i="8"/>
  <c r="D271" i="8" s="1"/>
  <c r="E271" i="8"/>
  <c r="C272" i="8"/>
  <c r="D272" i="8" s="1"/>
  <c r="E272" i="8"/>
  <c r="C273" i="8"/>
  <c r="D273" i="8" s="1"/>
  <c r="E273" i="8"/>
  <c r="C274" i="8"/>
  <c r="D274" i="8" s="1"/>
  <c r="E274" i="8"/>
  <c r="C275" i="8"/>
  <c r="D275" i="8" s="1"/>
  <c r="E275" i="8"/>
  <c r="C276" i="8"/>
  <c r="D276" i="8" s="1"/>
  <c r="E276" i="8"/>
  <c r="C277" i="8"/>
  <c r="D277" i="8" s="1"/>
  <c r="E277" i="8"/>
  <c r="C278" i="8"/>
  <c r="D278" i="8" s="1"/>
  <c r="E278" i="8"/>
  <c r="C279" i="8"/>
  <c r="D279" i="8" s="1"/>
  <c r="E279" i="8"/>
  <c r="C280" i="8"/>
  <c r="D280" i="8" s="1"/>
  <c r="E280" i="8"/>
  <c r="C281" i="8"/>
  <c r="D281" i="8" s="1"/>
  <c r="E281" i="8"/>
  <c r="C282" i="8"/>
  <c r="D282" i="8" s="1"/>
  <c r="E282" i="8"/>
  <c r="C283" i="8"/>
  <c r="D283" i="8" s="1"/>
  <c r="E283" i="8"/>
  <c r="C284" i="8"/>
  <c r="D284" i="8" s="1"/>
  <c r="E284" i="8"/>
  <c r="C285" i="8"/>
  <c r="D285" i="8" s="1"/>
  <c r="E285" i="8"/>
  <c r="C286" i="8"/>
  <c r="D286" i="8" s="1"/>
  <c r="E286" i="8"/>
  <c r="C287" i="8"/>
  <c r="D287" i="8" s="1"/>
  <c r="E287" i="8"/>
  <c r="C288" i="8"/>
  <c r="D288" i="8" s="1"/>
  <c r="E288" i="8"/>
  <c r="C289" i="8"/>
  <c r="D289" i="8" s="1"/>
  <c r="E289" i="8"/>
  <c r="C290" i="8"/>
  <c r="D290" i="8" s="1"/>
  <c r="E290" i="8"/>
  <c r="C291" i="8"/>
  <c r="D291" i="8" s="1"/>
  <c r="E291" i="8"/>
  <c r="C292" i="8"/>
  <c r="D292" i="8" s="1"/>
  <c r="E292" i="8"/>
  <c r="C293" i="8"/>
  <c r="D293" i="8" s="1"/>
  <c r="E293" i="8"/>
  <c r="C294" i="8"/>
  <c r="D294" i="8" s="1"/>
  <c r="E294" i="8"/>
  <c r="C295" i="8"/>
  <c r="D295" i="8" s="1"/>
  <c r="E295" i="8"/>
  <c r="C296" i="8"/>
  <c r="D296" i="8" s="1"/>
  <c r="E296" i="8"/>
  <c r="C297" i="8"/>
  <c r="D297" i="8" s="1"/>
  <c r="E297" i="8"/>
  <c r="C298" i="8"/>
  <c r="D298" i="8" s="1"/>
  <c r="E298" i="8"/>
  <c r="C299" i="8"/>
  <c r="D299" i="8" s="1"/>
  <c r="E299" i="8"/>
  <c r="C300" i="8"/>
  <c r="D300" i="8" s="1"/>
  <c r="E300" i="8"/>
  <c r="C301" i="8"/>
  <c r="D301" i="8" s="1"/>
  <c r="E301" i="8"/>
  <c r="C302" i="8"/>
  <c r="D302" i="8" s="1"/>
  <c r="E302" i="8"/>
  <c r="C303" i="8"/>
  <c r="D303" i="8" s="1"/>
  <c r="E303" i="8"/>
  <c r="C304" i="8"/>
  <c r="D304" i="8" s="1"/>
  <c r="E304" i="8"/>
  <c r="C305" i="8"/>
  <c r="D305" i="8" s="1"/>
  <c r="E305" i="8"/>
  <c r="C306" i="8"/>
  <c r="D306" i="8" s="1"/>
  <c r="E306" i="8"/>
  <c r="C307" i="8"/>
  <c r="D307" i="8" s="1"/>
  <c r="E307" i="8"/>
  <c r="C308" i="8"/>
  <c r="D308" i="8" s="1"/>
  <c r="E308" i="8"/>
  <c r="C309" i="8"/>
  <c r="D309" i="8" s="1"/>
  <c r="E309" i="8"/>
  <c r="C310" i="8"/>
  <c r="D310" i="8" s="1"/>
  <c r="E310" i="8"/>
  <c r="C311" i="8"/>
  <c r="D311" i="8" s="1"/>
  <c r="E311" i="8"/>
  <c r="C312" i="8"/>
  <c r="D312" i="8" s="1"/>
  <c r="E312" i="8"/>
  <c r="C313" i="8"/>
  <c r="D313" i="8" s="1"/>
  <c r="E313" i="8"/>
  <c r="C314" i="8"/>
  <c r="D314" i="8" s="1"/>
  <c r="E314" i="8"/>
  <c r="C315" i="8"/>
  <c r="D315" i="8" s="1"/>
  <c r="E315" i="8"/>
  <c r="C316" i="8"/>
  <c r="D316" i="8" s="1"/>
  <c r="E316" i="8"/>
  <c r="C317" i="8"/>
  <c r="D317" i="8" s="1"/>
  <c r="E317" i="8"/>
  <c r="C318" i="8"/>
  <c r="D318" i="8" s="1"/>
  <c r="E318" i="8"/>
  <c r="C319" i="8"/>
  <c r="D319" i="8" s="1"/>
  <c r="E319" i="8"/>
  <c r="C320" i="8"/>
  <c r="D320" i="8" s="1"/>
  <c r="E320" i="8"/>
  <c r="C321" i="8"/>
  <c r="D321" i="8" s="1"/>
  <c r="E321" i="8"/>
  <c r="C322" i="8"/>
  <c r="D322" i="8" s="1"/>
  <c r="E322" i="8"/>
  <c r="C323" i="8"/>
  <c r="D323" i="8" s="1"/>
  <c r="E323" i="8"/>
  <c r="C324" i="8"/>
  <c r="D324" i="8" s="1"/>
  <c r="E324" i="8"/>
  <c r="C325" i="8"/>
  <c r="D325" i="8" s="1"/>
  <c r="E325" i="8"/>
  <c r="C326" i="8"/>
  <c r="D326" i="8" s="1"/>
  <c r="E326" i="8"/>
  <c r="C327" i="8"/>
  <c r="D327" i="8" s="1"/>
  <c r="E327" i="8"/>
  <c r="C328" i="8"/>
  <c r="D328" i="8" s="1"/>
  <c r="E328" i="8"/>
  <c r="C329" i="8"/>
  <c r="D329" i="8" s="1"/>
  <c r="E329" i="8"/>
  <c r="C330" i="8"/>
  <c r="D330" i="8" s="1"/>
  <c r="E330" i="8"/>
  <c r="C331" i="8"/>
  <c r="D331" i="8" s="1"/>
  <c r="E331" i="8"/>
  <c r="C332" i="8"/>
  <c r="D332" i="8" s="1"/>
  <c r="E332" i="8"/>
  <c r="C333" i="8"/>
  <c r="D333" i="8" s="1"/>
  <c r="E333" i="8"/>
  <c r="C334" i="8"/>
  <c r="D334" i="8" s="1"/>
  <c r="E334" i="8"/>
  <c r="C335" i="8"/>
  <c r="D335" i="8" s="1"/>
  <c r="E335" i="8"/>
  <c r="C336" i="8"/>
  <c r="D336" i="8" s="1"/>
  <c r="E336" i="8"/>
  <c r="C337" i="8"/>
  <c r="D337" i="8" s="1"/>
  <c r="E337" i="8"/>
  <c r="C338" i="8"/>
  <c r="D338" i="8" s="1"/>
  <c r="E338" i="8"/>
  <c r="C339" i="8"/>
  <c r="D339" i="8" s="1"/>
  <c r="E339" i="8"/>
  <c r="C340" i="8"/>
  <c r="D340" i="8" s="1"/>
  <c r="E340" i="8"/>
  <c r="C341" i="8"/>
  <c r="D341" i="8" s="1"/>
  <c r="E341" i="8"/>
  <c r="C342" i="8"/>
  <c r="D342" i="8" s="1"/>
  <c r="E342" i="8"/>
  <c r="C343" i="8"/>
  <c r="D343" i="8" s="1"/>
  <c r="E343" i="8"/>
  <c r="C344" i="8"/>
  <c r="D344" i="8" s="1"/>
  <c r="E344" i="8"/>
  <c r="C345" i="8"/>
  <c r="D345" i="8" s="1"/>
  <c r="E345" i="8"/>
  <c r="C346" i="8"/>
  <c r="D346" i="8" s="1"/>
  <c r="E346" i="8"/>
  <c r="C347" i="8"/>
  <c r="D347" i="8" s="1"/>
  <c r="E347" i="8"/>
  <c r="C348" i="8"/>
  <c r="D348" i="8" s="1"/>
  <c r="E348" i="8"/>
  <c r="C349" i="8"/>
  <c r="D349" i="8" s="1"/>
  <c r="E349" i="8"/>
  <c r="C350" i="8"/>
  <c r="D350" i="8" s="1"/>
  <c r="E350" i="8"/>
  <c r="C351" i="8"/>
  <c r="D351" i="8" s="1"/>
  <c r="E351" i="8"/>
  <c r="C352" i="8"/>
  <c r="D352" i="8" s="1"/>
  <c r="E352" i="8"/>
  <c r="C353" i="8"/>
  <c r="D353" i="8" s="1"/>
  <c r="E353" i="8"/>
  <c r="C354" i="8"/>
  <c r="D354" i="8" s="1"/>
  <c r="E354" i="8"/>
  <c r="C355" i="8"/>
  <c r="D355" i="8" s="1"/>
  <c r="E355" i="8"/>
  <c r="C356" i="8"/>
  <c r="D356" i="8" s="1"/>
  <c r="E356" i="8"/>
  <c r="C357" i="8"/>
  <c r="D357" i="8" s="1"/>
  <c r="E357" i="8"/>
  <c r="C358" i="8"/>
  <c r="D358" i="8" s="1"/>
  <c r="E358" i="8"/>
  <c r="C359" i="8"/>
  <c r="D359" i="8" s="1"/>
  <c r="E359" i="8"/>
  <c r="C360" i="8"/>
  <c r="D360" i="8" s="1"/>
  <c r="E360" i="8"/>
  <c r="C361" i="8"/>
  <c r="D361" i="8" s="1"/>
  <c r="E361" i="8"/>
  <c r="C362" i="8"/>
  <c r="D362" i="8" s="1"/>
  <c r="E362" i="8"/>
  <c r="C363" i="8"/>
  <c r="D363" i="8" s="1"/>
  <c r="E363" i="8"/>
  <c r="C364" i="8"/>
  <c r="D364" i="8" s="1"/>
  <c r="E364" i="8"/>
  <c r="C365" i="8"/>
  <c r="D365" i="8" s="1"/>
  <c r="E365" i="8"/>
  <c r="C366" i="8"/>
  <c r="D366" i="8" s="1"/>
  <c r="E366" i="8"/>
  <c r="C367" i="8"/>
  <c r="D367" i="8" s="1"/>
  <c r="E367" i="8"/>
  <c r="C368" i="8"/>
  <c r="D368" i="8" s="1"/>
  <c r="E368" i="8"/>
  <c r="C369" i="8"/>
  <c r="D369" i="8" s="1"/>
  <c r="E369" i="8"/>
  <c r="C370" i="8"/>
  <c r="D370" i="8" s="1"/>
  <c r="E370" i="8"/>
  <c r="C371" i="8"/>
  <c r="D371" i="8" s="1"/>
  <c r="E371" i="8"/>
  <c r="C372" i="8"/>
  <c r="D372" i="8" s="1"/>
  <c r="E372" i="8"/>
  <c r="C373" i="8"/>
  <c r="D373" i="8" s="1"/>
  <c r="E373" i="8"/>
  <c r="C374" i="8"/>
  <c r="D374" i="8" s="1"/>
  <c r="E374" i="8"/>
  <c r="C375" i="8"/>
  <c r="D375" i="8" s="1"/>
  <c r="E375" i="8"/>
  <c r="C376" i="8"/>
  <c r="D376" i="8" s="1"/>
  <c r="E376" i="8"/>
  <c r="C377" i="8"/>
  <c r="D377" i="8" s="1"/>
  <c r="E377" i="8"/>
  <c r="C378" i="8"/>
  <c r="D378" i="8" s="1"/>
  <c r="E378" i="8"/>
  <c r="C379" i="8"/>
  <c r="D379" i="8" s="1"/>
  <c r="E379" i="8"/>
  <c r="C380" i="8"/>
  <c r="D380" i="8" s="1"/>
  <c r="E380" i="8"/>
  <c r="C381" i="8"/>
  <c r="D381" i="8" s="1"/>
  <c r="E381" i="8"/>
  <c r="C382" i="8"/>
  <c r="D382" i="8" s="1"/>
  <c r="E382" i="8"/>
  <c r="C383" i="8"/>
  <c r="D383" i="8" s="1"/>
  <c r="E383" i="8"/>
  <c r="C384" i="8"/>
  <c r="D384" i="8" s="1"/>
  <c r="E384" i="8"/>
  <c r="C385" i="8"/>
  <c r="D385" i="8" s="1"/>
  <c r="E385" i="8"/>
  <c r="C386" i="8"/>
  <c r="D386" i="8" s="1"/>
  <c r="E386" i="8"/>
  <c r="C387" i="8"/>
  <c r="D387" i="8" s="1"/>
  <c r="E387" i="8"/>
  <c r="C388" i="8"/>
  <c r="D388" i="8" s="1"/>
  <c r="E388" i="8"/>
  <c r="C389" i="8"/>
  <c r="D389" i="8" s="1"/>
  <c r="E389" i="8"/>
  <c r="C390" i="8"/>
  <c r="D390" i="8" s="1"/>
  <c r="E390" i="8"/>
  <c r="C391" i="8"/>
  <c r="D391" i="8" s="1"/>
  <c r="E391" i="8"/>
  <c r="C392" i="8"/>
  <c r="D392" i="8" s="1"/>
  <c r="E392" i="8"/>
  <c r="C393" i="8"/>
  <c r="D393" i="8" s="1"/>
  <c r="E393" i="8"/>
  <c r="C394" i="8"/>
  <c r="D394" i="8" s="1"/>
  <c r="E394" i="8"/>
  <c r="C395" i="8"/>
  <c r="D395" i="8" s="1"/>
  <c r="E395" i="8"/>
  <c r="C396" i="8"/>
  <c r="D396" i="8" s="1"/>
  <c r="E396" i="8"/>
  <c r="C397" i="8"/>
  <c r="D397" i="8" s="1"/>
  <c r="E397" i="8"/>
  <c r="C398" i="8"/>
  <c r="D398" i="8" s="1"/>
  <c r="E398" i="8"/>
  <c r="C399" i="8"/>
  <c r="D399" i="8" s="1"/>
  <c r="E399" i="8"/>
  <c r="C400" i="8"/>
  <c r="D400" i="8" s="1"/>
  <c r="E400" i="8"/>
  <c r="C401" i="8"/>
  <c r="D401" i="8" s="1"/>
  <c r="E401" i="8"/>
  <c r="C402" i="8"/>
  <c r="D402" i="8" s="1"/>
  <c r="E402" i="8"/>
  <c r="C403" i="8"/>
  <c r="D403" i="8" s="1"/>
  <c r="E403" i="8"/>
  <c r="C404" i="8"/>
  <c r="D404" i="8" s="1"/>
  <c r="E404" i="8"/>
  <c r="C405" i="8"/>
  <c r="D405" i="8" s="1"/>
  <c r="E405" i="8"/>
  <c r="C406" i="8"/>
  <c r="D406" i="8" s="1"/>
  <c r="E406" i="8"/>
  <c r="C407" i="8"/>
  <c r="D407" i="8" s="1"/>
  <c r="E407" i="8"/>
  <c r="C408" i="8"/>
  <c r="D408" i="8" s="1"/>
  <c r="E408" i="8"/>
  <c r="C409" i="8"/>
  <c r="D409" i="8" s="1"/>
  <c r="E409" i="8"/>
  <c r="C410" i="8"/>
  <c r="D410" i="8" s="1"/>
  <c r="E410" i="8"/>
  <c r="C411" i="8"/>
  <c r="D411" i="8" s="1"/>
  <c r="E411" i="8"/>
  <c r="C412" i="8"/>
  <c r="D412" i="8" s="1"/>
  <c r="E412" i="8"/>
  <c r="C413" i="8"/>
  <c r="D413" i="8" s="1"/>
  <c r="E413" i="8"/>
  <c r="C414" i="8"/>
  <c r="D414" i="8" s="1"/>
  <c r="E414" i="8"/>
  <c r="C415" i="8"/>
  <c r="D415" i="8" s="1"/>
  <c r="E415" i="8"/>
  <c r="C416" i="8"/>
  <c r="D416" i="8" s="1"/>
  <c r="E416" i="8"/>
  <c r="C417" i="8"/>
  <c r="D417" i="8" s="1"/>
  <c r="E417" i="8"/>
  <c r="C418" i="8"/>
  <c r="D418" i="8" s="1"/>
  <c r="E418" i="8"/>
  <c r="C419" i="8"/>
  <c r="D419" i="8" s="1"/>
  <c r="E419" i="8"/>
  <c r="C420" i="8"/>
  <c r="D420" i="8" s="1"/>
  <c r="E420" i="8"/>
  <c r="C421" i="8"/>
  <c r="D421" i="8" s="1"/>
  <c r="E421" i="8"/>
  <c r="C422" i="8"/>
  <c r="D422" i="8" s="1"/>
  <c r="E422" i="8"/>
  <c r="C423" i="8"/>
  <c r="D423" i="8" s="1"/>
  <c r="E423" i="8"/>
  <c r="C424" i="8"/>
  <c r="D424" i="8" s="1"/>
  <c r="E424" i="8"/>
  <c r="C425" i="8"/>
  <c r="D425" i="8" s="1"/>
  <c r="E425" i="8"/>
  <c r="C426" i="8"/>
  <c r="D426" i="8" s="1"/>
  <c r="E426" i="8"/>
  <c r="C427" i="8"/>
  <c r="D427" i="8" s="1"/>
  <c r="E427" i="8"/>
  <c r="C428" i="8"/>
  <c r="D428" i="8" s="1"/>
  <c r="E428" i="8"/>
  <c r="C429" i="8"/>
  <c r="D429" i="8" s="1"/>
  <c r="E429" i="8"/>
  <c r="C430" i="8"/>
  <c r="D430" i="8" s="1"/>
  <c r="E430" i="8"/>
  <c r="C431" i="8"/>
  <c r="D431" i="8" s="1"/>
  <c r="E431" i="8"/>
  <c r="C432" i="8"/>
  <c r="D432" i="8" s="1"/>
  <c r="E432" i="8"/>
  <c r="C433" i="8"/>
  <c r="D433" i="8" s="1"/>
  <c r="E433" i="8"/>
  <c r="C434" i="8"/>
  <c r="D434" i="8" s="1"/>
  <c r="E434" i="8"/>
  <c r="C435" i="8"/>
  <c r="D435" i="8" s="1"/>
  <c r="E435" i="8"/>
  <c r="C436" i="8"/>
  <c r="D436" i="8" s="1"/>
  <c r="E436" i="8"/>
  <c r="C437" i="8"/>
  <c r="D437" i="8" s="1"/>
  <c r="E437" i="8"/>
  <c r="C438" i="8"/>
  <c r="D438" i="8" s="1"/>
  <c r="E438" i="8"/>
  <c r="C439" i="8"/>
  <c r="D439" i="8" s="1"/>
  <c r="E439" i="8"/>
  <c r="C440" i="8"/>
  <c r="D440" i="8" s="1"/>
  <c r="E440" i="8"/>
  <c r="C441" i="8"/>
  <c r="D441" i="8" s="1"/>
  <c r="E441" i="8"/>
  <c r="C442" i="8"/>
  <c r="D442" i="8" s="1"/>
  <c r="E442" i="8"/>
  <c r="C443" i="8"/>
  <c r="D443" i="8" s="1"/>
  <c r="E443" i="8"/>
  <c r="C444" i="8"/>
  <c r="D444" i="8" s="1"/>
  <c r="E444" i="8"/>
  <c r="C445" i="8"/>
  <c r="D445" i="8" s="1"/>
  <c r="E445" i="8"/>
  <c r="C446" i="8"/>
  <c r="D446" i="8" s="1"/>
  <c r="E446" i="8"/>
  <c r="C447" i="8"/>
  <c r="D447" i="8" s="1"/>
  <c r="E447" i="8"/>
  <c r="C448" i="8"/>
  <c r="D448" i="8" s="1"/>
  <c r="E448" i="8"/>
  <c r="C449" i="8"/>
  <c r="D449" i="8" s="1"/>
  <c r="E449" i="8"/>
  <c r="C450" i="8"/>
  <c r="D450" i="8" s="1"/>
  <c r="E450" i="8"/>
  <c r="C451" i="8"/>
  <c r="D451" i="8" s="1"/>
  <c r="E451" i="8"/>
  <c r="C452" i="8"/>
  <c r="D452" i="8" s="1"/>
  <c r="E452" i="8"/>
  <c r="C453" i="8"/>
  <c r="D453" i="8" s="1"/>
  <c r="E453" i="8"/>
  <c r="C454" i="8"/>
  <c r="D454" i="8" s="1"/>
  <c r="E454" i="8"/>
  <c r="C455" i="8"/>
  <c r="D455" i="8" s="1"/>
  <c r="E455" i="8"/>
  <c r="C456" i="8"/>
  <c r="D456" i="8" s="1"/>
  <c r="E456" i="8"/>
  <c r="C457" i="8"/>
  <c r="D457" i="8" s="1"/>
  <c r="E457" i="8"/>
  <c r="C458" i="8"/>
  <c r="D458" i="8" s="1"/>
  <c r="E458" i="8"/>
  <c r="C459" i="8"/>
  <c r="D459" i="8" s="1"/>
  <c r="E459" i="8"/>
  <c r="C460" i="8"/>
  <c r="D460" i="8" s="1"/>
  <c r="E460" i="8"/>
  <c r="C461" i="8"/>
  <c r="D461" i="8" s="1"/>
  <c r="E461" i="8"/>
  <c r="C462" i="8"/>
  <c r="D462" i="8" s="1"/>
  <c r="E462" i="8"/>
  <c r="C463" i="8"/>
  <c r="D463" i="8" s="1"/>
  <c r="E463" i="8"/>
  <c r="C464" i="8"/>
  <c r="D464" i="8" s="1"/>
  <c r="E464" i="8"/>
  <c r="C465" i="8"/>
  <c r="D465" i="8" s="1"/>
  <c r="E465" i="8"/>
  <c r="C466" i="8"/>
  <c r="D466" i="8" s="1"/>
  <c r="E466" i="8"/>
  <c r="C467" i="8"/>
  <c r="D467" i="8" s="1"/>
  <c r="E467" i="8"/>
  <c r="C468" i="8"/>
  <c r="D468" i="8" s="1"/>
  <c r="E468" i="8"/>
  <c r="C469" i="8"/>
  <c r="D469" i="8" s="1"/>
  <c r="E469" i="8"/>
  <c r="C470" i="8"/>
  <c r="D470" i="8" s="1"/>
  <c r="E470" i="8"/>
  <c r="C471" i="8"/>
  <c r="D471" i="8" s="1"/>
  <c r="E471" i="8"/>
  <c r="C472" i="8"/>
  <c r="D472" i="8" s="1"/>
  <c r="E472" i="8"/>
  <c r="C473" i="8"/>
  <c r="D473" i="8" s="1"/>
  <c r="E473" i="8"/>
  <c r="C474" i="8"/>
  <c r="D474" i="8" s="1"/>
  <c r="E474" i="8"/>
  <c r="C475" i="8"/>
  <c r="D475" i="8" s="1"/>
  <c r="E475" i="8"/>
  <c r="C476" i="8"/>
  <c r="D476" i="8" s="1"/>
  <c r="E476" i="8"/>
  <c r="C477" i="8"/>
  <c r="D477" i="8" s="1"/>
  <c r="E477" i="8"/>
  <c r="C478" i="8"/>
  <c r="D478" i="8" s="1"/>
  <c r="E478" i="8"/>
  <c r="C479" i="8"/>
  <c r="D479" i="8" s="1"/>
  <c r="E479" i="8"/>
  <c r="C480" i="8"/>
  <c r="D480" i="8" s="1"/>
  <c r="E480" i="8"/>
  <c r="C481" i="8"/>
  <c r="D481" i="8" s="1"/>
  <c r="E481" i="8"/>
  <c r="C482" i="8"/>
  <c r="D482" i="8" s="1"/>
  <c r="E482" i="8"/>
  <c r="C483" i="8"/>
  <c r="D483" i="8" s="1"/>
  <c r="E483" i="8"/>
  <c r="C484" i="8"/>
  <c r="D484" i="8" s="1"/>
  <c r="E484" i="8"/>
  <c r="C485" i="8"/>
  <c r="D485" i="8" s="1"/>
  <c r="E485" i="8"/>
  <c r="C486" i="8"/>
  <c r="D486" i="8" s="1"/>
  <c r="E486" i="8"/>
  <c r="C487" i="8"/>
  <c r="D487" i="8" s="1"/>
  <c r="E487" i="8"/>
  <c r="C488" i="8"/>
  <c r="D488" i="8" s="1"/>
  <c r="E488" i="8"/>
  <c r="C489" i="8"/>
  <c r="D489" i="8" s="1"/>
  <c r="E489" i="8"/>
  <c r="C490" i="8"/>
  <c r="D490" i="8" s="1"/>
  <c r="E490" i="8"/>
  <c r="C491" i="8"/>
  <c r="D491" i="8" s="1"/>
  <c r="E491" i="8"/>
  <c r="C492" i="8"/>
  <c r="D492" i="8" s="1"/>
  <c r="E492" i="8"/>
  <c r="C493" i="8"/>
  <c r="D493" i="8" s="1"/>
  <c r="E493" i="8"/>
  <c r="C494" i="8"/>
  <c r="D494" i="8" s="1"/>
  <c r="E494" i="8"/>
  <c r="C495" i="8"/>
  <c r="D495" i="8" s="1"/>
  <c r="E495" i="8"/>
  <c r="C496" i="8"/>
  <c r="D496" i="8" s="1"/>
  <c r="E496" i="8"/>
  <c r="C497" i="8"/>
  <c r="D497" i="8" s="1"/>
  <c r="E497" i="8"/>
  <c r="C498" i="8"/>
  <c r="D498" i="8" s="1"/>
  <c r="E498" i="8"/>
  <c r="C499" i="8"/>
  <c r="D499" i="8" s="1"/>
  <c r="E499" i="8"/>
  <c r="C500" i="8"/>
  <c r="D500" i="8" s="1"/>
  <c r="E500" i="8"/>
  <c r="C501" i="8"/>
  <c r="D501" i="8" s="1"/>
  <c r="E501" i="8"/>
  <c r="C502" i="8"/>
  <c r="D502" i="8" s="1"/>
  <c r="E502" i="8"/>
  <c r="C503" i="8"/>
  <c r="D503" i="8" s="1"/>
  <c r="E503" i="8"/>
  <c r="C504" i="8"/>
  <c r="D504" i="8" s="1"/>
  <c r="E504" i="8"/>
  <c r="C505" i="8"/>
  <c r="D505" i="8" s="1"/>
  <c r="E505" i="8"/>
  <c r="C506" i="8"/>
  <c r="D506" i="8" s="1"/>
  <c r="E506" i="8"/>
  <c r="C507" i="8"/>
  <c r="D507" i="8" s="1"/>
  <c r="E507" i="8"/>
  <c r="C508" i="8"/>
  <c r="D508" i="8" s="1"/>
  <c r="E508" i="8"/>
  <c r="C509" i="8"/>
  <c r="D509" i="8" s="1"/>
  <c r="E509" i="8"/>
  <c r="C510" i="8"/>
  <c r="D510" i="8" s="1"/>
  <c r="E510" i="8"/>
  <c r="C511" i="8"/>
  <c r="D511" i="8" s="1"/>
  <c r="E511" i="8"/>
  <c r="C512" i="8"/>
  <c r="D512" i="8" s="1"/>
  <c r="E512" i="8"/>
  <c r="C513" i="8"/>
  <c r="D513" i="8" s="1"/>
  <c r="E513" i="8"/>
  <c r="C514" i="8"/>
  <c r="D514" i="8" s="1"/>
  <c r="E514" i="8"/>
  <c r="C515" i="8"/>
  <c r="D515" i="8" s="1"/>
  <c r="E515" i="8"/>
  <c r="C516" i="8"/>
  <c r="D516" i="8" s="1"/>
  <c r="E516" i="8"/>
  <c r="C517" i="8"/>
  <c r="D517" i="8" s="1"/>
  <c r="E517" i="8"/>
  <c r="C518" i="8"/>
  <c r="D518" i="8" s="1"/>
  <c r="E518" i="8"/>
  <c r="C519" i="8"/>
  <c r="D519" i="8" s="1"/>
  <c r="E519" i="8"/>
  <c r="C520" i="8"/>
  <c r="D520" i="8" s="1"/>
  <c r="E520" i="8"/>
  <c r="C521" i="8"/>
  <c r="D521" i="8" s="1"/>
  <c r="E521" i="8"/>
  <c r="C522" i="8"/>
  <c r="D522" i="8" s="1"/>
  <c r="E522" i="8"/>
  <c r="C523" i="8"/>
  <c r="D523" i="8" s="1"/>
  <c r="E523" i="8"/>
  <c r="C524" i="8"/>
  <c r="D524" i="8" s="1"/>
  <c r="E524" i="8"/>
  <c r="C525" i="8"/>
  <c r="D525" i="8" s="1"/>
  <c r="E525" i="8"/>
  <c r="C526" i="8"/>
  <c r="D526" i="8" s="1"/>
  <c r="E526" i="8"/>
  <c r="C527" i="8"/>
  <c r="D527" i="8" s="1"/>
  <c r="E527" i="8"/>
  <c r="C528" i="8"/>
  <c r="D528" i="8" s="1"/>
  <c r="E528" i="8"/>
  <c r="C529" i="8"/>
  <c r="D529" i="8" s="1"/>
  <c r="E529" i="8"/>
  <c r="C530" i="8"/>
  <c r="D530" i="8" s="1"/>
  <c r="E530" i="8"/>
  <c r="C531" i="8"/>
  <c r="D531" i="8" s="1"/>
  <c r="E531" i="8"/>
  <c r="C532" i="8"/>
  <c r="D532" i="8" s="1"/>
  <c r="E532" i="8"/>
  <c r="C533" i="8"/>
  <c r="D533" i="8" s="1"/>
  <c r="E533" i="8"/>
  <c r="C534" i="8"/>
  <c r="D534" i="8" s="1"/>
  <c r="E534" i="8"/>
  <c r="C535" i="8"/>
  <c r="D535" i="8" s="1"/>
  <c r="E535" i="8"/>
  <c r="C536" i="8"/>
  <c r="D536" i="8" s="1"/>
  <c r="E536" i="8"/>
  <c r="C537" i="8"/>
  <c r="D537" i="8" s="1"/>
  <c r="E537" i="8"/>
  <c r="C538" i="8"/>
  <c r="D538" i="8" s="1"/>
  <c r="E538" i="8"/>
  <c r="C539" i="8"/>
  <c r="D539" i="8" s="1"/>
  <c r="E539" i="8"/>
  <c r="C540" i="8"/>
  <c r="D540" i="8" s="1"/>
  <c r="E540" i="8"/>
  <c r="C541" i="8"/>
  <c r="D541" i="8" s="1"/>
  <c r="E541" i="8"/>
  <c r="C542" i="8"/>
  <c r="D542" i="8" s="1"/>
  <c r="E542" i="8"/>
  <c r="C543" i="8"/>
  <c r="D543" i="8" s="1"/>
  <c r="E543" i="8"/>
  <c r="C544" i="8"/>
  <c r="D544" i="8" s="1"/>
  <c r="E544" i="8"/>
  <c r="C545" i="8"/>
  <c r="D545" i="8" s="1"/>
  <c r="E545" i="8"/>
  <c r="C546" i="8"/>
  <c r="D546" i="8" s="1"/>
  <c r="E546" i="8"/>
  <c r="C547" i="8"/>
  <c r="D547" i="8" s="1"/>
  <c r="E547" i="8"/>
  <c r="C548" i="8"/>
  <c r="D548" i="8" s="1"/>
  <c r="E548" i="8"/>
  <c r="C549" i="8"/>
  <c r="D549" i="8" s="1"/>
  <c r="E549" i="8"/>
  <c r="C550" i="8"/>
  <c r="D550" i="8" s="1"/>
  <c r="E550" i="8"/>
  <c r="C551" i="8"/>
  <c r="D551" i="8" s="1"/>
  <c r="E551" i="8"/>
  <c r="C552" i="8"/>
  <c r="D552" i="8" s="1"/>
  <c r="E552" i="8"/>
  <c r="C553" i="8"/>
  <c r="D553" i="8" s="1"/>
  <c r="E553" i="8"/>
  <c r="C554" i="8"/>
  <c r="D554" i="8" s="1"/>
  <c r="E554" i="8"/>
  <c r="C555" i="8"/>
  <c r="D555" i="8" s="1"/>
  <c r="E555" i="8"/>
  <c r="C556" i="8"/>
  <c r="D556" i="8" s="1"/>
  <c r="E556" i="8"/>
  <c r="C557" i="8"/>
  <c r="D557" i="8" s="1"/>
  <c r="E557" i="8"/>
  <c r="C558" i="8"/>
  <c r="D558" i="8" s="1"/>
  <c r="E558" i="8"/>
  <c r="C559" i="8"/>
  <c r="D559" i="8" s="1"/>
  <c r="E559" i="8"/>
  <c r="C560" i="8"/>
  <c r="D560" i="8" s="1"/>
  <c r="E560" i="8"/>
  <c r="C561" i="8"/>
  <c r="D561" i="8" s="1"/>
  <c r="E561" i="8"/>
  <c r="C562" i="8"/>
  <c r="D562" i="8" s="1"/>
  <c r="E562" i="8"/>
  <c r="C563" i="8"/>
  <c r="D563" i="8" s="1"/>
  <c r="E563" i="8"/>
  <c r="C564" i="8"/>
  <c r="D564" i="8" s="1"/>
  <c r="E564" i="8"/>
  <c r="C565" i="8"/>
  <c r="D565" i="8" s="1"/>
  <c r="E565" i="8"/>
  <c r="C566" i="8"/>
  <c r="D566" i="8" s="1"/>
  <c r="E566" i="8"/>
  <c r="C567" i="8"/>
  <c r="D567" i="8" s="1"/>
  <c r="E567" i="8"/>
  <c r="C568" i="8"/>
  <c r="D568" i="8" s="1"/>
  <c r="E568" i="8"/>
  <c r="C569" i="8"/>
  <c r="D569" i="8" s="1"/>
  <c r="E569" i="8"/>
  <c r="C570" i="8"/>
  <c r="D570" i="8" s="1"/>
  <c r="E570" i="8"/>
  <c r="C571" i="8"/>
  <c r="D571" i="8" s="1"/>
  <c r="E571" i="8"/>
  <c r="C572" i="8"/>
  <c r="D572" i="8" s="1"/>
  <c r="E572" i="8"/>
  <c r="C573" i="8"/>
  <c r="D573" i="8" s="1"/>
  <c r="E573" i="8"/>
  <c r="C574" i="8"/>
  <c r="D574" i="8" s="1"/>
  <c r="E574" i="8"/>
  <c r="C575" i="8"/>
  <c r="D575" i="8" s="1"/>
  <c r="E575" i="8"/>
  <c r="C576" i="8"/>
  <c r="D576" i="8" s="1"/>
  <c r="E576" i="8"/>
  <c r="C577" i="8"/>
  <c r="D577" i="8" s="1"/>
  <c r="E577" i="8"/>
  <c r="C578" i="8"/>
  <c r="D578" i="8" s="1"/>
  <c r="E578" i="8"/>
  <c r="C579" i="8"/>
  <c r="D579" i="8" s="1"/>
  <c r="E579" i="8"/>
  <c r="C580" i="8"/>
  <c r="D580" i="8" s="1"/>
  <c r="E580" i="8"/>
  <c r="C581" i="8"/>
  <c r="D581" i="8" s="1"/>
  <c r="E581" i="8"/>
  <c r="C582" i="8"/>
  <c r="D582" i="8" s="1"/>
  <c r="E582" i="8"/>
  <c r="C583" i="8"/>
  <c r="D583" i="8" s="1"/>
  <c r="E583" i="8"/>
  <c r="C584" i="8"/>
  <c r="D584" i="8" s="1"/>
  <c r="E584" i="8"/>
  <c r="C585" i="8"/>
  <c r="D585" i="8" s="1"/>
  <c r="E585" i="8"/>
  <c r="C586" i="8"/>
  <c r="D586" i="8" s="1"/>
  <c r="E586" i="8"/>
  <c r="C587" i="8"/>
  <c r="D587" i="8" s="1"/>
  <c r="E587" i="8"/>
  <c r="C588" i="8"/>
  <c r="D588" i="8" s="1"/>
  <c r="E588" i="8"/>
  <c r="C589" i="8"/>
  <c r="D589" i="8" s="1"/>
  <c r="E589" i="8"/>
  <c r="C590" i="8"/>
  <c r="D590" i="8" s="1"/>
  <c r="E590" i="8"/>
  <c r="C591" i="8"/>
  <c r="D591" i="8" s="1"/>
  <c r="E591" i="8"/>
  <c r="C592" i="8"/>
  <c r="D592" i="8" s="1"/>
  <c r="E592" i="8"/>
  <c r="C593" i="8"/>
  <c r="D593" i="8" s="1"/>
  <c r="E593" i="8"/>
  <c r="C594" i="8"/>
  <c r="D594" i="8" s="1"/>
  <c r="E594" i="8"/>
  <c r="C595" i="8"/>
  <c r="D595" i="8" s="1"/>
  <c r="E595" i="8"/>
  <c r="C596" i="8"/>
  <c r="D596" i="8" s="1"/>
  <c r="E596" i="8"/>
  <c r="C597" i="8"/>
  <c r="D597" i="8" s="1"/>
  <c r="E597" i="8"/>
  <c r="C598" i="8"/>
  <c r="D598" i="8" s="1"/>
  <c r="E598" i="8"/>
  <c r="C599" i="8"/>
  <c r="D599" i="8" s="1"/>
  <c r="E599" i="8"/>
  <c r="C600" i="8"/>
  <c r="D600" i="8" s="1"/>
  <c r="E600" i="8"/>
  <c r="C601" i="8"/>
  <c r="D601" i="8" s="1"/>
  <c r="E601" i="8"/>
  <c r="C602" i="8"/>
  <c r="D602" i="8" s="1"/>
  <c r="E602" i="8"/>
  <c r="C603" i="8"/>
  <c r="D603" i="8" s="1"/>
  <c r="E603" i="8"/>
  <c r="C604" i="8"/>
  <c r="D604" i="8" s="1"/>
  <c r="E604" i="8"/>
  <c r="C605" i="8"/>
  <c r="D605" i="8" s="1"/>
  <c r="E605" i="8"/>
  <c r="C606" i="8"/>
  <c r="D606" i="8" s="1"/>
  <c r="E606" i="8"/>
  <c r="C607" i="8"/>
  <c r="D607" i="8" s="1"/>
  <c r="E607" i="8"/>
  <c r="C608" i="8"/>
  <c r="D608" i="8" s="1"/>
  <c r="E608" i="8"/>
  <c r="C609" i="8"/>
  <c r="D609" i="8" s="1"/>
  <c r="E609" i="8"/>
  <c r="C610" i="8"/>
  <c r="D610" i="8" s="1"/>
  <c r="E610" i="8"/>
  <c r="C611" i="8"/>
  <c r="D611" i="8" s="1"/>
  <c r="E611" i="8"/>
  <c r="C612" i="8"/>
  <c r="D612" i="8" s="1"/>
  <c r="E612" i="8"/>
  <c r="C613" i="8"/>
  <c r="D613" i="8" s="1"/>
  <c r="E613" i="8"/>
  <c r="C614" i="8"/>
  <c r="D614" i="8" s="1"/>
  <c r="E614" i="8"/>
  <c r="C615" i="8"/>
  <c r="D615" i="8" s="1"/>
  <c r="E615" i="8"/>
  <c r="C616" i="8"/>
  <c r="D616" i="8" s="1"/>
  <c r="E616" i="8"/>
  <c r="C617" i="8"/>
  <c r="D617" i="8" s="1"/>
  <c r="E617" i="8"/>
  <c r="C618" i="8"/>
  <c r="D618" i="8" s="1"/>
  <c r="E618" i="8"/>
  <c r="C619" i="8"/>
  <c r="D619" i="8" s="1"/>
  <c r="E619" i="8"/>
  <c r="C620" i="8"/>
  <c r="D620" i="8" s="1"/>
  <c r="E620" i="8"/>
  <c r="C621" i="8"/>
  <c r="D621" i="8" s="1"/>
  <c r="E621" i="8"/>
  <c r="C622" i="8"/>
  <c r="D622" i="8" s="1"/>
  <c r="E622" i="8"/>
  <c r="C623" i="8"/>
  <c r="D623" i="8" s="1"/>
  <c r="E623" i="8"/>
  <c r="C624" i="8"/>
  <c r="D624" i="8" s="1"/>
  <c r="E624" i="8"/>
  <c r="C625" i="8"/>
  <c r="D625" i="8" s="1"/>
  <c r="E625" i="8"/>
  <c r="C626" i="8"/>
  <c r="D626" i="8" s="1"/>
  <c r="E626" i="8"/>
  <c r="C627" i="8"/>
  <c r="D627" i="8" s="1"/>
  <c r="E627" i="8"/>
  <c r="C628" i="8"/>
  <c r="D628" i="8" s="1"/>
  <c r="E628" i="8"/>
  <c r="C629" i="8"/>
  <c r="D629" i="8" s="1"/>
  <c r="E629" i="8"/>
  <c r="C630" i="8"/>
  <c r="D630" i="8" s="1"/>
  <c r="E630" i="8"/>
  <c r="C631" i="8"/>
  <c r="D631" i="8" s="1"/>
  <c r="E631" i="8"/>
  <c r="C632" i="8"/>
  <c r="D632" i="8" s="1"/>
  <c r="E632" i="8"/>
  <c r="C633" i="8"/>
  <c r="D633" i="8" s="1"/>
  <c r="E633" i="8"/>
  <c r="C634" i="8"/>
  <c r="D634" i="8" s="1"/>
  <c r="E634" i="8"/>
  <c r="C635" i="8"/>
  <c r="D635" i="8" s="1"/>
  <c r="E635" i="8"/>
  <c r="C636" i="8"/>
  <c r="D636" i="8" s="1"/>
  <c r="E636" i="8"/>
  <c r="C637" i="8"/>
  <c r="D637" i="8" s="1"/>
  <c r="E637" i="8"/>
  <c r="C638" i="8"/>
  <c r="D638" i="8" s="1"/>
  <c r="E638" i="8"/>
  <c r="C639" i="8"/>
  <c r="D639" i="8" s="1"/>
  <c r="E639" i="8"/>
  <c r="C640" i="8"/>
  <c r="D640" i="8" s="1"/>
  <c r="E640" i="8"/>
  <c r="C641" i="8"/>
  <c r="D641" i="8" s="1"/>
  <c r="E641" i="8"/>
  <c r="C642" i="8"/>
  <c r="D642" i="8" s="1"/>
  <c r="E642" i="8"/>
  <c r="C643" i="8"/>
  <c r="D643" i="8" s="1"/>
  <c r="E643" i="8"/>
  <c r="C644" i="8"/>
  <c r="D644" i="8" s="1"/>
  <c r="E644" i="8"/>
  <c r="C645" i="8"/>
  <c r="D645" i="8" s="1"/>
  <c r="E645" i="8"/>
  <c r="C646" i="8"/>
  <c r="D646" i="8" s="1"/>
  <c r="E646" i="8"/>
  <c r="C647" i="8"/>
  <c r="D647" i="8" s="1"/>
  <c r="E647" i="8"/>
  <c r="C648" i="8"/>
  <c r="D648" i="8" s="1"/>
  <c r="E648" i="8"/>
  <c r="C649" i="8"/>
  <c r="D649" i="8" s="1"/>
  <c r="E649" i="8"/>
  <c r="C650" i="8"/>
  <c r="D650" i="8" s="1"/>
  <c r="E650" i="8"/>
  <c r="C651" i="8"/>
  <c r="D651" i="8" s="1"/>
  <c r="E651" i="8"/>
  <c r="C652" i="8"/>
  <c r="D652" i="8" s="1"/>
  <c r="E652" i="8"/>
  <c r="C653" i="8"/>
  <c r="D653" i="8" s="1"/>
  <c r="E653" i="8"/>
  <c r="C654" i="8"/>
  <c r="D654" i="8" s="1"/>
  <c r="E654" i="8"/>
  <c r="C655" i="8"/>
  <c r="D655" i="8" s="1"/>
  <c r="E655" i="8"/>
  <c r="C656" i="8"/>
  <c r="D656" i="8" s="1"/>
  <c r="E656" i="8"/>
  <c r="C657" i="8"/>
  <c r="D657" i="8" s="1"/>
  <c r="E657" i="8"/>
  <c r="C658" i="8"/>
  <c r="D658" i="8" s="1"/>
  <c r="E658" i="8"/>
  <c r="C659" i="8"/>
  <c r="D659" i="8" s="1"/>
  <c r="E659" i="8"/>
  <c r="C660" i="8"/>
  <c r="D660" i="8" s="1"/>
  <c r="E660" i="8"/>
  <c r="C661" i="8"/>
  <c r="D661" i="8" s="1"/>
  <c r="E661" i="8"/>
  <c r="C662" i="8"/>
  <c r="D662" i="8" s="1"/>
  <c r="E662" i="8"/>
  <c r="C663" i="8"/>
  <c r="D663" i="8" s="1"/>
  <c r="E663" i="8"/>
  <c r="C664" i="8"/>
  <c r="D664" i="8" s="1"/>
  <c r="E664" i="8"/>
  <c r="C665" i="8"/>
  <c r="D665" i="8" s="1"/>
  <c r="E665" i="8"/>
  <c r="C666" i="8"/>
  <c r="D666" i="8" s="1"/>
  <c r="E666" i="8"/>
  <c r="C667" i="8"/>
  <c r="D667" i="8" s="1"/>
  <c r="E667" i="8"/>
  <c r="C668" i="8"/>
  <c r="D668" i="8" s="1"/>
  <c r="E668" i="8"/>
  <c r="C669" i="8"/>
  <c r="D669" i="8" s="1"/>
  <c r="E669" i="8"/>
  <c r="C670" i="8"/>
  <c r="D670" i="8" s="1"/>
  <c r="E670" i="8"/>
  <c r="C671" i="8"/>
  <c r="D671" i="8" s="1"/>
  <c r="E671" i="8"/>
  <c r="C672" i="8"/>
  <c r="D672" i="8" s="1"/>
  <c r="E672" i="8"/>
  <c r="C673" i="8"/>
  <c r="D673" i="8" s="1"/>
  <c r="E673" i="8"/>
  <c r="C674" i="8"/>
  <c r="D674" i="8" s="1"/>
  <c r="E674" i="8"/>
  <c r="C675" i="8"/>
  <c r="D675" i="8" s="1"/>
  <c r="E675" i="8"/>
  <c r="C676" i="8"/>
  <c r="D676" i="8" s="1"/>
  <c r="E676" i="8"/>
  <c r="C677" i="8"/>
  <c r="D677" i="8" s="1"/>
  <c r="E677" i="8"/>
  <c r="C678" i="8"/>
  <c r="D678" i="8" s="1"/>
  <c r="E678" i="8"/>
  <c r="C679" i="8"/>
  <c r="D679" i="8" s="1"/>
  <c r="E679" i="8"/>
  <c r="C680" i="8"/>
  <c r="D680" i="8" s="1"/>
  <c r="E680" i="8"/>
  <c r="C681" i="8"/>
  <c r="D681" i="8" s="1"/>
  <c r="E681" i="8"/>
  <c r="C682" i="8"/>
  <c r="D682" i="8" s="1"/>
  <c r="E682" i="8"/>
  <c r="C683" i="8"/>
  <c r="D683" i="8" s="1"/>
  <c r="E683" i="8"/>
  <c r="C684" i="8"/>
  <c r="D684" i="8" s="1"/>
  <c r="E684" i="8"/>
  <c r="C685" i="8"/>
  <c r="D685" i="8" s="1"/>
  <c r="E685" i="8"/>
  <c r="C686" i="8"/>
  <c r="D686" i="8" s="1"/>
  <c r="E686" i="8"/>
  <c r="C687" i="8"/>
  <c r="D687" i="8" s="1"/>
  <c r="E687" i="8"/>
  <c r="C688" i="8"/>
  <c r="D688" i="8" s="1"/>
  <c r="E688" i="8"/>
  <c r="C689" i="8"/>
  <c r="D689" i="8" s="1"/>
  <c r="E689" i="8"/>
  <c r="C690" i="8"/>
  <c r="D690" i="8" s="1"/>
  <c r="E690" i="8"/>
  <c r="C691" i="8"/>
  <c r="D691" i="8" s="1"/>
  <c r="E691" i="8"/>
  <c r="C692" i="8"/>
  <c r="D692" i="8" s="1"/>
  <c r="E692" i="8"/>
  <c r="C693" i="8"/>
  <c r="D693" i="8" s="1"/>
  <c r="E693" i="8"/>
  <c r="C694" i="8"/>
  <c r="D694" i="8" s="1"/>
  <c r="E694" i="8"/>
  <c r="C695" i="8"/>
  <c r="D695" i="8" s="1"/>
  <c r="E695" i="8"/>
  <c r="C696" i="8"/>
  <c r="D696" i="8" s="1"/>
  <c r="E696" i="8"/>
  <c r="C697" i="8"/>
  <c r="D697" i="8" s="1"/>
  <c r="E697" i="8"/>
  <c r="C698" i="8"/>
  <c r="D698" i="8" s="1"/>
  <c r="E698" i="8"/>
  <c r="C699" i="8"/>
  <c r="D699" i="8" s="1"/>
  <c r="E699" i="8"/>
  <c r="C700" i="8"/>
  <c r="D700" i="8" s="1"/>
  <c r="E700" i="8"/>
  <c r="C701" i="8"/>
  <c r="D701" i="8" s="1"/>
  <c r="E701" i="8"/>
  <c r="C702" i="8"/>
  <c r="D702" i="8" s="1"/>
  <c r="E702" i="8"/>
  <c r="C703" i="8"/>
  <c r="D703" i="8" s="1"/>
  <c r="E703" i="8"/>
  <c r="C704" i="8"/>
  <c r="D704" i="8" s="1"/>
  <c r="E704" i="8"/>
  <c r="C705" i="8"/>
  <c r="D705" i="8" s="1"/>
  <c r="E705" i="8"/>
  <c r="C706" i="8"/>
  <c r="D706" i="8" s="1"/>
  <c r="E706" i="8"/>
  <c r="C707" i="8"/>
  <c r="D707" i="8" s="1"/>
  <c r="E707" i="8"/>
  <c r="C708" i="8"/>
  <c r="D708" i="8" s="1"/>
  <c r="E708" i="8"/>
  <c r="C709" i="8"/>
  <c r="D709" i="8" s="1"/>
  <c r="E709" i="8"/>
  <c r="C710" i="8"/>
  <c r="D710" i="8" s="1"/>
  <c r="E710" i="8"/>
  <c r="C711" i="8"/>
  <c r="D711" i="8" s="1"/>
  <c r="E711" i="8"/>
  <c r="C712" i="8"/>
  <c r="D712" i="8" s="1"/>
  <c r="E712" i="8"/>
  <c r="C713" i="8"/>
  <c r="D713" i="8" s="1"/>
  <c r="E713" i="8"/>
  <c r="C714" i="8"/>
  <c r="D714" i="8" s="1"/>
  <c r="E714" i="8"/>
  <c r="C715" i="8"/>
  <c r="D715" i="8" s="1"/>
  <c r="E715" i="8"/>
  <c r="C716" i="8"/>
  <c r="D716" i="8" s="1"/>
  <c r="E716" i="8"/>
  <c r="C717" i="8"/>
  <c r="D717" i="8" s="1"/>
  <c r="E717" i="8"/>
  <c r="C718" i="8"/>
  <c r="D718" i="8" s="1"/>
  <c r="E718" i="8"/>
  <c r="C719" i="8"/>
  <c r="D719" i="8" s="1"/>
  <c r="E719" i="8"/>
  <c r="C720" i="8"/>
  <c r="D720" i="8" s="1"/>
  <c r="E720" i="8"/>
  <c r="C721" i="8"/>
  <c r="D721" i="8" s="1"/>
  <c r="E721" i="8"/>
  <c r="C722" i="8"/>
  <c r="D722" i="8" s="1"/>
  <c r="E722" i="8"/>
  <c r="C723" i="8"/>
  <c r="D723" i="8" s="1"/>
  <c r="E723" i="8"/>
  <c r="C724" i="8"/>
  <c r="D724" i="8" s="1"/>
  <c r="E724" i="8"/>
  <c r="C725" i="8"/>
  <c r="D725" i="8" s="1"/>
  <c r="E725" i="8"/>
  <c r="C726" i="8"/>
  <c r="D726" i="8" s="1"/>
  <c r="E726" i="8"/>
  <c r="C727" i="8"/>
  <c r="D727" i="8" s="1"/>
  <c r="E727" i="8"/>
  <c r="C728" i="8"/>
  <c r="D728" i="8" s="1"/>
  <c r="E728" i="8"/>
  <c r="C729" i="8"/>
  <c r="D729" i="8" s="1"/>
  <c r="E729" i="8"/>
  <c r="C730" i="8"/>
  <c r="D730" i="8" s="1"/>
  <c r="E730" i="8"/>
  <c r="C731" i="8"/>
  <c r="D731" i="8" s="1"/>
  <c r="E731" i="8"/>
  <c r="C732" i="8"/>
  <c r="D732" i="8" s="1"/>
  <c r="E732" i="8"/>
  <c r="C733" i="8"/>
  <c r="D733" i="8" s="1"/>
  <c r="E733" i="8"/>
  <c r="C734" i="8"/>
  <c r="D734" i="8" s="1"/>
  <c r="E734" i="8"/>
  <c r="C735" i="8"/>
  <c r="D735" i="8" s="1"/>
  <c r="E735" i="8"/>
  <c r="C736" i="8"/>
  <c r="D736" i="8" s="1"/>
  <c r="E736" i="8"/>
  <c r="C737" i="8"/>
  <c r="D737" i="8" s="1"/>
  <c r="E737" i="8"/>
  <c r="C738" i="8"/>
  <c r="D738" i="8" s="1"/>
  <c r="E738" i="8"/>
  <c r="C739" i="8"/>
  <c r="D739" i="8" s="1"/>
  <c r="E739" i="8"/>
  <c r="C740" i="8"/>
  <c r="D740" i="8" s="1"/>
  <c r="E740" i="8"/>
  <c r="C741" i="8"/>
  <c r="D741" i="8" s="1"/>
  <c r="E741" i="8"/>
  <c r="C742" i="8"/>
  <c r="D742" i="8" s="1"/>
  <c r="E742" i="8"/>
  <c r="C743" i="8"/>
  <c r="D743" i="8" s="1"/>
  <c r="E743" i="8"/>
  <c r="C744" i="8"/>
  <c r="D744" i="8" s="1"/>
  <c r="E744" i="8"/>
  <c r="C745" i="8"/>
  <c r="D745" i="8" s="1"/>
  <c r="E745" i="8"/>
  <c r="C746" i="8"/>
  <c r="D746" i="8" s="1"/>
  <c r="E746" i="8"/>
  <c r="C747" i="8"/>
  <c r="D747" i="8" s="1"/>
  <c r="E747" i="8"/>
  <c r="C748" i="8"/>
  <c r="D748" i="8" s="1"/>
  <c r="E748" i="8"/>
  <c r="C749" i="8"/>
  <c r="D749" i="8" s="1"/>
  <c r="E749" i="8"/>
  <c r="C750" i="8"/>
  <c r="D750" i="8" s="1"/>
  <c r="E750" i="8"/>
  <c r="C751" i="8"/>
  <c r="D751" i="8" s="1"/>
  <c r="E751" i="8"/>
  <c r="C752" i="8"/>
  <c r="D752" i="8" s="1"/>
  <c r="E752" i="8"/>
  <c r="C753" i="8"/>
  <c r="D753" i="8" s="1"/>
  <c r="E753" i="8"/>
  <c r="C754" i="8"/>
  <c r="D754" i="8" s="1"/>
  <c r="E754" i="8"/>
  <c r="C755" i="8"/>
  <c r="D755" i="8" s="1"/>
  <c r="E755" i="8"/>
  <c r="C756" i="8"/>
  <c r="D756" i="8" s="1"/>
  <c r="E756" i="8"/>
  <c r="C757" i="8"/>
  <c r="D757" i="8" s="1"/>
  <c r="E757" i="8"/>
  <c r="C758" i="8"/>
  <c r="D758" i="8" s="1"/>
  <c r="E758" i="8"/>
  <c r="C759" i="8"/>
  <c r="D759" i="8" s="1"/>
  <c r="E759" i="8"/>
  <c r="C760" i="8"/>
  <c r="D760" i="8" s="1"/>
  <c r="E760" i="8"/>
  <c r="C761" i="8"/>
  <c r="D761" i="8" s="1"/>
  <c r="E761" i="8"/>
  <c r="C762" i="8"/>
  <c r="D762" i="8" s="1"/>
  <c r="E762" i="8"/>
  <c r="C763" i="8"/>
  <c r="D763" i="8" s="1"/>
  <c r="E763" i="8"/>
  <c r="C764" i="8"/>
  <c r="D764" i="8" s="1"/>
  <c r="E764" i="8"/>
  <c r="C765" i="8"/>
  <c r="D765" i="8" s="1"/>
  <c r="E765" i="8"/>
  <c r="C766" i="8"/>
  <c r="D766" i="8" s="1"/>
  <c r="E766" i="8"/>
  <c r="C767" i="8"/>
  <c r="D767" i="8" s="1"/>
  <c r="E767" i="8"/>
  <c r="C768" i="8"/>
  <c r="D768" i="8" s="1"/>
  <c r="E768" i="8"/>
  <c r="C769" i="8"/>
  <c r="D769" i="8" s="1"/>
  <c r="E769" i="8"/>
  <c r="C770" i="8"/>
  <c r="D770" i="8" s="1"/>
  <c r="E770" i="8"/>
  <c r="C771" i="8"/>
  <c r="D771" i="8" s="1"/>
  <c r="E771" i="8"/>
  <c r="C772" i="8"/>
  <c r="D772" i="8" s="1"/>
  <c r="E772" i="8"/>
  <c r="C773" i="8"/>
  <c r="D773" i="8" s="1"/>
  <c r="E773" i="8"/>
  <c r="C774" i="8"/>
  <c r="D774" i="8" s="1"/>
  <c r="E774" i="8"/>
  <c r="C775" i="8"/>
  <c r="D775" i="8" s="1"/>
  <c r="E775" i="8"/>
  <c r="C776" i="8"/>
  <c r="D776" i="8" s="1"/>
  <c r="E776" i="8"/>
  <c r="C777" i="8"/>
  <c r="D777" i="8" s="1"/>
  <c r="E777" i="8"/>
  <c r="C778" i="8"/>
  <c r="D778" i="8" s="1"/>
  <c r="E778" i="8"/>
  <c r="C779" i="8"/>
  <c r="D779" i="8" s="1"/>
  <c r="E779" i="8"/>
  <c r="C780" i="8"/>
  <c r="D780" i="8" s="1"/>
  <c r="E780" i="8"/>
  <c r="C781" i="8"/>
  <c r="D781" i="8" s="1"/>
  <c r="E781" i="8"/>
  <c r="C782" i="8"/>
  <c r="D782" i="8" s="1"/>
  <c r="E782" i="8"/>
  <c r="C783" i="8"/>
  <c r="D783" i="8" s="1"/>
  <c r="E783" i="8"/>
  <c r="C784" i="8"/>
  <c r="D784" i="8" s="1"/>
  <c r="E784" i="8"/>
  <c r="C785" i="8"/>
  <c r="D785" i="8" s="1"/>
  <c r="E785" i="8"/>
  <c r="C786" i="8"/>
  <c r="D786" i="8" s="1"/>
  <c r="E786" i="8"/>
  <c r="C787" i="8"/>
  <c r="D787" i="8" s="1"/>
  <c r="E787" i="8"/>
  <c r="C788" i="8"/>
  <c r="D788" i="8" s="1"/>
  <c r="E788" i="8"/>
  <c r="C789" i="8"/>
  <c r="D789" i="8" s="1"/>
  <c r="E789" i="8"/>
  <c r="C790" i="8"/>
  <c r="D790" i="8" s="1"/>
  <c r="E790" i="8"/>
  <c r="C791" i="8"/>
  <c r="D791" i="8" s="1"/>
  <c r="E791" i="8"/>
  <c r="C792" i="8"/>
  <c r="D792" i="8" s="1"/>
  <c r="E792" i="8"/>
  <c r="C793" i="8"/>
  <c r="D793" i="8" s="1"/>
  <c r="E793" i="8"/>
  <c r="C794" i="8"/>
  <c r="D794" i="8" s="1"/>
  <c r="E794" i="8"/>
  <c r="C795" i="8"/>
  <c r="D795" i="8" s="1"/>
  <c r="E795" i="8"/>
  <c r="C796" i="8"/>
  <c r="D796" i="8" s="1"/>
  <c r="E796" i="8"/>
  <c r="C797" i="8"/>
  <c r="D797" i="8" s="1"/>
  <c r="E797" i="8"/>
  <c r="C798" i="8"/>
  <c r="D798" i="8" s="1"/>
  <c r="E798" i="8"/>
  <c r="C799" i="8"/>
  <c r="D799" i="8" s="1"/>
  <c r="E799" i="8"/>
  <c r="C800" i="8"/>
  <c r="D800" i="8" s="1"/>
  <c r="E800" i="8"/>
  <c r="C801" i="8"/>
  <c r="D801" i="8" s="1"/>
  <c r="E801" i="8"/>
  <c r="C802" i="8"/>
  <c r="D802" i="8" s="1"/>
  <c r="E802" i="8"/>
  <c r="C803" i="8"/>
  <c r="D803" i="8" s="1"/>
  <c r="E803" i="8"/>
  <c r="C804" i="8"/>
  <c r="D804" i="8" s="1"/>
  <c r="E804" i="8"/>
  <c r="C805" i="8"/>
  <c r="D805" i="8" s="1"/>
  <c r="E805" i="8"/>
  <c r="C806" i="8"/>
  <c r="D806" i="8" s="1"/>
  <c r="E806" i="8"/>
  <c r="C807" i="8"/>
  <c r="D807" i="8" s="1"/>
  <c r="E807" i="8"/>
  <c r="C808" i="8"/>
  <c r="D808" i="8" s="1"/>
  <c r="E808" i="8"/>
  <c r="C809" i="8"/>
  <c r="D809" i="8" s="1"/>
  <c r="E809" i="8"/>
  <c r="C810" i="8"/>
  <c r="D810" i="8" s="1"/>
  <c r="E810" i="8"/>
  <c r="C811" i="8"/>
  <c r="D811" i="8" s="1"/>
  <c r="E811" i="8"/>
  <c r="C812" i="8"/>
  <c r="D812" i="8" s="1"/>
  <c r="E812" i="8"/>
  <c r="C813" i="8"/>
  <c r="D813" i="8" s="1"/>
  <c r="E813" i="8"/>
  <c r="C814" i="8"/>
  <c r="D814" i="8" s="1"/>
  <c r="E814" i="8"/>
  <c r="C815" i="8"/>
  <c r="D815" i="8" s="1"/>
  <c r="E815" i="8"/>
  <c r="C816" i="8"/>
  <c r="D816" i="8" s="1"/>
  <c r="E816" i="8"/>
  <c r="C817" i="8"/>
  <c r="D817" i="8" s="1"/>
  <c r="E817" i="8"/>
  <c r="C818" i="8"/>
  <c r="D818" i="8" s="1"/>
  <c r="E818" i="8"/>
  <c r="C819" i="8"/>
  <c r="D819" i="8" s="1"/>
  <c r="E819" i="8"/>
  <c r="C820" i="8"/>
  <c r="D820" i="8" s="1"/>
  <c r="E820" i="8"/>
  <c r="C821" i="8"/>
  <c r="D821" i="8" s="1"/>
  <c r="E821" i="8"/>
  <c r="C822" i="8"/>
  <c r="D822" i="8" s="1"/>
  <c r="E822" i="8"/>
  <c r="C823" i="8"/>
  <c r="D823" i="8" s="1"/>
  <c r="E823" i="8"/>
  <c r="C824" i="8"/>
  <c r="D824" i="8" s="1"/>
  <c r="E824" i="8"/>
  <c r="C825" i="8"/>
  <c r="D825" i="8" s="1"/>
  <c r="E825" i="8"/>
  <c r="C826" i="8"/>
  <c r="D826" i="8" s="1"/>
  <c r="E826" i="8"/>
  <c r="C827" i="8"/>
  <c r="D827" i="8" s="1"/>
  <c r="E827" i="8"/>
  <c r="C828" i="8"/>
  <c r="D828" i="8" s="1"/>
  <c r="E828" i="8"/>
  <c r="C829" i="8"/>
  <c r="D829" i="8" s="1"/>
  <c r="E829" i="8"/>
  <c r="C830" i="8"/>
  <c r="D830" i="8" s="1"/>
  <c r="E830" i="8"/>
  <c r="C831" i="8"/>
  <c r="D831" i="8" s="1"/>
  <c r="E831" i="8"/>
  <c r="C832" i="8"/>
  <c r="D832" i="8" s="1"/>
  <c r="E832" i="8"/>
  <c r="C833" i="8"/>
  <c r="D833" i="8" s="1"/>
  <c r="E833" i="8"/>
  <c r="C834" i="8"/>
  <c r="D834" i="8" s="1"/>
  <c r="E834" i="8"/>
  <c r="C835" i="8"/>
  <c r="D835" i="8" s="1"/>
  <c r="E835" i="8"/>
  <c r="C836" i="8"/>
  <c r="D836" i="8" s="1"/>
  <c r="E836" i="8"/>
  <c r="C837" i="8"/>
  <c r="D837" i="8" s="1"/>
  <c r="E837" i="8"/>
  <c r="C838" i="8"/>
  <c r="D838" i="8" s="1"/>
  <c r="E838" i="8"/>
  <c r="C839" i="8"/>
  <c r="D839" i="8" s="1"/>
  <c r="E839" i="8"/>
  <c r="C840" i="8"/>
  <c r="D840" i="8" s="1"/>
  <c r="E840" i="8"/>
  <c r="C841" i="8"/>
  <c r="D841" i="8" s="1"/>
  <c r="E841" i="8"/>
  <c r="C842" i="8"/>
  <c r="D842" i="8" s="1"/>
  <c r="E842" i="8"/>
  <c r="C843" i="8"/>
  <c r="D843" i="8" s="1"/>
  <c r="E843" i="8"/>
  <c r="C844" i="8"/>
  <c r="D844" i="8" s="1"/>
  <c r="E844" i="8"/>
  <c r="C845" i="8"/>
  <c r="D845" i="8" s="1"/>
  <c r="E845" i="8"/>
  <c r="C846" i="8"/>
  <c r="D846" i="8" s="1"/>
  <c r="E846" i="8"/>
  <c r="C847" i="8"/>
  <c r="D847" i="8" s="1"/>
  <c r="E847" i="8"/>
  <c r="C848" i="8"/>
  <c r="D848" i="8" s="1"/>
  <c r="E848" i="8"/>
  <c r="C849" i="8"/>
  <c r="D849" i="8" s="1"/>
  <c r="E849" i="8"/>
  <c r="C850" i="8"/>
  <c r="D850" i="8" s="1"/>
  <c r="E850" i="8"/>
  <c r="C851" i="8"/>
  <c r="D851" i="8" s="1"/>
  <c r="E851" i="8"/>
  <c r="C852" i="8"/>
  <c r="D852" i="8" s="1"/>
  <c r="E852" i="8"/>
  <c r="C853" i="8"/>
  <c r="D853" i="8" s="1"/>
  <c r="E853" i="8"/>
  <c r="C854" i="8"/>
  <c r="D854" i="8" s="1"/>
  <c r="E854" i="8"/>
  <c r="C855" i="8"/>
  <c r="D855" i="8" s="1"/>
  <c r="E855" i="8"/>
  <c r="C856" i="8"/>
  <c r="D856" i="8" s="1"/>
  <c r="E856" i="8"/>
  <c r="C857" i="8"/>
  <c r="D857" i="8" s="1"/>
  <c r="E857" i="8"/>
  <c r="C858" i="8"/>
  <c r="D858" i="8" s="1"/>
  <c r="E858" i="8"/>
  <c r="C859" i="8"/>
  <c r="D859" i="8" s="1"/>
  <c r="E859" i="8"/>
  <c r="C860" i="8"/>
  <c r="D860" i="8" s="1"/>
  <c r="E860" i="8"/>
  <c r="C861" i="8"/>
  <c r="D861" i="8" s="1"/>
  <c r="E861" i="8"/>
  <c r="C862" i="8"/>
  <c r="D862" i="8" s="1"/>
  <c r="E862" i="8"/>
  <c r="C863" i="8"/>
  <c r="D863" i="8" s="1"/>
  <c r="E863" i="8"/>
  <c r="C864" i="8"/>
  <c r="D864" i="8" s="1"/>
  <c r="E864" i="8"/>
  <c r="C865" i="8"/>
  <c r="D865" i="8" s="1"/>
  <c r="E865" i="8"/>
  <c r="C866" i="8"/>
  <c r="D866" i="8" s="1"/>
  <c r="E866" i="8"/>
  <c r="C867" i="8"/>
  <c r="D867" i="8" s="1"/>
  <c r="E867" i="8"/>
  <c r="C868" i="8"/>
  <c r="D868" i="8" s="1"/>
  <c r="E868" i="8"/>
  <c r="C869" i="8"/>
  <c r="D869" i="8" s="1"/>
  <c r="E869" i="8"/>
  <c r="C870" i="8"/>
  <c r="D870" i="8" s="1"/>
  <c r="E870" i="8"/>
  <c r="C871" i="8"/>
  <c r="D871" i="8" s="1"/>
  <c r="E871" i="8"/>
  <c r="C872" i="8"/>
  <c r="D872" i="8" s="1"/>
  <c r="E872" i="8"/>
  <c r="C873" i="8"/>
  <c r="D873" i="8" s="1"/>
  <c r="E873" i="8"/>
  <c r="C874" i="8"/>
  <c r="D874" i="8" s="1"/>
  <c r="E874" i="8"/>
  <c r="C875" i="8"/>
  <c r="D875" i="8" s="1"/>
  <c r="E875" i="8"/>
  <c r="C876" i="8"/>
  <c r="D876" i="8" s="1"/>
  <c r="E876" i="8"/>
  <c r="C877" i="8"/>
  <c r="D877" i="8" s="1"/>
  <c r="E877" i="8"/>
  <c r="C878" i="8"/>
  <c r="D878" i="8" s="1"/>
  <c r="E878" i="8"/>
  <c r="C879" i="8"/>
  <c r="D879" i="8" s="1"/>
  <c r="E879" i="8"/>
  <c r="C880" i="8"/>
  <c r="D880" i="8" s="1"/>
  <c r="E880" i="8"/>
  <c r="C881" i="8"/>
  <c r="D881" i="8" s="1"/>
  <c r="E881" i="8"/>
  <c r="C882" i="8"/>
  <c r="D882" i="8" s="1"/>
  <c r="E882" i="8"/>
  <c r="C883" i="8"/>
  <c r="D883" i="8" s="1"/>
  <c r="E883" i="8"/>
  <c r="C884" i="8"/>
  <c r="D884" i="8" s="1"/>
  <c r="E884" i="8"/>
  <c r="C885" i="8"/>
  <c r="D885" i="8" s="1"/>
  <c r="E885" i="8"/>
  <c r="C886" i="8"/>
  <c r="D886" i="8" s="1"/>
  <c r="E886" i="8"/>
  <c r="C887" i="8"/>
  <c r="D887" i="8" s="1"/>
  <c r="E887" i="8"/>
  <c r="C888" i="8"/>
  <c r="D888" i="8" s="1"/>
  <c r="E888" i="8"/>
  <c r="C889" i="8"/>
  <c r="D889" i="8" s="1"/>
  <c r="E889" i="8"/>
  <c r="C890" i="8"/>
  <c r="D890" i="8" s="1"/>
  <c r="E890" i="8"/>
  <c r="C891" i="8"/>
  <c r="D891" i="8" s="1"/>
  <c r="E891" i="8"/>
  <c r="C892" i="8"/>
  <c r="D892" i="8" s="1"/>
  <c r="E892" i="8"/>
  <c r="C893" i="8"/>
  <c r="D893" i="8" s="1"/>
  <c r="E893" i="8"/>
  <c r="C894" i="8"/>
  <c r="D894" i="8" s="1"/>
  <c r="E894" i="8"/>
  <c r="C895" i="8"/>
  <c r="D895" i="8" s="1"/>
  <c r="E895" i="8"/>
  <c r="C896" i="8"/>
  <c r="D896" i="8" s="1"/>
  <c r="E896" i="8"/>
  <c r="C897" i="8"/>
  <c r="D897" i="8" s="1"/>
  <c r="E897" i="8"/>
  <c r="C898" i="8"/>
  <c r="D898" i="8" s="1"/>
  <c r="E898" i="8"/>
  <c r="C899" i="8"/>
  <c r="D899" i="8" s="1"/>
  <c r="E899" i="8"/>
  <c r="C900" i="8"/>
  <c r="D900" i="8" s="1"/>
  <c r="E900" i="8"/>
  <c r="C901" i="8"/>
  <c r="D901" i="8" s="1"/>
  <c r="E901" i="8"/>
  <c r="C902" i="8"/>
  <c r="D902" i="8" s="1"/>
  <c r="E902" i="8"/>
  <c r="C903" i="8"/>
  <c r="D903" i="8" s="1"/>
  <c r="E903" i="8"/>
  <c r="C904" i="8"/>
  <c r="D904" i="8" s="1"/>
  <c r="E904" i="8"/>
  <c r="C905" i="8"/>
  <c r="D905" i="8" s="1"/>
  <c r="E905" i="8"/>
  <c r="C906" i="8"/>
  <c r="D906" i="8" s="1"/>
  <c r="E906" i="8"/>
  <c r="C907" i="8"/>
  <c r="D907" i="8" s="1"/>
  <c r="E907" i="8"/>
  <c r="C908" i="8"/>
  <c r="D908" i="8" s="1"/>
  <c r="E908" i="8"/>
  <c r="C909" i="8"/>
  <c r="D909" i="8" s="1"/>
  <c r="E909" i="8"/>
  <c r="C910" i="8"/>
  <c r="D910" i="8" s="1"/>
  <c r="E910" i="8"/>
  <c r="C911" i="8"/>
  <c r="D911" i="8" s="1"/>
  <c r="E911" i="8"/>
  <c r="C912" i="8"/>
  <c r="D912" i="8" s="1"/>
  <c r="E912" i="8"/>
  <c r="C913" i="8"/>
  <c r="D913" i="8" s="1"/>
  <c r="E913" i="8"/>
  <c r="C914" i="8"/>
  <c r="D914" i="8" s="1"/>
  <c r="E914" i="8"/>
  <c r="C915" i="8"/>
  <c r="D915" i="8" s="1"/>
  <c r="E915" i="8"/>
  <c r="C916" i="8"/>
  <c r="D916" i="8" s="1"/>
  <c r="E916" i="8"/>
  <c r="C917" i="8"/>
  <c r="D917" i="8" s="1"/>
  <c r="E917" i="8"/>
  <c r="C918" i="8"/>
  <c r="D918" i="8" s="1"/>
  <c r="E918" i="8"/>
  <c r="C919" i="8"/>
  <c r="D919" i="8" s="1"/>
  <c r="E919" i="8"/>
  <c r="C920" i="8"/>
  <c r="D920" i="8" s="1"/>
  <c r="E920" i="8"/>
  <c r="C921" i="8"/>
  <c r="D921" i="8" s="1"/>
  <c r="E921" i="8"/>
  <c r="C922" i="8"/>
  <c r="D922" i="8" s="1"/>
  <c r="E922" i="8"/>
  <c r="C923" i="8"/>
  <c r="D923" i="8" s="1"/>
  <c r="E923" i="8"/>
  <c r="C924" i="8"/>
  <c r="D924" i="8" s="1"/>
  <c r="E924" i="8"/>
  <c r="C925" i="8"/>
  <c r="D925" i="8" s="1"/>
  <c r="E925" i="8"/>
  <c r="C926" i="8"/>
  <c r="D926" i="8" s="1"/>
  <c r="E926" i="8"/>
  <c r="C927" i="8"/>
  <c r="D927" i="8" s="1"/>
  <c r="E927" i="8"/>
  <c r="C928" i="8"/>
  <c r="D928" i="8" s="1"/>
  <c r="E928" i="8"/>
  <c r="C929" i="8"/>
  <c r="D929" i="8" s="1"/>
  <c r="E929" i="8"/>
  <c r="C930" i="8"/>
  <c r="D930" i="8" s="1"/>
  <c r="E930" i="8"/>
  <c r="C931" i="8"/>
  <c r="D931" i="8" s="1"/>
  <c r="E931" i="8"/>
  <c r="C932" i="8"/>
  <c r="D932" i="8" s="1"/>
  <c r="E932" i="8"/>
  <c r="C933" i="8"/>
  <c r="D933" i="8" s="1"/>
  <c r="E933" i="8"/>
  <c r="C934" i="8"/>
  <c r="D934" i="8" s="1"/>
  <c r="E934" i="8"/>
  <c r="C935" i="8"/>
  <c r="D935" i="8" s="1"/>
  <c r="E935" i="8"/>
  <c r="C936" i="8"/>
  <c r="D936" i="8" s="1"/>
  <c r="E936" i="8"/>
  <c r="C937" i="8"/>
  <c r="D937" i="8" s="1"/>
  <c r="E937" i="8"/>
  <c r="C938" i="8"/>
  <c r="D938" i="8" s="1"/>
  <c r="E938" i="8"/>
  <c r="C939" i="8"/>
  <c r="D939" i="8" s="1"/>
  <c r="E939" i="8"/>
  <c r="C940" i="8"/>
  <c r="D940" i="8" s="1"/>
  <c r="E940" i="8"/>
  <c r="C941" i="8"/>
  <c r="D941" i="8" s="1"/>
  <c r="E941" i="8"/>
  <c r="C942" i="8"/>
  <c r="D942" i="8" s="1"/>
  <c r="E942" i="8"/>
  <c r="C943" i="8"/>
  <c r="D943" i="8" s="1"/>
  <c r="E943" i="8"/>
  <c r="C944" i="8"/>
  <c r="D944" i="8" s="1"/>
  <c r="E944" i="8"/>
  <c r="C945" i="8"/>
  <c r="D945" i="8" s="1"/>
  <c r="E945" i="8"/>
  <c r="C946" i="8"/>
  <c r="D946" i="8" s="1"/>
  <c r="E946" i="8"/>
  <c r="C947" i="8"/>
  <c r="D947" i="8" s="1"/>
  <c r="E947" i="8"/>
  <c r="C948" i="8"/>
  <c r="D948" i="8" s="1"/>
  <c r="E948" i="8"/>
  <c r="C949" i="8"/>
  <c r="D949" i="8" s="1"/>
  <c r="E949" i="8"/>
  <c r="C950" i="8"/>
  <c r="D950" i="8" s="1"/>
  <c r="E950" i="8"/>
  <c r="C951" i="8"/>
  <c r="D951" i="8" s="1"/>
  <c r="E951" i="8"/>
  <c r="C952" i="8"/>
  <c r="D952" i="8" s="1"/>
  <c r="E952" i="8"/>
  <c r="C953" i="8"/>
  <c r="D953" i="8" s="1"/>
  <c r="E953" i="8"/>
  <c r="C954" i="8"/>
  <c r="D954" i="8" s="1"/>
  <c r="E954" i="8"/>
  <c r="C955" i="8"/>
  <c r="D955" i="8" s="1"/>
  <c r="E955" i="8"/>
  <c r="C956" i="8"/>
  <c r="D956" i="8" s="1"/>
  <c r="E956" i="8"/>
  <c r="C957" i="8"/>
  <c r="D957" i="8" s="1"/>
  <c r="E957" i="8"/>
  <c r="C958" i="8"/>
  <c r="D958" i="8" s="1"/>
  <c r="E958" i="8"/>
  <c r="C959" i="8"/>
  <c r="D959" i="8" s="1"/>
  <c r="E959" i="8"/>
  <c r="C960" i="8"/>
  <c r="D960" i="8" s="1"/>
  <c r="E960" i="8"/>
  <c r="C961" i="8"/>
  <c r="D961" i="8" s="1"/>
  <c r="E961" i="8"/>
  <c r="C962" i="8"/>
  <c r="D962" i="8" s="1"/>
  <c r="E962" i="8"/>
  <c r="C963" i="8"/>
  <c r="D963" i="8" s="1"/>
  <c r="E963" i="8"/>
  <c r="C964" i="8"/>
  <c r="D964" i="8" s="1"/>
  <c r="E964" i="8"/>
  <c r="C965" i="8"/>
  <c r="D965" i="8" s="1"/>
  <c r="E965" i="8"/>
  <c r="C966" i="8"/>
  <c r="D966" i="8" s="1"/>
  <c r="E966" i="8"/>
  <c r="C967" i="8"/>
  <c r="D967" i="8" s="1"/>
  <c r="E967" i="8"/>
  <c r="C968" i="8"/>
  <c r="D968" i="8" s="1"/>
  <c r="E968" i="8"/>
  <c r="C969" i="8"/>
  <c r="D969" i="8" s="1"/>
  <c r="E969" i="8"/>
  <c r="C970" i="8"/>
  <c r="D970" i="8" s="1"/>
  <c r="E970" i="8"/>
  <c r="C971" i="8"/>
  <c r="D971" i="8" s="1"/>
  <c r="E971" i="8"/>
  <c r="C972" i="8"/>
  <c r="D972" i="8" s="1"/>
  <c r="E972" i="8"/>
  <c r="C973" i="8"/>
  <c r="D973" i="8" s="1"/>
  <c r="E973" i="8"/>
  <c r="C974" i="8"/>
  <c r="D974" i="8" s="1"/>
  <c r="E974" i="8"/>
  <c r="C975" i="8"/>
  <c r="D975" i="8" s="1"/>
  <c r="E975" i="8"/>
  <c r="C976" i="8"/>
  <c r="D976" i="8" s="1"/>
  <c r="E976" i="8"/>
  <c r="C977" i="8"/>
  <c r="D977" i="8" s="1"/>
  <c r="E977" i="8"/>
  <c r="C978" i="8"/>
  <c r="D978" i="8" s="1"/>
  <c r="E978" i="8"/>
  <c r="C979" i="8"/>
  <c r="D979" i="8" s="1"/>
  <c r="E979" i="8"/>
  <c r="C980" i="8"/>
  <c r="D980" i="8" s="1"/>
  <c r="E980" i="8"/>
  <c r="C981" i="8"/>
  <c r="D981" i="8" s="1"/>
  <c r="E981" i="8"/>
  <c r="C982" i="8"/>
  <c r="D982" i="8" s="1"/>
  <c r="E982" i="8"/>
  <c r="C983" i="8"/>
  <c r="D983" i="8" s="1"/>
  <c r="E983" i="8"/>
  <c r="C984" i="8"/>
  <c r="D984" i="8" s="1"/>
  <c r="E984" i="8"/>
  <c r="C985" i="8"/>
  <c r="D985" i="8" s="1"/>
  <c r="E985" i="8"/>
  <c r="C986" i="8"/>
  <c r="D986" i="8" s="1"/>
  <c r="E986" i="8"/>
  <c r="C987" i="8"/>
  <c r="D987" i="8" s="1"/>
  <c r="E987" i="8"/>
  <c r="C988" i="8"/>
  <c r="D988" i="8" s="1"/>
  <c r="E988" i="8"/>
  <c r="C989" i="8"/>
  <c r="D989" i="8" s="1"/>
  <c r="E989" i="8"/>
  <c r="C990" i="8"/>
  <c r="D990" i="8" s="1"/>
  <c r="E990" i="8"/>
  <c r="C991" i="8"/>
  <c r="D991" i="8" s="1"/>
  <c r="E991" i="8"/>
  <c r="C992" i="8"/>
  <c r="D992" i="8" s="1"/>
  <c r="E992" i="8"/>
  <c r="C993" i="8"/>
  <c r="D993" i="8" s="1"/>
  <c r="E993" i="8"/>
  <c r="C994" i="8"/>
  <c r="D994" i="8" s="1"/>
  <c r="E994" i="8"/>
  <c r="C995" i="8"/>
  <c r="D995" i="8" s="1"/>
  <c r="E995" i="8"/>
  <c r="C996" i="8"/>
  <c r="D996" i="8" s="1"/>
  <c r="E996" i="8"/>
  <c r="C997" i="8"/>
  <c r="D997" i="8" s="1"/>
  <c r="E997" i="8"/>
  <c r="C998" i="8"/>
  <c r="D998" i="8" s="1"/>
  <c r="E998" i="8"/>
  <c r="C999" i="8"/>
  <c r="D999" i="8" s="1"/>
  <c r="E999" i="8"/>
  <c r="C1000" i="8"/>
  <c r="D1000" i="8" s="1"/>
  <c r="E1000" i="8"/>
  <c r="C1001" i="8"/>
  <c r="D1001" i="8" s="1"/>
  <c r="E1001" i="8"/>
  <c r="C1002" i="8"/>
  <c r="D1002" i="8" s="1"/>
  <c r="E1002" i="8"/>
  <c r="C1003" i="8"/>
  <c r="D1003" i="8" s="1"/>
  <c r="E1003" i="8"/>
  <c r="C1004" i="8"/>
  <c r="D1004" i="8" s="1"/>
  <c r="E1004" i="8"/>
  <c r="C1005" i="8"/>
  <c r="D1005" i="8" s="1"/>
  <c r="E1005" i="8"/>
  <c r="C1006" i="8"/>
  <c r="D1006" i="8" s="1"/>
  <c r="E1006" i="8"/>
  <c r="C1007" i="8"/>
  <c r="D1007" i="8" s="1"/>
  <c r="E1007" i="8"/>
  <c r="C1008" i="8"/>
  <c r="D1008" i="8" s="1"/>
  <c r="E1008" i="8"/>
  <c r="C1009" i="8"/>
  <c r="D1009" i="8" s="1"/>
  <c r="E1009" i="8"/>
  <c r="C1010" i="8"/>
  <c r="D1010" i="8" s="1"/>
  <c r="E1010" i="8"/>
  <c r="C1011" i="8"/>
  <c r="D1011" i="8" s="1"/>
  <c r="E1011" i="8"/>
  <c r="C1012" i="8"/>
  <c r="D1012" i="8" s="1"/>
  <c r="E1012" i="8"/>
  <c r="C1013" i="8"/>
  <c r="D1013" i="8" s="1"/>
  <c r="E1013" i="8"/>
  <c r="C1014" i="8"/>
  <c r="D1014" i="8" s="1"/>
  <c r="E1014" i="8"/>
  <c r="C1015" i="8"/>
  <c r="D1015" i="8" s="1"/>
  <c r="E1015" i="8"/>
  <c r="C1016" i="8"/>
  <c r="D1016" i="8" s="1"/>
  <c r="E1016" i="8"/>
  <c r="C1017" i="8"/>
  <c r="D1017" i="8" s="1"/>
  <c r="E1017" i="8"/>
  <c r="C1018" i="8"/>
  <c r="D1018" i="8" s="1"/>
  <c r="E1018" i="8"/>
  <c r="C1019" i="8"/>
  <c r="D1019" i="8" s="1"/>
  <c r="E1019" i="8"/>
  <c r="C1020" i="8"/>
  <c r="D1020" i="8" s="1"/>
  <c r="E1020" i="8"/>
  <c r="C1021" i="8"/>
  <c r="D1021" i="8" s="1"/>
  <c r="E1021" i="8"/>
  <c r="C1022" i="8"/>
  <c r="D1022" i="8" s="1"/>
  <c r="E1022" i="8"/>
  <c r="C1023" i="8"/>
  <c r="D1023" i="8" s="1"/>
  <c r="E1023" i="8"/>
  <c r="C1024" i="8"/>
  <c r="D1024" i="8" s="1"/>
  <c r="E1024" i="8"/>
  <c r="C1025" i="8"/>
  <c r="D1025" i="8" s="1"/>
  <c r="E1025" i="8"/>
  <c r="C1026" i="8"/>
  <c r="D1026" i="8" s="1"/>
  <c r="E1026" i="8"/>
  <c r="C1027" i="8"/>
  <c r="D1027" i="8" s="1"/>
  <c r="E1027" i="8"/>
  <c r="C1028" i="8"/>
  <c r="D1028" i="8" s="1"/>
  <c r="E1028" i="8"/>
  <c r="C1029" i="8"/>
  <c r="D1029" i="8" s="1"/>
  <c r="E1029" i="8"/>
  <c r="C1030" i="8"/>
  <c r="D1030" i="8" s="1"/>
  <c r="E1030" i="8"/>
  <c r="C1031" i="8"/>
  <c r="D1031" i="8" s="1"/>
  <c r="E1031" i="8"/>
  <c r="C1032" i="8"/>
  <c r="D1032" i="8" s="1"/>
  <c r="E1032" i="8"/>
  <c r="C1033" i="8"/>
  <c r="D1033" i="8" s="1"/>
  <c r="E1033" i="8"/>
  <c r="C1034" i="8"/>
  <c r="D1034" i="8" s="1"/>
  <c r="E1034" i="8"/>
  <c r="C1035" i="8"/>
  <c r="D1035" i="8" s="1"/>
  <c r="E1035" i="8"/>
  <c r="C1036" i="8"/>
  <c r="D1036" i="8" s="1"/>
  <c r="E1036" i="8"/>
  <c r="C1037" i="8"/>
  <c r="D1037" i="8" s="1"/>
  <c r="E1037" i="8"/>
  <c r="C1038" i="8"/>
  <c r="D1038" i="8" s="1"/>
  <c r="E1038" i="8"/>
  <c r="C1039" i="8"/>
  <c r="D1039" i="8" s="1"/>
  <c r="E1039" i="8"/>
  <c r="C1040" i="8"/>
  <c r="D1040" i="8" s="1"/>
  <c r="E1040" i="8"/>
  <c r="C1041" i="8"/>
  <c r="D1041" i="8" s="1"/>
  <c r="E1041" i="8"/>
  <c r="C1042" i="8"/>
  <c r="D1042" i="8" s="1"/>
  <c r="E1042" i="8"/>
  <c r="C1043" i="8"/>
  <c r="D1043" i="8" s="1"/>
  <c r="E1043" i="8"/>
  <c r="C1044" i="8"/>
  <c r="D1044" i="8" s="1"/>
  <c r="E1044" i="8"/>
  <c r="C1045" i="8"/>
  <c r="D1045" i="8" s="1"/>
  <c r="E1045" i="8"/>
  <c r="C1046" i="8"/>
  <c r="D1046" i="8" s="1"/>
  <c r="E1046" i="8"/>
  <c r="C1047" i="8"/>
  <c r="D1047" i="8" s="1"/>
  <c r="E1047" i="8"/>
  <c r="C1048" i="8"/>
  <c r="D1048" i="8" s="1"/>
  <c r="E1048" i="8"/>
  <c r="C1049" i="8"/>
  <c r="D1049" i="8" s="1"/>
  <c r="E1049" i="8"/>
  <c r="C1050" i="8"/>
  <c r="D1050" i="8" s="1"/>
  <c r="E1050" i="8"/>
  <c r="C1051" i="8"/>
  <c r="D1051" i="8" s="1"/>
  <c r="E1051" i="8"/>
  <c r="C1052" i="8"/>
  <c r="D1052" i="8" s="1"/>
  <c r="E1052" i="8"/>
  <c r="C1053" i="8"/>
  <c r="D1053" i="8" s="1"/>
  <c r="E1053" i="8"/>
  <c r="C1054" i="8"/>
  <c r="D1054" i="8" s="1"/>
  <c r="E1054" i="8"/>
  <c r="C1055" i="8"/>
  <c r="D1055" i="8" s="1"/>
  <c r="E1055" i="8"/>
  <c r="C1056" i="8"/>
  <c r="D1056" i="8" s="1"/>
  <c r="E1056" i="8"/>
  <c r="C1057" i="8"/>
  <c r="D1057" i="8" s="1"/>
  <c r="E1057" i="8"/>
  <c r="C1058" i="8"/>
  <c r="D1058" i="8" s="1"/>
  <c r="E1058" i="8"/>
  <c r="C1059" i="8"/>
  <c r="D1059" i="8" s="1"/>
  <c r="E1059" i="8"/>
  <c r="C1060" i="8"/>
  <c r="D1060" i="8" s="1"/>
  <c r="E1060" i="8"/>
  <c r="C1061" i="8"/>
  <c r="D1061" i="8" s="1"/>
  <c r="E1061" i="8"/>
  <c r="C1062" i="8"/>
  <c r="D1062" i="8" s="1"/>
  <c r="E1062" i="8"/>
  <c r="C1063" i="8"/>
  <c r="D1063" i="8" s="1"/>
  <c r="E1063" i="8"/>
  <c r="C1064" i="8"/>
  <c r="D1064" i="8" s="1"/>
  <c r="E1064" i="8"/>
  <c r="C1065" i="8"/>
  <c r="D1065" i="8" s="1"/>
  <c r="E1065" i="8"/>
  <c r="C1066" i="8"/>
  <c r="D1066" i="8" s="1"/>
  <c r="E1066" i="8"/>
  <c r="C1067" i="8"/>
  <c r="D1067" i="8" s="1"/>
  <c r="E1067" i="8"/>
  <c r="C1068" i="8"/>
  <c r="D1068" i="8" s="1"/>
  <c r="E1068" i="8"/>
  <c r="C1069" i="8"/>
  <c r="D1069" i="8" s="1"/>
  <c r="E1069" i="8"/>
  <c r="C1070" i="8"/>
  <c r="D1070" i="8" s="1"/>
  <c r="E1070" i="8"/>
  <c r="C1071" i="8"/>
  <c r="D1071" i="8" s="1"/>
  <c r="E1071" i="8"/>
  <c r="C1072" i="8"/>
  <c r="D1072" i="8" s="1"/>
  <c r="E1072" i="8"/>
  <c r="C1073" i="8"/>
  <c r="D1073" i="8" s="1"/>
  <c r="E1073" i="8"/>
  <c r="C1074" i="8"/>
  <c r="D1074" i="8" s="1"/>
  <c r="E1074" i="8"/>
  <c r="C1075" i="8"/>
  <c r="D1075" i="8" s="1"/>
  <c r="E1075" i="8"/>
  <c r="C1076" i="8"/>
  <c r="D1076" i="8" s="1"/>
  <c r="E1076" i="8"/>
  <c r="C1077" i="8"/>
  <c r="D1077" i="8" s="1"/>
  <c r="E1077" i="8"/>
  <c r="C1078" i="8"/>
  <c r="D1078" i="8" s="1"/>
  <c r="E1078" i="8"/>
  <c r="C1079" i="8"/>
  <c r="D1079" i="8" s="1"/>
  <c r="E1079" i="8"/>
  <c r="C1080" i="8"/>
  <c r="D1080" i="8" s="1"/>
  <c r="E1080" i="8"/>
  <c r="C1081" i="8"/>
  <c r="D1081" i="8" s="1"/>
  <c r="E1081" i="8"/>
  <c r="C1082" i="8"/>
  <c r="D1082" i="8" s="1"/>
  <c r="E1082" i="8"/>
  <c r="C1083" i="8"/>
  <c r="D1083" i="8" s="1"/>
  <c r="E1083" i="8"/>
  <c r="C1084" i="8"/>
  <c r="D1084" i="8" s="1"/>
  <c r="E1084" i="8"/>
  <c r="C1085" i="8"/>
  <c r="D1085" i="8" s="1"/>
  <c r="E1085" i="8"/>
  <c r="C1086" i="8"/>
  <c r="D1086" i="8" s="1"/>
  <c r="E1086" i="8"/>
  <c r="C1087" i="8"/>
  <c r="D1087" i="8" s="1"/>
  <c r="E1087" i="8"/>
  <c r="C1088" i="8"/>
  <c r="D1088" i="8" s="1"/>
  <c r="E1088" i="8"/>
  <c r="C1089" i="8"/>
  <c r="D1089" i="8" s="1"/>
  <c r="E1089" i="8"/>
  <c r="C1090" i="8"/>
  <c r="D1090" i="8" s="1"/>
  <c r="E1090" i="8"/>
  <c r="C1091" i="8"/>
  <c r="D1091" i="8" s="1"/>
  <c r="E1091" i="8"/>
  <c r="C1092" i="8"/>
  <c r="D1092" i="8" s="1"/>
  <c r="E1092" i="8"/>
  <c r="C1093" i="8"/>
  <c r="D1093" i="8" s="1"/>
  <c r="E1093" i="8"/>
  <c r="C1094" i="8"/>
  <c r="D1094" i="8" s="1"/>
  <c r="E1094" i="8"/>
  <c r="C1095" i="8"/>
  <c r="D1095" i="8" s="1"/>
  <c r="E1095" i="8"/>
  <c r="C1096" i="8"/>
  <c r="D1096" i="8" s="1"/>
  <c r="E1096" i="8"/>
  <c r="C1097" i="8"/>
  <c r="D1097" i="8" s="1"/>
  <c r="E1097" i="8"/>
  <c r="C1098" i="8"/>
  <c r="D1098" i="8" s="1"/>
  <c r="E1098" i="8"/>
  <c r="C1099" i="8"/>
  <c r="D1099" i="8" s="1"/>
  <c r="E1099" i="8"/>
  <c r="C1100" i="8"/>
  <c r="D1100" i="8" s="1"/>
  <c r="E1100" i="8"/>
  <c r="C1101" i="8"/>
  <c r="D1101" i="8" s="1"/>
  <c r="E1101" i="8"/>
  <c r="C1102" i="8"/>
  <c r="D1102" i="8" s="1"/>
  <c r="E1102" i="8"/>
  <c r="C1103" i="8"/>
  <c r="D1103" i="8" s="1"/>
  <c r="E1103" i="8"/>
  <c r="C1104" i="8"/>
  <c r="D1104" i="8" s="1"/>
  <c r="E1104" i="8"/>
  <c r="C1105" i="8"/>
  <c r="D1105" i="8" s="1"/>
  <c r="E1105" i="8"/>
  <c r="C1106" i="8"/>
  <c r="D1106" i="8" s="1"/>
  <c r="E1106" i="8"/>
  <c r="C1107" i="8"/>
  <c r="D1107" i="8" s="1"/>
  <c r="E1107" i="8"/>
  <c r="C1108" i="8"/>
  <c r="D1108" i="8" s="1"/>
  <c r="E1108" i="8"/>
  <c r="C1109" i="8"/>
  <c r="D1109" i="8" s="1"/>
  <c r="E1109" i="8"/>
  <c r="C1110" i="8"/>
  <c r="D1110" i="8" s="1"/>
  <c r="E1110" i="8"/>
  <c r="C1111" i="8"/>
  <c r="D1111" i="8" s="1"/>
  <c r="E1111" i="8"/>
  <c r="C1112" i="8"/>
  <c r="D1112" i="8" s="1"/>
  <c r="E1112" i="8"/>
  <c r="C1113" i="8"/>
  <c r="D1113" i="8" s="1"/>
  <c r="E1113" i="8"/>
  <c r="C1114" i="8"/>
  <c r="D1114" i="8" s="1"/>
  <c r="E1114" i="8"/>
  <c r="C1115" i="8"/>
  <c r="D1115" i="8" s="1"/>
  <c r="E1115" i="8"/>
  <c r="C1116" i="8"/>
  <c r="D1116" i="8" s="1"/>
  <c r="E1116" i="8"/>
  <c r="C1117" i="8"/>
  <c r="D1117" i="8" s="1"/>
  <c r="E1117" i="8"/>
  <c r="C1118" i="8"/>
  <c r="D1118" i="8" s="1"/>
  <c r="E1118" i="8"/>
  <c r="C1119" i="8"/>
  <c r="D1119" i="8" s="1"/>
  <c r="E1119" i="8"/>
  <c r="C1120" i="8"/>
  <c r="D1120" i="8" s="1"/>
  <c r="E1120" i="8"/>
  <c r="C1121" i="8"/>
  <c r="D1121" i="8" s="1"/>
  <c r="E1121" i="8"/>
  <c r="C1122" i="8"/>
  <c r="D1122" i="8" s="1"/>
  <c r="E1122" i="8"/>
  <c r="C1123" i="8"/>
  <c r="D1123" i="8" s="1"/>
  <c r="E1123" i="8"/>
  <c r="C1124" i="8"/>
  <c r="D1124" i="8" s="1"/>
  <c r="E1124" i="8"/>
  <c r="C1125" i="8"/>
  <c r="D1125" i="8" s="1"/>
  <c r="E1125" i="8"/>
  <c r="C1126" i="8"/>
  <c r="D1126" i="8" s="1"/>
  <c r="E1126" i="8"/>
  <c r="C1127" i="8"/>
  <c r="D1127" i="8" s="1"/>
  <c r="E1127" i="8"/>
  <c r="C1128" i="8"/>
  <c r="D1128" i="8" s="1"/>
  <c r="E1128" i="8"/>
  <c r="C1129" i="8"/>
  <c r="D1129" i="8" s="1"/>
  <c r="E1129" i="8"/>
  <c r="C1130" i="8"/>
  <c r="D1130" i="8" s="1"/>
  <c r="E1130" i="8"/>
  <c r="C1131" i="8"/>
  <c r="D1131" i="8" s="1"/>
  <c r="E1131" i="8"/>
  <c r="C1132" i="8"/>
  <c r="D1132" i="8" s="1"/>
  <c r="E1132" i="8"/>
  <c r="C1133" i="8"/>
  <c r="D1133" i="8" s="1"/>
  <c r="E1133" i="8"/>
  <c r="C1134" i="8"/>
  <c r="D1134" i="8" s="1"/>
  <c r="E1134" i="8"/>
  <c r="C1135" i="8"/>
  <c r="D1135" i="8" s="1"/>
  <c r="E1135" i="8"/>
  <c r="C1136" i="8"/>
  <c r="D1136" i="8" s="1"/>
  <c r="E1136" i="8"/>
  <c r="C1137" i="8"/>
  <c r="D1137" i="8" s="1"/>
  <c r="E1137" i="8"/>
  <c r="C1138" i="8"/>
  <c r="D1138" i="8" s="1"/>
  <c r="E1138" i="8"/>
  <c r="C1139" i="8"/>
  <c r="D1139" i="8" s="1"/>
  <c r="E1139" i="8"/>
  <c r="C1140" i="8"/>
  <c r="D1140" i="8" s="1"/>
  <c r="E1140" i="8"/>
  <c r="C1141" i="8"/>
  <c r="D1141" i="8" s="1"/>
  <c r="E1141" i="8"/>
  <c r="C1142" i="8"/>
  <c r="D1142" i="8" s="1"/>
  <c r="E1142" i="8"/>
  <c r="C1143" i="8"/>
  <c r="D1143" i="8" s="1"/>
  <c r="E1143" i="8"/>
  <c r="C1144" i="8"/>
  <c r="D1144" i="8" s="1"/>
  <c r="E1144" i="8"/>
  <c r="C1145" i="8"/>
  <c r="D1145" i="8" s="1"/>
  <c r="E1145" i="8"/>
  <c r="C1146" i="8"/>
  <c r="D1146" i="8" s="1"/>
  <c r="E1146" i="8"/>
  <c r="C1147" i="8"/>
  <c r="D1147" i="8" s="1"/>
  <c r="E1147" i="8"/>
  <c r="C1148" i="8"/>
  <c r="D1148" i="8" s="1"/>
  <c r="E1148" i="8"/>
  <c r="C1149" i="8"/>
  <c r="D1149" i="8" s="1"/>
  <c r="E1149" i="8"/>
  <c r="C1150" i="8"/>
  <c r="D1150" i="8" s="1"/>
  <c r="E1150" i="8"/>
  <c r="C1151" i="8"/>
  <c r="D1151" i="8" s="1"/>
  <c r="E1151" i="8"/>
  <c r="C1152" i="8"/>
  <c r="D1152" i="8" s="1"/>
  <c r="E1152" i="8"/>
  <c r="C1153" i="8"/>
  <c r="D1153" i="8" s="1"/>
  <c r="E1153" i="8"/>
  <c r="C1154" i="8"/>
  <c r="D1154" i="8" s="1"/>
  <c r="E1154" i="8"/>
  <c r="C1155" i="8"/>
  <c r="D1155" i="8" s="1"/>
  <c r="E1155" i="8"/>
  <c r="C1156" i="8"/>
  <c r="D1156" i="8" s="1"/>
  <c r="E1156" i="8"/>
  <c r="C1157" i="8"/>
  <c r="D1157" i="8" s="1"/>
  <c r="E1157" i="8"/>
  <c r="C1158" i="8"/>
  <c r="D1158" i="8" s="1"/>
  <c r="E1158" i="8"/>
  <c r="C1159" i="8"/>
  <c r="D1159" i="8" s="1"/>
  <c r="E1159" i="8"/>
  <c r="C1160" i="8"/>
  <c r="D1160" i="8" s="1"/>
  <c r="E1160" i="8"/>
  <c r="C1161" i="8"/>
  <c r="D1161" i="8" s="1"/>
  <c r="E1161" i="8"/>
  <c r="C1162" i="8"/>
  <c r="D1162" i="8" s="1"/>
  <c r="E1162" i="8"/>
  <c r="C1163" i="8"/>
  <c r="D1163" i="8" s="1"/>
  <c r="E1163" i="8"/>
  <c r="C1164" i="8"/>
  <c r="D1164" i="8" s="1"/>
  <c r="E1164" i="8"/>
  <c r="C1165" i="8"/>
  <c r="D1165" i="8" s="1"/>
  <c r="E1165" i="8"/>
  <c r="C1166" i="8"/>
  <c r="D1166" i="8" s="1"/>
  <c r="E1166" i="8"/>
  <c r="C1167" i="8"/>
  <c r="D1167" i="8" s="1"/>
  <c r="E1167" i="8"/>
  <c r="C1168" i="8"/>
  <c r="D1168" i="8" s="1"/>
  <c r="E1168" i="8"/>
  <c r="C1169" i="8"/>
  <c r="D1169" i="8" s="1"/>
  <c r="E1169" i="8"/>
  <c r="C1170" i="8"/>
  <c r="D1170" i="8" s="1"/>
  <c r="E1170" i="8"/>
  <c r="C1171" i="8"/>
  <c r="D1171" i="8" s="1"/>
  <c r="E1171" i="8"/>
  <c r="C1172" i="8"/>
  <c r="D1172" i="8" s="1"/>
  <c r="E1172" i="8"/>
  <c r="C1173" i="8"/>
  <c r="D1173" i="8" s="1"/>
  <c r="E1173" i="8"/>
  <c r="C1174" i="8"/>
  <c r="D1174" i="8" s="1"/>
  <c r="E1174" i="8"/>
  <c r="C1175" i="8"/>
  <c r="D1175" i="8" s="1"/>
  <c r="E1175" i="8"/>
  <c r="C1176" i="8"/>
  <c r="D1176" i="8" s="1"/>
  <c r="E1176" i="8"/>
  <c r="C1177" i="8"/>
  <c r="D1177" i="8" s="1"/>
  <c r="E1177" i="8"/>
  <c r="C1178" i="8"/>
  <c r="D1178" i="8" s="1"/>
  <c r="E1178" i="8"/>
  <c r="C1179" i="8"/>
  <c r="D1179" i="8" s="1"/>
  <c r="E1179" i="8"/>
  <c r="C1180" i="8"/>
  <c r="D1180" i="8" s="1"/>
  <c r="E1180" i="8"/>
  <c r="C1181" i="8"/>
  <c r="D1181" i="8" s="1"/>
  <c r="E1181" i="8"/>
  <c r="C1182" i="8"/>
  <c r="D1182" i="8" s="1"/>
  <c r="E1182" i="8"/>
  <c r="C1183" i="8"/>
  <c r="D1183" i="8" s="1"/>
  <c r="E1183" i="8"/>
  <c r="C1184" i="8"/>
  <c r="D1184" i="8" s="1"/>
  <c r="E1184" i="8"/>
  <c r="C1185" i="8"/>
  <c r="D1185" i="8" s="1"/>
  <c r="E1185" i="8"/>
  <c r="C1186" i="8"/>
  <c r="D1186" i="8" s="1"/>
  <c r="E1186" i="8"/>
  <c r="C1187" i="8"/>
  <c r="D1187" i="8" s="1"/>
  <c r="E1187" i="8"/>
  <c r="C1188" i="8"/>
  <c r="D1188" i="8" s="1"/>
  <c r="E1188" i="8"/>
  <c r="C1189" i="8"/>
  <c r="D1189" i="8" s="1"/>
  <c r="E1189" i="8"/>
  <c r="C1190" i="8"/>
  <c r="D1190" i="8" s="1"/>
  <c r="E1190" i="8"/>
  <c r="C1191" i="8"/>
  <c r="D1191" i="8" s="1"/>
  <c r="E1191" i="8"/>
  <c r="C1192" i="8"/>
  <c r="D1192" i="8" s="1"/>
  <c r="E1192" i="8"/>
  <c r="C1193" i="8"/>
  <c r="D1193" i="8" s="1"/>
  <c r="E1193" i="8"/>
  <c r="C1194" i="8"/>
  <c r="D1194" i="8" s="1"/>
  <c r="E1194" i="8"/>
  <c r="C1195" i="8"/>
  <c r="D1195" i="8" s="1"/>
  <c r="E1195" i="8"/>
  <c r="C1196" i="8"/>
  <c r="D1196" i="8" s="1"/>
  <c r="E1196" i="8"/>
  <c r="C1197" i="8"/>
  <c r="D1197" i="8" s="1"/>
  <c r="E1197" i="8"/>
  <c r="C1198" i="8"/>
  <c r="D1198" i="8" s="1"/>
  <c r="E1198" i="8"/>
  <c r="C1199" i="8"/>
  <c r="D1199" i="8" s="1"/>
  <c r="E1199" i="8"/>
  <c r="C1200" i="8"/>
  <c r="D1200" i="8" s="1"/>
  <c r="E1200" i="8"/>
  <c r="C1201" i="8"/>
  <c r="D1201" i="8" s="1"/>
  <c r="E1201" i="8"/>
  <c r="C1202" i="8"/>
  <c r="D1202" i="8" s="1"/>
  <c r="E1202" i="8"/>
  <c r="C1203" i="8"/>
  <c r="D1203" i="8" s="1"/>
  <c r="E1203" i="8"/>
  <c r="C1204" i="8"/>
  <c r="D1204" i="8" s="1"/>
  <c r="E1204" i="8"/>
  <c r="C1205" i="8"/>
  <c r="D1205" i="8" s="1"/>
  <c r="E1205" i="8"/>
  <c r="C1206" i="8"/>
  <c r="D1206" i="8" s="1"/>
  <c r="E1206" i="8"/>
  <c r="C1207" i="8"/>
  <c r="D1207" i="8" s="1"/>
  <c r="E1207" i="8"/>
  <c r="C1208" i="8"/>
  <c r="D1208" i="8" s="1"/>
  <c r="E1208" i="8"/>
  <c r="C1209" i="8"/>
  <c r="D1209" i="8" s="1"/>
  <c r="E1209" i="8"/>
  <c r="C1210" i="8"/>
  <c r="D1210" i="8" s="1"/>
  <c r="E1210" i="8"/>
  <c r="C1211" i="8"/>
  <c r="D1211" i="8" s="1"/>
  <c r="E1211" i="8"/>
  <c r="C1212" i="8"/>
  <c r="D1212" i="8" s="1"/>
  <c r="E1212" i="8"/>
  <c r="C1213" i="8"/>
  <c r="D1213" i="8" s="1"/>
  <c r="E1213" i="8"/>
  <c r="C1214" i="8"/>
  <c r="D1214" i="8" s="1"/>
  <c r="E1214" i="8"/>
  <c r="C1215" i="8"/>
  <c r="D1215" i="8" s="1"/>
  <c r="E1215" i="8"/>
  <c r="C1216" i="8"/>
  <c r="D1216" i="8" s="1"/>
  <c r="E1216" i="8"/>
  <c r="C1217" i="8"/>
  <c r="D1217" i="8" s="1"/>
  <c r="E1217" i="8"/>
  <c r="C1218" i="8"/>
  <c r="D1218" i="8" s="1"/>
  <c r="E1218" i="8"/>
  <c r="C1219" i="8"/>
  <c r="D1219" i="8" s="1"/>
  <c r="E1219" i="8"/>
  <c r="C1220" i="8"/>
  <c r="D1220" i="8" s="1"/>
  <c r="E1220" i="8"/>
  <c r="C1221" i="8"/>
  <c r="D1221" i="8" s="1"/>
  <c r="E1221" i="8"/>
  <c r="C1222" i="8"/>
  <c r="D1222" i="8" s="1"/>
  <c r="E1222" i="8"/>
  <c r="C1223" i="8"/>
  <c r="D1223" i="8" s="1"/>
  <c r="E1223" i="8"/>
  <c r="C1224" i="8"/>
  <c r="D1224" i="8" s="1"/>
  <c r="E1224" i="8"/>
  <c r="C1225" i="8"/>
  <c r="D1225" i="8" s="1"/>
  <c r="E1225" i="8"/>
  <c r="C1226" i="8"/>
  <c r="D1226" i="8" s="1"/>
  <c r="E1226" i="8"/>
  <c r="C1227" i="8"/>
  <c r="D1227" i="8" s="1"/>
  <c r="E1227" i="8"/>
  <c r="C1228" i="8"/>
  <c r="D1228" i="8" s="1"/>
  <c r="E1228" i="8"/>
  <c r="C1229" i="8"/>
  <c r="D1229" i="8" s="1"/>
  <c r="E1229" i="8"/>
  <c r="C1230" i="8"/>
  <c r="D1230" i="8" s="1"/>
  <c r="E1230" i="8"/>
  <c r="C1231" i="8"/>
  <c r="D1231" i="8" s="1"/>
  <c r="E1231" i="8"/>
  <c r="C1232" i="8"/>
  <c r="D1232" i="8" s="1"/>
  <c r="E1232" i="8"/>
  <c r="C1233" i="8"/>
  <c r="D1233" i="8" s="1"/>
  <c r="E1233" i="8"/>
  <c r="C1234" i="8"/>
  <c r="D1234" i="8" s="1"/>
  <c r="E1234" i="8"/>
  <c r="C1235" i="8"/>
  <c r="D1235" i="8" s="1"/>
  <c r="E1235" i="8"/>
  <c r="C1236" i="8"/>
  <c r="D1236" i="8" s="1"/>
  <c r="E1236" i="8"/>
  <c r="C1237" i="8"/>
  <c r="D1237" i="8" s="1"/>
  <c r="E1237" i="8"/>
  <c r="C1238" i="8"/>
  <c r="D1238" i="8" s="1"/>
  <c r="E1238" i="8"/>
  <c r="C1239" i="8"/>
  <c r="D1239" i="8" s="1"/>
  <c r="E1239" i="8"/>
  <c r="C1240" i="8"/>
  <c r="D1240" i="8" s="1"/>
  <c r="E1240" i="8"/>
  <c r="C1241" i="8"/>
  <c r="D1241" i="8" s="1"/>
  <c r="E1241" i="8"/>
  <c r="C1242" i="8"/>
  <c r="D1242" i="8" s="1"/>
  <c r="E1242" i="8"/>
  <c r="C1243" i="8"/>
  <c r="D1243" i="8" s="1"/>
  <c r="E1243" i="8"/>
  <c r="C1244" i="8"/>
  <c r="D1244" i="8" s="1"/>
  <c r="E1244" i="8"/>
  <c r="C1245" i="8"/>
  <c r="D1245" i="8" s="1"/>
  <c r="E1245" i="8"/>
  <c r="C1246" i="8"/>
  <c r="D1246" i="8" s="1"/>
  <c r="E1246" i="8"/>
  <c r="C1247" i="8"/>
  <c r="D1247" i="8" s="1"/>
  <c r="E1247" i="8"/>
  <c r="C1248" i="8"/>
  <c r="D1248" i="8" s="1"/>
  <c r="E1248" i="8"/>
  <c r="C1249" i="8"/>
  <c r="D1249" i="8" s="1"/>
  <c r="E1249" i="8"/>
  <c r="C1250" i="8"/>
  <c r="D1250" i="8" s="1"/>
  <c r="E1250" i="8"/>
  <c r="C1251" i="8"/>
  <c r="D1251" i="8" s="1"/>
  <c r="E1251" i="8"/>
  <c r="C1252" i="8"/>
  <c r="D1252" i="8" s="1"/>
  <c r="E1252" i="8"/>
  <c r="C1253" i="8"/>
  <c r="D1253" i="8" s="1"/>
  <c r="E1253" i="8"/>
  <c r="C1254" i="8"/>
  <c r="D1254" i="8" s="1"/>
  <c r="E1254" i="8"/>
  <c r="C1255" i="8"/>
  <c r="D1255" i="8" s="1"/>
  <c r="E1255" i="8"/>
  <c r="C1256" i="8"/>
  <c r="D1256" i="8" s="1"/>
  <c r="E1256" i="8"/>
  <c r="C1257" i="8"/>
  <c r="D1257" i="8" s="1"/>
  <c r="E1257" i="8"/>
  <c r="C1258" i="8"/>
  <c r="D1258" i="8" s="1"/>
  <c r="E1258" i="8"/>
  <c r="C1259" i="8"/>
  <c r="D1259" i="8" s="1"/>
  <c r="E1259" i="8"/>
  <c r="C1260" i="8"/>
  <c r="D1260" i="8" s="1"/>
  <c r="E1260" i="8"/>
  <c r="C1261" i="8"/>
  <c r="D1261" i="8" s="1"/>
  <c r="E1261" i="8"/>
  <c r="C1262" i="8"/>
  <c r="D1262" i="8" s="1"/>
  <c r="E1262" i="8"/>
  <c r="C1263" i="8"/>
  <c r="D1263" i="8" s="1"/>
  <c r="E1263" i="8"/>
  <c r="C1264" i="8"/>
  <c r="D1264" i="8" s="1"/>
  <c r="E1264" i="8"/>
  <c r="C1265" i="8"/>
  <c r="D1265" i="8" s="1"/>
  <c r="E1265" i="8"/>
  <c r="C1266" i="8"/>
  <c r="D1266" i="8" s="1"/>
  <c r="E1266" i="8"/>
  <c r="C1267" i="8"/>
  <c r="D1267" i="8" s="1"/>
  <c r="E1267" i="8"/>
  <c r="C1268" i="8"/>
  <c r="D1268" i="8" s="1"/>
  <c r="E1268" i="8"/>
  <c r="C1269" i="8"/>
  <c r="D1269" i="8" s="1"/>
  <c r="E1269" i="8"/>
  <c r="C1270" i="8"/>
  <c r="D1270" i="8" s="1"/>
  <c r="E1270" i="8"/>
  <c r="C1271" i="8"/>
  <c r="D1271" i="8" s="1"/>
  <c r="E1271" i="8"/>
  <c r="C1272" i="8"/>
  <c r="D1272" i="8" s="1"/>
  <c r="E1272" i="8"/>
  <c r="C1273" i="8"/>
  <c r="D1273" i="8" s="1"/>
  <c r="E1273" i="8"/>
  <c r="C1274" i="8"/>
  <c r="D1274" i="8" s="1"/>
  <c r="E1274" i="8"/>
  <c r="C1275" i="8"/>
  <c r="D1275" i="8" s="1"/>
  <c r="E1275" i="8"/>
  <c r="C1276" i="8"/>
  <c r="D1276" i="8" s="1"/>
  <c r="E1276" i="8"/>
  <c r="C1277" i="8"/>
  <c r="D1277" i="8" s="1"/>
  <c r="E1277" i="8"/>
  <c r="C1278" i="8"/>
  <c r="D1278" i="8" s="1"/>
  <c r="E1278" i="8"/>
  <c r="C1279" i="8"/>
  <c r="D1279" i="8" s="1"/>
  <c r="E1279" i="8"/>
  <c r="C1280" i="8"/>
  <c r="D1280" i="8" s="1"/>
  <c r="E1280" i="8"/>
  <c r="C1281" i="8"/>
  <c r="D1281" i="8" s="1"/>
  <c r="E1281" i="8"/>
  <c r="C1282" i="8"/>
  <c r="D1282" i="8" s="1"/>
  <c r="E1282" i="8"/>
  <c r="C1283" i="8"/>
  <c r="D1283" i="8" s="1"/>
  <c r="E1283" i="8"/>
  <c r="C1284" i="8"/>
  <c r="D1284" i="8" s="1"/>
  <c r="E1284" i="8"/>
  <c r="C1285" i="8"/>
  <c r="D1285" i="8" s="1"/>
  <c r="E1285" i="8"/>
  <c r="C1286" i="8"/>
  <c r="D1286" i="8" s="1"/>
  <c r="E1286" i="8"/>
  <c r="C1287" i="8"/>
  <c r="D1287" i="8" s="1"/>
  <c r="E1287" i="8"/>
  <c r="C1288" i="8"/>
  <c r="D1288" i="8" s="1"/>
  <c r="E1288" i="8"/>
  <c r="C1289" i="8"/>
  <c r="D1289" i="8" s="1"/>
  <c r="E1289" i="8"/>
  <c r="C1290" i="8"/>
  <c r="D1290" i="8" s="1"/>
  <c r="E1290" i="8"/>
  <c r="C1291" i="8"/>
  <c r="D1291" i="8" s="1"/>
  <c r="E1291" i="8"/>
  <c r="C1292" i="8"/>
  <c r="D1292" i="8" s="1"/>
  <c r="E1292" i="8"/>
  <c r="C1293" i="8"/>
  <c r="D1293" i="8" s="1"/>
  <c r="E1293" i="8"/>
  <c r="C1294" i="8"/>
  <c r="D1294" i="8" s="1"/>
  <c r="E1294" i="8"/>
  <c r="C1295" i="8"/>
  <c r="D1295" i="8" s="1"/>
  <c r="E1295" i="8"/>
  <c r="C1296" i="8"/>
  <c r="D1296" i="8" s="1"/>
  <c r="E1296" i="8"/>
  <c r="C1297" i="8"/>
  <c r="D1297" i="8" s="1"/>
  <c r="E1297" i="8"/>
  <c r="C1298" i="8"/>
  <c r="D1298" i="8" s="1"/>
  <c r="E1298" i="8"/>
  <c r="C1299" i="8"/>
  <c r="D1299" i="8" s="1"/>
  <c r="E1299" i="8"/>
  <c r="C1300" i="8"/>
  <c r="D1300" i="8" s="1"/>
  <c r="E1300" i="8"/>
  <c r="C1301" i="8"/>
  <c r="D1301" i="8" s="1"/>
  <c r="E1301" i="8"/>
  <c r="C1302" i="8"/>
  <c r="D1302" i="8" s="1"/>
  <c r="E1302" i="8"/>
  <c r="C1303" i="8"/>
  <c r="D1303" i="8" s="1"/>
  <c r="E1303" i="8"/>
  <c r="C1304" i="8"/>
  <c r="D1304" i="8" s="1"/>
  <c r="E1304" i="8"/>
  <c r="C1305" i="8"/>
  <c r="D1305" i="8" s="1"/>
  <c r="E1305" i="8"/>
  <c r="C1306" i="8"/>
  <c r="D1306" i="8" s="1"/>
  <c r="E1306" i="8"/>
  <c r="C1307" i="8"/>
  <c r="D1307" i="8" s="1"/>
  <c r="E1307" i="8"/>
  <c r="C1308" i="8"/>
  <c r="D1308" i="8" s="1"/>
  <c r="E1308" i="8"/>
  <c r="C1309" i="8"/>
  <c r="D1309" i="8" s="1"/>
  <c r="E1309" i="8"/>
  <c r="C1310" i="8"/>
  <c r="D1310" i="8" s="1"/>
  <c r="E1310" i="8"/>
  <c r="C1311" i="8"/>
  <c r="D1311" i="8" s="1"/>
  <c r="E1311" i="8"/>
  <c r="C1312" i="8"/>
  <c r="D1312" i="8" s="1"/>
  <c r="E1312" i="8"/>
  <c r="C1313" i="8"/>
  <c r="D1313" i="8" s="1"/>
  <c r="E1313" i="8"/>
  <c r="C1314" i="8"/>
  <c r="D1314" i="8" s="1"/>
  <c r="E1314" i="8"/>
  <c r="C1315" i="8"/>
  <c r="D1315" i="8" s="1"/>
  <c r="E1315" i="8"/>
  <c r="C1316" i="8"/>
  <c r="D1316" i="8" s="1"/>
  <c r="E1316" i="8"/>
  <c r="C1317" i="8"/>
  <c r="D1317" i="8" s="1"/>
  <c r="E1317" i="8"/>
  <c r="C1318" i="8"/>
  <c r="D1318" i="8" s="1"/>
  <c r="E1318" i="8"/>
  <c r="C1319" i="8"/>
  <c r="D1319" i="8" s="1"/>
  <c r="E1319" i="8"/>
  <c r="C1320" i="8"/>
  <c r="D1320" i="8" s="1"/>
  <c r="E1320" i="8"/>
  <c r="C1321" i="8"/>
  <c r="D1321" i="8" s="1"/>
  <c r="E1321" i="8"/>
  <c r="C1322" i="8"/>
  <c r="D1322" i="8" s="1"/>
  <c r="E1322" i="8"/>
  <c r="C1323" i="8"/>
  <c r="D1323" i="8" s="1"/>
  <c r="E1323" i="8"/>
  <c r="C1324" i="8"/>
  <c r="D1324" i="8" s="1"/>
  <c r="E1324" i="8"/>
  <c r="C1325" i="8"/>
  <c r="D1325" i="8" s="1"/>
  <c r="E1325" i="8"/>
  <c r="C1326" i="8"/>
  <c r="D1326" i="8" s="1"/>
  <c r="E1326" i="8"/>
  <c r="C1327" i="8"/>
  <c r="D1327" i="8" s="1"/>
  <c r="E1327" i="8"/>
  <c r="C1328" i="8"/>
  <c r="D1328" i="8" s="1"/>
  <c r="E1328" i="8"/>
  <c r="C1329" i="8"/>
  <c r="D1329" i="8" s="1"/>
  <c r="E1329" i="8"/>
  <c r="C1330" i="8"/>
  <c r="D1330" i="8" s="1"/>
  <c r="E1330" i="8"/>
  <c r="C1331" i="8"/>
  <c r="D1331" i="8" s="1"/>
  <c r="E1331" i="8"/>
  <c r="C1332" i="8"/>
  <c r="D1332" i="8" s="1"/>
  <c r="E1332" i="8"/>
  <c r="C1333" i="8"/>
  <c r="D1333" i="8" s="1"/>
  <c r="E1333" i="8"/>
  <c r="C1334" i="8"/>
  <c r="D1334" i="8" s="1"/>
  <c r="E1334" i="8"/>
  <c r="C1335" i="8"/>
  <c r="D1335" i="8" s="1"/>
  <c r="E1335" i="8"/>
  <c r="C1336" i="8"/>
  <c r="D1336" i="8" s="1"/>
  <c r="E1336" i="8"/>
  <c r="C1337" i="8"/>
  <c r="D1337" i="8" s="1"/>
  <c r="E1337" i="8"/>
  <c r="C1338" i="8"/>
  <c r="D1338" i="8" s="1"/>
  <c r="E1338" i="8"/>
  <c r="C1339" i="8"/>
  <c r="D1339" i="8" s="1"/>
  <c r="E1339" i="8"/>
  <c r="C1340" i="8"/>
  <c r="D1340" i="8" s="1"/>
  <c r="E1340" i="8"/>
  <c r="C1341" i="8"/>
  <c r="D1341" i="8" s="1"/>
  <c r="E1341" i="8"/>
  <c r="C1342" i="8"/>
  <c r="D1342" i="8" s="1"/>
  <c r="E1342" i="8"/>
  <c r="C1343" i="8"/>
  <c r="D1343" i="8" s="1"/>
  <c r="E1343" i="8"/>
  <c r="C1344" i="8"/>
  <c r="D1344" i="8" s="1"/>
  <c r="E1344" i="8"/>
  <c r="C1345" i="8"/>
  <c r="D1345" i="8" s="1"/>
  <c r="E1345" i="8"/>
  <c r="C1346" i="8"/>
  <c r="D1346" i="8" s="1"/>
  <c r="E1346" i="8"/>
  <c r="C1347" i="8"/>
  <c r="D1347" i="8" s="1"/>
  <c r="E1347" i="8"/>
  <c r="C1348" i="8"/>
  <c r="D1348" i="8" s="1"/>
  <c r="E1348" i="8"/>
  <c r="C1349" i="8"/>
  <c r="D1349" i="8" s="1"/>
  <c r="E1349" i="8"/>
  <c r="C1350" i="8"/>
  <c r="D1350" i="8" s="1"/>
  <c r="E1350" i="8"/>
  <c r="C1351" i="8"/>
  <c r="D1351" i="8" s="1"/>
  <c r="E1351" i="8"/>
  <c r="C1352" i="8"/>
  <c r="D1352" i="8" s="1"/>
  <c r="E1352" i="8"/>
  <c r="C1353" i="8"/>
  <c r="D1353" i="8" s="1"/>
  <c r="E1353" i="8"/>
  <c r="C1354" i="8"/>
  <c r="D1354" i="8" s="1"/>
  <c r="E1354" i="8"/>
  <c r="C1355" i="8"/>
  <c r="D1355" i="8" s="1"/>
  <c r="E1355" i="8"/>
  <c r="C1356" i="8"/>
  <c r="D1356" i="8" s="1"/>
  <c r="E1356" i="8"/>
  <c r="C1357" i="8"/>
  <c r="D1357" i="8" s="1"/>
  <c r="E1357" i="8"/>
  <c r="C1358" i="8"/>
  <c r="D1358" i="8" s="1"/>
  <c r="E1358" i="8"/>
  <c r="C1359" i="8"/>
  <c r="D1359" i="8" s="1"/>
  <c r="E1359" i="8"/>
  <c r="C1360" i="8"/>
  <c r="D1360" i="8" s="1"/>
  <c r="E1360" i="8"/>
  <c r="C1361" i="8"/>
  <c r="D1361" i="8" s="1"/>
  <c r="E1361" i="8"/>
  <c r="C1362" i="8"/>
  <c r="D1362" i="8" s="1"/>
  <c r="E1362" i="8"/>
  <c r="C1363" i="8"/>
  <c r="D1363" i="8" s="1"/>
  <c r="E1363" i="8"/>
  <c r="C1364" i="8"/>
  <c r="D1364" i="8" s="1"/>
  <c r="E1364" i="8"/>
  <c r="C1365" i="8"/>
  <c r="D1365" i="8" s="1"/>
  <c r="E1365" i="8"/>
  <c r="C1366" i="8"/>
  <c r="D1366" i="8" s="1"/>
  <c r="E1366" i="8"/>
  <c r="C1367" i="8"/>
  <c r="D1367" i="8" s="1"/>
  <c r="E1367" i="8"/>
  <c r="C1368" i="8"/>
  <c r="D1368" i="8" s="1"/>
  <c r="E1368" i="8"/>
  <c r="C1369" i="8"/>
  <c r="D1369" i="8" s="1"/>
  <c r="E1369" i="8"/>
  <c r="C1370" i="8"/>
  <c r="D1370" i="8" s="1"/>
  <c r="E1370" i="8"/>
  <c r="C1371" i="8"/>
  <c r="D1371" i="8" s="1"/>
  <c r="E1371" i="8"/>
  <c r="C1372" i="8"/>
  <c r="D1372" i="8" s="1"/>
  <c r="E1372" i="8"/>
  <c r="C1373" i="8"/>
  <c r="D1373" i="8" s="1"/>
  <c r="E1373" i="8"/>
  <c r="C1374" i="8"/>
  <c r="D1374" i="8" s="1"/>
  <c r="E1374" i="8"/>
  <c r="C1375" i="8"/>
  <c r="D1375" i="8" s="1"/>
  <c r="E1375" i="8"/>
  <c r="C1376" i="8"/>
  <c r="D1376" i="8" s="1"/>
  <c r="E1376" i="8"/>
  <c r="C1377" i="8"/>
  <c r="D1377" i="8" s="1"/>
  <c r="E1377" i="8"/>
  <c r="C1378" i="8"/>
  <c r="D1378" i="8" s="1"/>
  <c r="E1378" i="8"/>
  <c r="C1379" i="8"/>
  <c r="D1379" i="8" s="1"/>
  <c r="E1379" i="8"/>
  <c r="C1380" i="8"/>
  <c r="D1380" i="8" s="1"/>
  <c r="E1380" i="8"/>
  <c r="C1381" i="8"/>
  <c r="D1381" i="8" s="1"/>
  <c r="E1381" i="8"/>
  <c r="C1382" i="8"/>
  <c r="D1382" i="8" s="1"/>
  <c r="E1382" i="8"/>
  <c r="C1383" i="8"/>
  <c r="D1383" i="8" s="1"/>
  <c r="E1383" i="8"/>
  <c r="C1384" i="8"/>
  <c r="D1384" i="8" s="1"/>
  <c r="E1384" i="8"/>
  <c r="C1385" i="8"/>
  <c r="D1385" i="8" s="1"/>
  <c r="E1385" i="8"/>
  <c r="C1386" i="8"/>
  <c r="D1386" i="8" s="1"/>
  <c r="E1386" i="8"/>
  <c r="C1387" i="8"/>
  <c r="D1387" i="8" s="1"/>
  <c r="E1387" i="8"/>
  <c r="C1388" i="8"/>
  <c r="D1388" i="8" s="1"/>
  <c r="E1388" i="8"/>
  <c r="C1389" i="8"/>
  <c r="D1389" i="8" s="1"/>
  <c r="E1389" i="8"/>
  <c r="C1390" i="8"/>
  <c r="D1390" i="8" s="1"/>
  <c r="E1390" i="8"/>
  <c r="C1391" i="8"/>
  <c r="D1391" i="8" s="1"/>
  <c r="E1391" i="8"/>
  <c r="C1392" i="8"/>
  <c r="D1392" i="8" s="1"/>
  <c r="E1392" i="8"/>
  <c r="C1393" i="8"/>
  <c r="D1393" i="8" s="1"/>
  <c r="E1393" i="8"/>
  <c r="C1394" i="8"/>
  <c r="D1394" i="8" s="1"/>
  <c r="E1394" i="8"/>
  <c r="C1395" i="8"/>
  <c r="D1395" i="8" s="1"/>
  <c r="E1395" i="8"/>
  <c r="C1396" i="8"/>
  <c r="D1396" i="8" s="1"/>
  <c r="E1396" i="8"/>
  <c r="C1397" i="8"/>
  <c r="D1397" i="8" s="1"/>
  <c r="E1397" i="8"/>
  <c r="C1398" i="8"/>
  <c r="D1398" i="8" s="1"/>
  <c r="E1398" i="8"/>
  <c r="C1399" i="8"/>
  <c r="D1399" i="8" s="1"/>
  <c r="E1399" i="8"/>
  <c r="C1400" i="8"/>
  <c r="D1400" i="8" s="1"/>
  <c r="E1400" i="8"/>
  <c r="C1401" i="8"/>
  <c r="D1401" i="8" s="1"/>
  <c r="E1401" i="8"/>
  <c r="C1402" i="8"/>
  <c r="D1402" i="8" s="1"/>
  <c r="E1402" i="8"/>
  <c r="C1403" i="8"/>
  <c r="D1403" i="8" s="1"/>
  <c r="E1403" i="8"/>
  <c r="C1404" i="8"/>
  <c r="D1404" i="8" s="1"/>
  <c r="E1404" i="8"/>
  <c r="C1405" i="8"/>
  <c r="D1405" i="8" s="1"/>
  <c r="E1405" i="8"/>
  <c r="C1406" i="8"/>
  <c r="D1406" i="8" s="1"/>
  <c r="E1406" i="8"/>
  <c r="C1407" i="8"/>
  <c r="D1407" i="8" s="1"/>
  <c r="E1407" i="8"/>
  <c r="C1408" i="8"/>
  <c r="D1408" i="8" s="1"/>
  <c r="E1408" i="8"/>
  <c r="C1409" i="8"/>
  <c r="D1409" i="8" s="1"/>
  <c r="E1409" i="8"/>
  <c r="C1410" i="8"/>
  <c r="D1410" i="8" s="1"/>
  <c r="E1410" i="8"/>
  <c r="C1411" i="8"/>
  <c r="D1411" i="8" s="1"/>
  <c r="E1411" i="8"/>
  <c r="C1412" i="8"/>
  <c r="D1412" i="8" s="1"/>
  <c r="E1412" i="8"/>
  <c r="C1413" i="8"/>
  <c r="D1413" i="8" s="1"/>
  <c r="E1413" i="8"/>
  <c r="C1414" i="8"/>
  <c r="D1414" i="8" s="1"/>
  <c r="E1414" i="8"/>
  <c r="C1415" i="8"/>
  <c r="D1415" i="8" s="1"/>
  <c r="E1415" i="8"/>
  <c r="C1416" i="8"/>
  <c r="D1416" i="8" s="1"/>
  <c r="E1416" i="8"/>
  <c r="C1417" i="8"/>
  <c r="D1417" i="8" s="1"/>
  <c r="E1417" i="8"/>
  <c r="C1418" i="8"/>
  <c r="D1418" i="8" s="1"/>
  <c r="E1418" i="8"/>
  <c r="C1419" i="8"/>
  <c r="D1419" i="8" s="1"/>
  <c r="E1419" i="8"/>
  <c r="C1420" i="8"/>
  <c r="D1420" i="8" s="1"/>
  <c r="E1420" i="8"/>
  <c r="C1421" i="8"/>
  <c r="D1421" i="8" s="1"/>
  <c r="E1421" i="8"/>
  <c r="C1422" i="8"/>
  <c r="D1422" i="8" s="1"/>
  <c r="E1422" i="8"/>
  <c r="C1423" i="8"/>
  <c r="D1423" i="8" s="1"/>
  <c r="E1423" i="8"/>
  <c r="C1424" i="8"/>
  <c r="D1424" i="8" s="1"/>
  <c r="E1424" i="8"/>
  <c r="C1425" i="8"/>
  <c r="D1425" i="8" s="1"/>
  <c r="E1425" i="8"/>
  <c r="C1426" i="8"/>
  <c r="D1426" i="8" s="1"/>
  <c r="E1426" i="8"/>
  <c r="C1427" i="8"/>
  <c r="D1427" i="8" s="1"/>
  <c r="E1427" i="8"/>
  <c r="C1428" i="8"/>
  <c r="D1428" i="8" s="1"/>
  <c r="E1428" i="8"/>
  <c r="C1429" i="8"/>
  <c r="D1429" i="8" s="1"/>
  <c r="E1429" i="8"/>
  <c r="C1430" i="8"/>
  <c r="D1430" i="8" s="1"/>
  <c r="E1430" i="8"/>
  <c r="C1431" i="8"/>
  <c r="D1431" i="8" s="1"/>
  <c r="E1431" i="8"/>
  <c r="C1432" i="8"/>
  <c r="D1432" i="8" s="1"/>
  <c r="E1432" i="8"/>
  <c r="C1433" i="8"/>
  <c r="D1433" i="8" s="1"/>
  <c r="E1433" i="8"/>
  <c r="C1434" i="8"/>
  <c r="D1434" i="8" s="1"/>
  <c r="E1434" i="8"/>
  <c r="C1435" i="8"/>
  <c r="D1435" i="8" s="1"/>
  <c r="E1435" i="8"/>
  <c r="C1436" i="8"/>
  <c r="D1436" i="8" s="1"/>
  <c r="E1436" i="8"/>
  <c r="C1437" i="8"/>
  <c r="D1437" i="8" s="1"/>
  <c r="E1437" i="8"/>
  <c r="C1438" i="8"/>
  <c r="D1438" i="8" s="1"/>
  <c r="E1438" i="8"/>
  <c r="C1439" i="8"/>
  <c r="D1439" i="8" s="1"/>
  <c r="E1439" i="8"/>
  <c r="C1440" i="8"/>
  <c r="D1440" i="8" s="1"/>
  <c r="E1440" i="8"/>
  <c r="C1441" i="8"/>
  <c r="D1441" i="8" s="1"/>
  <c r="E1441" i="8"/>
  <c r="C1442" i="8"/>
  <c r="D1442" i="8" s="1"/>
  <c r="E1442" i="8"/>
  <c r="C1443" i="8"/>
  <c r="D1443" i="8" s="1"/>
  <c r="E1443" i="8"/>
  <c r="C1444" i="8"/>
  <c r="D1444" i="8" s="1"/>
  <c r="E1444" i="8"/>
  <c r="C1445" i="8"/>
  <c r="D1445" i="8" s="1"/>
  <c r="E1445" i="8"/>
  <c r="C1446" i="8"/>
  <c r="D1446" i="8" s="1"/>
  <c r="E1446" i="8"/>
  <c r="C1447" i="8"/>
  <c r="D1447" i="8" s="1"/>
  <c r="E1447" i="8"/>
  <c r="C1448" i="8"/>
  <c r="D1448" i="8" s="1"/>
  <c r="E1448" i="8"/>
  <c r="C1449" i="8"/>
  <c r="D1449" i="8" s="1"/>
  <c r="E1449" i="8"/>
  <c r="C1450" i="8"/>
  <c r="D1450" i="8" s="1"/>
  <c r="E1450" i="8"/>
  <c r="C1451" i="8"/>
  <c r="D1451" i="8" s="1"/>
  <c r="E1451" i="8"/>
  <c r="C1452" i="8"/>
  <c r="D1452" i="8" s="1"/>
  <c r="E1452" i="8"/>
  <c r="C1453" i="8"/>
  <c r="D1453" i="8" s="1"/>
  <c r="E1453" i="8"/>
  <c r="C1454" i="8"/>
  <c r="D1454" i="8" s="1"/>
  <c r="E1454" i="8"/>
  <c r="C1455" i="8"/>
  <c r="D1455" i="8" s="1"/>
  <c r="E1455" i="8"/>
  <c r="C1456" i="8"/>
  <c r="D1456" i="8" s="1"/>
  <c r="E1456" i="8"/>
  <c r="C1457" i="8"/>
  <c r="D1457" i="8" s="1"/>
  <c r="E1457" i="8"/>
  <c r="C1458" i="8"/>
  <c r="D1458" i="8" s="1"/>
  <c r="E1458" i="8"/>
  <c r="C1459" i="8"/>
  <c r="D1459" i="8" s="1"/>
  <c r="E1459" i="8"/>
  <c r="C1460" i="8"/>
  <c r="D1460" i="8" s="1"/>
  <c r="E1460" i="8"/>
  <c r="C1461" i="8"/>
  <c r="D1461" i="8" s="1"/>
  <c r="E1461" i="8"/>
  <c r="C1462" i="8"/>
  <c r="D1462" i="8" s="1"/>
  <c r="E1462" i="8"/>
  <c r="C1463" i="8"/>
  <c r="D1463" i="8" s="1"/>
  <c r="E1463" i="8"/>
  <c r="C1464" i="8"/>
  <c r="D1464" i="8" s="1"/>
  <c r="E1464" i="8"/>
  <c r="C1465" i="8"/>
  <c r="D1465" i="8" s="1"/>
  <c r="E1465" i="8"/>
  <c r="C1466" i="8"/>
  <c r="D1466" i="8" s="1"/>
  <c r="E1466" i="8"/>
  <c r="C1467" i="8"/>
  <c r="D1467" i="8" s="1"/>
  <c r="E1467" i="8"/>
  <c r="C1468" i="8"/>
  <c r="D1468" i="8" s="1"/>
  <c r="E1468" i="8"/>
  <c r="C1469" i="8"/>
  <c r="D1469" i="8" s="1"/>
  <c r="E1469" i="8"/>
  <c r="C1470" i="8"/>
  <c r="D1470" i="8" s="1"/>
  <c r="E1470" i="8"/>
  <c r="C1471" i="8"/>
  <c r="D1471" i="8" s="1"/>
  <c r="E1471" i="8"/>
  <c r="C1472" i="8"/>
  <c r="D1472" i="8" s="1"/>
  <c r="E1472" i="8"/>
  <c r="C1473" i="8"/>
  <c r="D1473" i="8" s="1"/>
  <c r="E1473" i="8"/>
  <c r="C1474" i="8"/>
  <c r="D1474" i="8" s="1"/>
  <c r="E1474" i="8"/>
  <c r="C1475" i="8"/>
  <c r="D1475" i="8" s="1"/>
  <c r="E1475" i="8"/>
  <c r="C1476" i="8"/>
  <c r="D1476" i="8" s="1"/>
  <c r="E1476" i="8"/>
  <c r="C1477" i="8"/>
  <c r="D1477" i="8" s="1"/>
  <c r="E1477" i="8"/>
  <c r="C1478" i="8"/>
  <c r="D1478" i="8" s="1"/>
  <c r="E1478" i="8"/>
  <c r="C1479" i="8"/>
  <c r="D1479" i="8" s="1"/>
  <c r="E1479" i="8"/>
  <c r="C1480" i="8"/>
  <c r="D1480" i="8" s="1"/>
  <c r="E1480" i="8"/>
  <c r="C1481" i="8"/>
  <c r="D1481" i="8" s="1"/>
  <c r="E1481" i="8"/>
  <c r="C1482" i="8"/>
  <c r="D1482" i="8" s="1"/>
  <c r="E1482" i="8"/>
  <c r="C1483" i="8"/>
  <c r="D1483" i="8" s="1"/>
  <c r="E1483" i="8"/>
  <c r="C1484" i="8"/>
  <c r="D1484" i="8" s="1"/>
  <c r="E1484" i="8"/>
  <c r="C1485" i="8"/>
  <c r="D1485" i="8" s="1"/>
  <c r="E1485" i="8"/>
  <c r="C1486" i="8"/>
  <c r="D1486" i="8" s="1"/>
  <c r="E1486" i="8"/>
  <c r="C1487" i="8"/>
  <c r="D1487" i="8" s="1"/>
  <c r="E1487" i="8"/>
  <c r="C1488" i="8"/>
  <c r="D1488" i="8" s="1"/>
  <c r="E1488" i="8"/>
  <c r="C1489" i="8"/>
  <c r="D1489" i="8" s="1"/>
  <c r="E1489" i="8"/>
  <c r="C1490" i="8"/>
  <c r="D1490" i="8" s="1"/>
  <c r="E1490" i="8"/>
  <c r="C1491" i="8"/>
  <c r="D1491" i="8" s="1"/>
  <c r="E1491" i="8"/>
  <c r="C1492" i="8"/>
  <c r="D1492" i="8" s="1"/>
  <c r="E1492" i="8"/>
  <c r="C1493" i="8"/>
  <c r="D1493" i="8" s="1"/>
  <c r="E1493" i="8"/>
  <c r="C1494" i="8"/>
  <c r="D1494" i="8" s="1"/>
  <c r="E1494" i="8"/>
  <c r="C1495" i="8"/>
  <c r="D1495" i="8" s="1"/>
  <c r="E1495" i="8"/>
  <c r="C1496" i="8"/>
  <c r="D1496" i="8" s="1"/>
  <c r="E1496" i="8"/>
  <c r="C1497" i="8"/>
  <c r="D1497" i="8" s="1"/>
  <c r="E1497" i="8"/>
  <c r="C1498" i="8"/>
  <c r="D1498" i="8" s="1"/>
  <c r="E1498" i="8"/>
  <c r="C1499" i="8"/>
  <c r="D1499" i="8" s="1"/>
  <c r="E1499" i="8"/>
  <c r="C1500" i="8"/>
  <c r="D1500" i="8" s="1"/>
  <c r="E1500" i="8"/>
  <c r="C1501" i="8"/>
  <c r="D1501" i="8" s="1"/>
  <c r="E1501" i="8"/>
  <c r="C1502" i="8"/>
  <c r="D1502" i="8" s="1"/>
  <c r="E1502" i="8"/>
  <c r="C1503" i="8"/>
  <c r="D1503" i="8" s="1"/>
  <c r="E1503" i="8"/>
  <c r="C1504" i="8"/>
  <c r="D1504" i="8" s="1"/>
  <c r="E1504" i="8"/>
  <c r="C1505" i="8"/>
  <c r="D1505" i="8" s="1"/>
  <c r="E1505" i="8"/>
  <c r="C1506" i="8"/>
  <c r="D1506" i="8" s="1"/>
  <c r="E1506" i="8"/>
  <c r="C1507" i="8"/>
  <c r="D1507" i="8" s="1"/>
  <c r="E1507" i="8"/>
  <c r="C1508" i="8"/>
  <c r="D1508" i="8" s="1"/>
  <c r="E1508" i="8"/>
  <c r="C1509" i="8"/>
  <c r="D1509" i="8" s="1"/>
  <c r="E1509" i="8"/>
  <c r="C1510" i="8"/>
  <c r="D1510" i="8" s="1"/>
  <c r="E1510" i="8"/>
  <c r="C1511" i="8"/>
  <c r="D1511" i="8" s="1"/>
  <c r="E1511" i="8"/>
  <c r="C1512" i="8"/>
  <c r="D1512" i="8" s="1"/>
  <c r="E1512" i="8"/>
  <c r="C1513" i="8"/>
  <c r="D1513" i="8" s="1"/>
  <c r="E1513" i="8"/>
  <c r="C1514" i="8"/>
  <c r="D1514" i="8" s="1"/>
  <c r="E1514" i="8"/>
  <c r="C1515" i="8"/>
  <c r="D1515" i="8" s="1"/>
  <c r="E1515" i="8"/>
  <c r="C1516" i="8"/>
  <c r="D1516" i="8" s="1"/>
  <c r="E1516" i="8"/>
  <c r="C1517" i="8"/>
  <c r="D1517" i="8" s="1"/>
  <c r="E1517" i="8"/>
  <c r="C1518" i="8"/>
  <c r="D1518" i="8" s="1"/>
  <c r="E1518" i="8"/>
  <c r="C1519" i="8"/>
  <c r="D1519" i="8" s="1"/>
  <c r="E1519" i="8"/>
  <c r="C1520" i="8"/>
  <c r="D1520" i="8" s="1"/>
  <c r="E1520" i="8"/>
  <c r="C1521" i="8"/>
  <c r="D1521" i="8" s="1"/>
  <c r="E1521" i="8"/>
  <c r="C1522" i="8"/>
  <c r="D1522" i="8" s="1"/>
  <c r="E1522" i="8"/>
  <c r="C1523" i="8"/>
  <c r="D1523" i="8" s="1"/>
  <c r="E1523" i="8"/>
  <c r="C1524" i="8"/>
  <c r="D1524" i="8" s="1"/>
  <c r="E1524" i="8"/>
  <c r="C1525" i="8"/>
  <c r="D1525" i="8" s="1"/>
  <c r="E1525" i="8"/>
  <c r="C1526" i="8"/>
  <c r="D1526" i="8" s="1"/>
  <c r="E1526" i="8"/>
  <c r="C1527" i="8"/>
  <c r="D1527" i="8" s="1"/>
  <c r="E1527" i="8"/>
  <c r="C1528" i="8"/>
  <c r="D1528" i="8" s="1"/>
  <c r="E1528" i="8"/>
  <c r="C1529" i="8"/>
  <c r="D1529" i="8" s="1"/>
  <c r="E1529" i="8"/>
  <c r="C1530" i="8"/>
  <c r="D1530" i="8" s="1"/>
  <c r="E1530" i="8"/>
  <c r="C1531" i="8"/>
  <c r="D1531" i="8" s="1"/>
  <c r="E1531" i="8"/>
  <c r="C1532" i="8"/>
  <c r="D1532" i="8" s="1"/>
  <c r="E1532" i="8"/>
  <c r="C1533" i="8"/>
  <c r="D1533" i="8" s="1"/>
  <c r="E1533" i="8"/>
  <c r="C1534" i="8"/>
  <c r="D1534" i="8" s="1"/>
  <c r="E1534" i="8"/>
  <c r="C1535" i="8"/>
  <c r="D1535" i="8" s="1"/>
  <c r="E1535" i="8"/>
  <c r="C1536" i="8"/>
  <c r="D1536" i="8" s="1"/>
  <c r="E1536" i="8"/>
  <c r="C1537" i="8"/>
  <c r="D1537" i="8" s="1"/>
  <c r="E1537" i="8"/>
  <c r="C1538" i="8"/>
  <c r="D1538" i="8" s="1"/>
  <c r="E1538" i="8"/>
  <c r="C1539" i="8"/>
  <c r="D1539" i="8" s="1"/>
  <c r="E1539" i="8"/>
  <c r="C1540" i="8"/>
  <c r="D1540" i="8" s="1"/>
  <c r="E1540" i="8"/>
  <c r="C1541" i="8"/>
  <c r="D1541" i="8" s="1"/>
  <c r="E1541" i="8"/>
  <c r="C1542" i="8"/>
  <c r="D1542" i="8" s="1"/>
  <c r="E1542" i="8"/>
  <c r="C1543" i="8"/>
  <c r="D1543" i="8" s="1"/>
  <c r="E1543" i="8"/>
  <c r="C1544" i="8"/>
  <c r="D1544" i="8" s="1"/>
  <c r="E1544" i="8"/>
  <c r="C1545" i="8"/>
  <c r="D1545" i="8" s="1"/>
  <c r="E1545" i="8"/>
  <c r="C1546" i="8"/>
  <c r="D1546" i="8" s="1"/>
  <c r="E1546" i="8"/>
  <c r="C1547" i="8"/>
  <c r="D1547" i="8" s="1"/>
  <c r="E1547" i="8"/>
  <c r="C1548" i="8"/>
  <c r="D1548" i="8" s="1"/>
  <c r="E1548" i="8"/>
  <c r="C1549" i="8"/>
  <c r="D1549" i="8" s="1"/>
  <c r="E1549" i="8"/>
  <c r="C1550" i="8"/>
  <c r="D1550" i="8" s="1"/>
  <c r="E1550" i="8"/>
  <c r="C1551" i="8"/>
  <c r="D1551" i="8" s="1"/>
  <c r="E1551" i="8"/>
  <c r="C1552" i="8"/>
  <c r="D1552" i="8" s="1"/>
  <c r="E1552" i="8"/>
  <c r="C1553" i="8"/>
  <c r="D1553" i="8" s="1"/>
  <c r="E1553" i="8"/>
  <c r="C1554" i="8"/>
  <c r="D1554" i="8" s="1"/>
  <c r="E1554" i="8"/>
  <c r="C1555" i="8"/>
  <c r="D1555" i="8" s="1"/>
  <c r="E1555" i="8"/>
  <c r="C1556" i="8"/>
  <c r="D1556" i="8" s="1"/>
  <c r="E1556" i="8"/>
  <c r="C1557" i="8"/>
  <c r="D1557" i="8" s="1"/>
  <c r="E1557" i="8"/>
  <c r="C1558" i="8"/>
  <c r="D1558" i="8" s="1"/>
  <c r="E1558" i="8"/>
  <c r="C1559" i="8"/>
  <c r="D1559" i="8" s="1"/>
  <c r="E1559" i="8"/>
  <c r="C1560" i="8"/>
  <c r="D1560" i="8" s="1"/>
  <c r="E1560" i="8"/>
  <c r="C1561" i="8"/>
  <c r="D1561" i="8" s="1"/>
  <c r="E1561" i="8"/>
  <c r="C1562" i="8"/>
  <c r="D1562" i="8" s="1"/>
  <c r="E1562" i="8"/>
  <c r="C1563" i="8"/>
  <c r="D1563" i="8" s="1"/>
  <c r="E1563" i="8"/>
  <c r="C1564" i="8"/>
  <c r="D1564" i="8" s="1"/>
  <c r="E1564" i="8"/>
  <c r="C1565" i="8"/>
  <c r="D1565" i="8" s="1"/>
  <c r="E1565" i="8"/>
  <c r="C1566" i="8"/>
  <c r="D1566" i="8" s="1"/>
  <c r="E1566" i="8"/>
  <c r="C1567" i="8"/>
  <c r="D1567" i="8" s="1"/>
  <c r="E1567" i="8"/>
  <c r="C1568" i="8"/>
  <c r="D1568" i="8" s="1"/>
  <c r="E1568" i="8"/>
  <c r="C1569" i="8"/>
  <c r="D1569" i="8" s="1"/>
  <c r="E1569" i="8"/>
  <c r="C1570" i="8"/>
  <c r="D1570" i="8" s="1"/>
  <c r="E1570" i="8"/>
  <c r="C1571" i="8"/>
  <c r="D1571" i="8" s="1"/>
  <c r="E1571" i="8"/>
  <c r="C1572" i="8"/>
  <c r="D1572" i="8" s="1"/>
  <c r="E1572" i="8"/>
  <c r="C1573" i="8"/>
  <c r="D1573" i="8" s="1"/>
  <c r="E1573" i="8"/>
  <c r="C1574" i="8"/>
  <c r="D1574" i="8" s="1"/>
  <c r="E1574" i="8"/>
  <c r="C1575" i="8"/>
  <c r="D1575" i="8" s="1"/>
  <c r="E1575" i="8"/>
  <c r="C1576" i="8"/>
  <c r="D1576" i="8" s="1"/>
  <c r="E1576" i="8"/>
  <c r="C1577" i="8"/>
  <c r="D1577" i="8" s="1"/>
  <c r="E1577" i="8"/>
  <c r="C1578" i="8"/>
  <c r="D1578" i="8" s="1"/>
  <c r="E1578" i="8"/>
  <c r="C1579" i="8"/>
  <c r="D1579" i="8" s="1"/>
  <c r="E1579" i="8"/>
  <c r="C1580" i="8"/>
  <c r="D1580" i="8" s="1"/>
  <c r="E1580" i="8"/>
  <c r="C1581" i="8"/>
  <c r="D1581" i="8" s="1"/>
  <c r="E1581" i="8"/>
  <c r="C1582" i="8"/>
  <c r="D1582" i="8" s="1"/>
  <c r="E1582" i="8"/>
  <c r="C1583" i="8"/>
  <c r="D1583" i="8" s="1"/>
  <c r="E1583" i="8"/>
  <c r="C1584" i="8"/>
  <c r="D1584" i="8" s="1"/>
  <c r="E1584" i="8"/>
  <c r="C1585" i="8"/>
  <c r="D1585" i="8" s="1"/>
  <c r="E1585" i="8"/>
  <c r="C1586" i="8"/>
  <c r="D1586" i="8" s="1"/>
  <c r="E1586" i="8"/>
  <c r="C1587" i="8"/>
  <c r="D1587" i="8" s="1"/>
  <c r="E1587" i="8"/>
  <c r="C1588" i="8"/>
  <c r="D1588" i="8" s="1"/>
  <c r="E1588" i="8"/>
  <c r="C1589" i="8"/>
  <c r="D1589" i="8" s="1"/>
  <c r="E1589" i="8"/>
  <c r="C1590" i="8"/>
  <c r="D1590" i="8" s="1"/>
  <c r="E1590" i="8"/>
  <c r="C1591" i="8"/>
  <c r="D1591" i="8" s="1"/>
  <c r="E1591" i="8"/>
  <c r="C1592" i="8"/>
  <c r="D1592" i="8" s="1"/>
  <c r="E1592" i="8"/>
  <c r="C1593" i="8"/>
  <c r="D1593" i="8" s="1"/>
  <c r="E1593" i="8"/>
  <c r="C1594" i="8"/>
  <c r="D1594" i="8" s="1"/>
  <c r="E1594" i="8"/>
  <c r="C1595" i="8"/>
  <c r="D1595" i="8" s="1"/>
  <c r="E1595" i="8"/>
  <c r="C1596" i="8"/>
  <c r="D1596" i="8" s="1"/>
  <c r="E1596" i="8"/>
  <c r="C1597" i="8"/>
  <c r="D1597" i="8" s="1"/>
  <c r="E1597" i="8"/>
  <c r="C1598" i="8"/>
  <c r="D1598" i="8" s="1"/>
  <c r="E1598" i="8"/>
  <c r="C1599" i="8"/>
  <c r="D1599" i="8" s="1"/>
  <c r="E1599" i="8"/>
  <c r="C1600" i="8"/>
  <c r="D1600" i="8" s="1"/>
  <c r="E1600" i="8"/>
  <c r="C1601" i="8"/>
  <c r="D1601" i="8" s="1"/>
  <c r="E1601" i="8"/>
  <c r="C1602" i="8"/>
  <c r="D1602" i="8" s="1"/>
  <c r="E1602" i="8"/>
  <c r="C1603" i="8"/>
  <c r="D1603" i="8" s="1"/>
  <c r="E1603" i="8"/>
  <c r="C1604" i="8"/>
  <c r="D1604" i="8" s="1"/>
  <c r="E1604" i="8"/>
  <c r="C1605" i="8"/>
  <c r="D1605" i="8" s="1"/>
  <c r="E1605" i="8"/>
  <c r="C1606" i="8"/>
  <c r="D1606" i="8" s="1"/>
  <c r="E1606" i="8"/>
  <c r="C1607" i="8"/>
  <c r="D1607" i="8" s="1"/>
  <c r="E1607" i="8"/>
  <c r="C1608" i="8"/>
  <c r="D1608" i="8" s="1"/>
  <c r="E1608" i="8"/>
  <c r="C1609" i="8"/>
  <c r="D1609" i="8" s="1"/>
  <c r="E1609" i="8"/>
  <c r="C1610" i="8"/>
  <c r="D1610" i="8" s="1"/>
  <c r="E1610" i="8"/>
  <c r="C1611" i="8"/>
  <c r="D1611" i="8" s="1"/>
  <c r="E1611" i="8"/>
  <c r="C1612" i="8"/>
  <c r="D1612" i="8" s="1"/>
  <c r="E1612" i="8"/>
  <c r="C1613" i="8"/>
  <c r="D1613" i="8" s="1"/>
  <c r="E1613" i="8"/>
  <c r="C1614" i="8"/>
  <c r="D1614" i="8" s="1"/>
  <c r="E1614" i="8"/>
  <c r="C1615" i="8"/>
  <c r="D1615" i="8" s="1"/>
  <c r="E1615" i="8"/>
  <c r="C1616" i="8"/>
  <c r="D1616" i="8" s="1"/>
  <c r="E1616" i="8"/>
  <c r="C1617" i="8"/>
  <c r="D1617" i="8" s="1"/>
  <c r="E1617" i="8"/>
  <c r="C1618" i="8"/>
  <c r="D1618" i="8" s="1"/>
  <c r="E1618" i="8"/>
  <c r="C1619" i="8"/>
  <c r="D1619" i="8" s="1"/>
  <c r="E1619" i="8"/>
  <c r="C1620" i="8"/>
  <c r="D1620" i="8" s="1"/>
  <c r="E1620" i="8"/>
  <c r="C1621" i="8"/>
  <c r="D1621" i="8" s="1"/>
  <c r="E1621" i="8"/>
  <c r="C1622" i="8"/>
  <c r="D1622" i="8" s="1"/>
  <c r="E1622" i="8"/>
  <c r="C1623" i="8"/>
  <c r="D1623" i="8" s="1"/>
  <c r="E1623" i="8"/>
  <c r="C1624" i="8"/>
  <c r="D1624" i="8" s="1"/>
  <c r="E1624" i="8"/>
  <c r="C1625" i="8"/>
  <c r="D1625" i="8" s="1"/>
  <c r="E1625" i="8"/>
  <c r="C1626" i="8"/>
  <c r="D1626" i="8" s="1"/>
  <c r="E1626" i="8"/>
  <c r="C1627" i="8"/>
  <c r="D1627" i="8" s="1"/>
  <c r="E1627" i="8"/>
  <c r="C1628" i="8"/>
  <c r="D1628" i="8" s="1"/>
  <c r="E1628" i="8"/>
  <c r="C1629" i="8"/>
  <c r="D1629" i="8" s="1"/>
  <c r="E1629" i="8"/>
  <c r="C1630" i="8"/>
  <c r="D1630" i="8" s="1"/>
  <c r="E1630" i="8"/>
  <c r="C1631" i="8"/>
  <c r="D1631" i="8" s="1"/>
  <c r="E1631" i="8"/>
  <c r="C1632" i="8"/>
  <c r="D1632" i="8" s="1"/>
  <c r="E1632" i="8"/>
  <c r="C1633" i="8"/>
  <c r="D1633" i="8" s="1"/>
  <c r="E1633" i="8"/>
  <c r="C1634" i="8"/>
  <c r="D1634" i="8" s="1"/>
  <c r="E1634" i="8"/>
  <c r="C1635" i="8"/>
  <c r="D1635" i="8" s="1"/>
  <c r="E1635" i="8"/>
  <c r="C1636" i="8"/>
  <c r="D1636" i="8" s="1"/>
  <c r="E1636" i="8"/>
  <c r="C1637" i="8"/>
  <c r="D1637" i="8" s="1"/>
  <c r="E1637" i="8"/>
  <c r="C1638" i="8"/>
  <c r="D1638" i="8" s="1"/>
  <c r="E1638" i="8"/>
  <c r="C1639" i="8"/>
  <c r="D1639" i="8" s="1"/>
  <c r="E1639" i="8"/>
  <c r="C1640" i="8"/>
  <c r="D1640" i="8" s="1"/>
  <c r="E1640" i="8"/>
  <c r="C1641" i="8"/>
  <c r="D1641" i="8" s="1"/>
  <c r="E1641" i="8"/>
  <c r="C1642" i="8"/>
  <c r="D1642" i="8" s="1"/>
  <c r="E1642" i="8"/>
  <c r="C1643" i="8"/>
  <c r="D1643" i="8" s="1"/>
  <c r="E1643" i="8"/>
  <c r="C1644" i="8"/>
  <c r="D1644" i="8" s="1"/>
  <c r="E1644" i="8"/>
  <c r="C1645" i="8"/>
  <c r="D1645" i="8" s="1"/>
  <c r="E1645" i="8"/>
  <c r="C1646" i="8"/>
  <c r="D1646" i="8" s="1"/>
  <c r="E1646" i="8"/>
  <c r="C1647" i="8"/>
  <c r="D1647" i="8" s="1"/>
  <c r="E1647" i="8"/>
  <c r="C1648" i="8"/>
  <c r="D1648" i="8" s="1"/>
  <c r="E1648" i="8"/>
  <c r="C1649" i="8"/>
  <c r="D1649" i="8" s="1"/>
  <c r="E1649" i="8"/>
  <c r="C1650" i="8"/>
  <c r="D1650" i="8" s="1"/>
  <c r="E1650" i="8"/>
  <c r="C1651" i="8"/>
  <c r="D1651" i="8" s="1"/>
  <c r="E1651" i="8"/>
  <c r="C1652" i="8"/>
  <c r="D1652" i="8" s="1"/>
  <c r="E1652" i="8"/>
  <c r="C1653" i="8"/>
  <c r="D1653" i="8" s="1"/>
  <c r="E1653" i="8"/>
  <c r="C1654" i="8"/>
  <c r="D1654" i="8" s="1"/>
  <c r="E1654" i="8"/>
  <c r="C1655" i="8"/>
  <c r="D1655" i="8" s="1"/>
  <c r="E1655" i="8"/>
  <c r="C1656" i="8"/>
  <c r="D1656" i="8" s="1"/>
  <c r="E1656" i="8"/>
  <c r="C1657" i="8"/>
  <c r="D1657" i="8" s="1"/>
  <c r="E1657" i="8"/>
  <c r="C1658" i="8"/>
  <c r="D1658" i="8" s="1"/>
  <c r="E1658" i="8"/>
  <c r="C1659" i="8"/>
  <c r="D1659" i="8" s="1"/>
  <c r="E1659" i="8"/>
  <c r="C1660" i="8"/>
  <c r="D1660" i="8" s="1"/>
  <c r="E1660" i="8"/>
  <c r="C1661" i="8"/>
  <c r="D1661" i="8" s="1"/>
  <c r="E1661" i="8"/>
  <c r="C1662" i="8"/>
  <c r="D1662" i="8" s="1"/>
  <c r="E1662" i="8"/>
  <c r="C1663" i="8"/>
  <c r="D1663" i="8" s="1"/>
  <c r="E1663" i="8"/>
  <c r="C1664" i="8"/>
  <c r="D1664" i="8" s="1"/>
  <c r="E1664" i="8"/>
  <c r="C1665" i="8"/>
  <c r="D1665" i="8" s="1"/>
  <c r="E1665" i="8"/>
  <c r="C1666" i="8"/>
  <c r="D1666" i="8" s="1"/>
  <c r="E1666" i="8"/>
  <c r="C1667" i="8"/>
  <c r="D1667" i="8" s="1"/>
  <c r="E1667" i="8"/>
  <c r="C1668" i="8"/>
  <c r="D1668" i="8" s="1"/>
  <c r="E1668" i="8"/>
  <c r="C1669" i="8"/>
  <c r="D1669" i="8" s="1"/>
  <c r="E1669" i="8"/>
  <c r="C1670" i="8"/>
  <c r="D1670" i="8" s="1"/>
  <c r="E1670" i="8"/>
  <c r="C1671" i="8"/>
  <c r="D1671" i="8" s="1"/>
  <c r="E1671" i="8"/>
  <c r="C1672" i="8"/>
  <c r="D1672" i="8" s="1"/>
  <c r="E1672" i="8"/>
  <c r="C1673" i="8"/>
  <c r="D1673" i="8" s="1"/>
  <c r="E1673" i="8"/>
  <c r="C1674" i="8"/>
  <c r="D1674" i="8" s="1"/>
  <c r="E1674" i="8"/>
  <c r="C1675" i="8"/>
  <c r="D1675" i="8" s="1"/>
  <c r="E1675" i="8"/>
  <c r="C1676" i="8"/>
  <c r="D1676" i="8" s="1"/>
  <c r="E1676" i="8"/>
  <c r="C1677" i="8"/>
  <c r="D1677" i="8" s="1"/>
  <c r="E1677" i="8"/>
  <c r="C1678" i="8"/>
  <c r="D1678" i="8" s="1"/>
  <c r="E1678" i="8"/>
  <c r="C1679" i="8"/>
  <c r="D1679" i="8" s="1"/>
  <c r="E1679" i="8"/>
  <c r="C1680" i="8"/>
  <c r="D1680" i="8" s="1"/>
  <c r="E1680" i="8"/>
  <c r="C1681" i="8"/>
  <c r="D1681" i="8" s="1"/>
  <c r="E1681" i="8"/>
  <c r="C1682" i="8"/>
  <c r="D1682" i="8" s="1"/>
  <c r="E1682" i="8"/>
  <c r="C1683" i="8"/>
  <c r="D1683" i="8" s="1"/>
  <c r="E1683" i="8"/>
  <c r="C1684" i="8"/>
  <c r="D1684" i="8" s="1"/>
  <c r="E1684" i="8"/>
  <c r="C1685" i="8"/>
  <c r="D1685" i="8" s="1"/>
  <c r="E1685" i="8"/>
  <c r="C1686" i="8"/>
  <c r="D1686" i="8" s="1"/>
  <c r="E1686" i="8"/>
  <c r="C1687" i="8"/>
  <c r="D1687" i="8" s="1"/>
  <c r="E1687" i="8"/>
  <c r="C1688" i="8"/>
  <c r="D1688" i="8" s="1"/>
  <c r="E1688" i="8"/>
  <c r="C1689" i="8"/>
  <c r="D1689" i="8" s="1"/>
  <c r="E1689" i="8"/>
  <c r="C1690" i="8"/>
  <c r="D1690" i="8" s="1"/>
  <c r="E1690" i="8"/>
  <c r="C1691" i="8"/>
  <c r="D1691" i="8" s="1"/>
  <c r="E1691" i="8"/>
  <c r="C1692" i="8"/>
  <c r="D1692" i="8" s="1"/>
  <c r="E1692" i="8"/>
  <c r="C1693" i="8"/>
  <c r="D1693" i="8" s="1"/>
  <c r="E1693" i="8"/>
  <c r="C1694" i="8"/>
  <c r="D1694" i="8" s="1"/>
  <c r="E1694" i="8"/>
  <c r="C1695" i="8"/>
  <c r="D1695" i="8" s="1"/>
  <c r="E1695" i="8"/>
  <c r="C1696" i="8"/>
  <c r="D1696" i="8" s="1"/>
  <c r="E1696" i="8"/>
  <c r="C1697" i="8"/>
  <c r="D1697" i="8" s="1"/>
  <c r="E1697" i="8"/>
  <c r="C1698" i="8"/>
  <c r="D1698" i="8" s="1"/>
  <c r="E1698" i="8"/>
  <c r="C1699" i="8"/>
  <c r="D1699" i="8" s="1"/>
  <c r="E1699" i="8"/>
  <c r="C1700" i="8"/>
  <c r="D1700" i="8" s="1"/>
  <c r="E1700" i="8"/>
  <c r="C1701" i="8"/>
  <c r="D1701" i="8" s="1"/>
  <c r="E1701" i="8"/>
  <c r="C1702" i="8"/>
  <c r="D1702" i="8" s="1"/>
  <c r="E1702" i="8"/>
  <c r="C1703" i="8"/>
  <c r="D1703" i="8" s="1"/>
  <c r="E1703" i="8"/>
  <c r="C1704" i="8"/>
  <c r="D1704" i="8" s="1"/>
  <c r="E1704" i="8"/>
  <c r="C1705" i="8"/>
  <c r="D1705" i="8" s="1"/>
  <c r="E1705" i="8"/>
  <c r="C1706" i="8"/>
  <c r="D1706" i="8" s="1"/>
  <c r="E1706" i="8"/>
  <c r="C1707" i="8"/>
  <c r="D1707" i="8" s="1"/>
  <c r="E1707" i="8"/>
  <c r="C1708" i="8"/>
  <c r="D1708" i="8" s="1"/>
  <c r="E1708" i="8"/>
  <c r="C1709" i="8"/>
  <c r="D1709" i="8" s="1"/>
  <c r="E1709" i="8"/>
  <c r="C1710" i="8"/>
  <c r="D1710" i="8" s="1"/>
  <c r="E1710" i="8"/>
  <c r="C1711" i="8"/>
  <c r="D1711" i="8" s="1"/>
  <c r="E1711" i="8"/>
  <c r="C1712" i="8"/>
  <c r="D1712" i="8" s="1"/>
  <c r="E1712" i="8"/>
  <c r="C1713" i="8"/>
  <c r="D1713" i="8" s="1"/>
  <c r="E1713" i="8"/>
  <c r="C1714" i="8"/>
  <c r="D1714" i="8" s="1"/>
  <c r="E1714" i="8"/>
  <c r="C1715" i="8"/>
  <c r="D1715" i="8" s="1"/>
  <c r="E1715" i="8"/>
  <c r="C1716" i="8"/>
  <c r="D1716" i="8" s="1"/>
  <c r="E1716" i="8"/>
  <c r="C1717" i="8"/>
  <c r="D1717" i="8" s="1"/>
  <c r="E1717" i="8"/>
  <c r="C1718" i="8"/>
  <c r="D1718" i="8" s="1"/>
  <c r="E1718" i="8"/>
  <c r="C1719" i="8"/>
  <c r="D1719" i="8" s="1"/>
  <c r="E1719" i="8"/>
  <c r="C1720" i="8"/>
  <c r="D1720" i="8" s="1"/>
  <c r="E1720" i="8"/>
  <c r="C1721" i="8"/>
  <c r="D1721" i="8" s="1"/>
  <c r="E1721" i="8"/>
  <c r="C1722" i="8"/>
  <c r="D1722" i="8" s="1"/>
  <c r="E1722" i="8"/>
  <c r="C1723" i="8"/>
  <c r="D1723" i="8" s="1"/>
  <c r="E1723" i="8"/>
  <c r="C1724" i="8"/>
  <c r="D1724" i="8" s="1"/>
  <c r="E1724" i="8"/>
  <c r="C1725" i="8"/>
  <c r="D1725" i="8" s="1"/>
  <c r="E1725" i="8"/>
  <c r="C1726" i="8"/>
  <c r="D1726" i="8" s="1"/>
  <c r="E1726" i="8"/>
  <c r="C1727" i="8"/>
  <c r="D1727" i="8" s="1"/>
  <c r="E1727" i="8"/>
  <c r="C1728" i="8"/>
  <c r="D1728" i="8" s="1"/>
  <c r="E1728" i="8"/>
  <c r="C1729" i="8"/>
  <c r="D1729" i="8" s="1"/>
  <c r="E1729" i="8"/>
  <c r="C1730" i="8"/>
  <c r="D1730" i="8" s="1"/>
  <c r="E1730" i="8"/>
  <c r="C1731" i="8"/>
  <c r="D1731" i="8" s="1"/>
  <c r="E1731" i="8"/>
  <c r="C1732" i="8"/>
  <c r="D1732" i="8" s="1"/>
  <c r="E1732" i="8"/>
  <c r="C1733" i="8"/>
  <c r="D1733" i="8" s="1"/>
  <c r="E1733" i="8"/>
  <c r="C1734" i="8"/>
  <c r="D1734" i="8" s="1"/>
  <c r="E1734" i="8"/>
  <c r="C1735" i="8"/>
  <c r="D1735" i="8" s="1"/>
  <c r="E1735" i="8"/>
  <c r="C1736" i="8"/>
  <c r="D1736" i="8" s="1"/>
  <c r="E1736" i="8"/>
  <c r="C1737" i="8"/>
  <c r="D1737" i="8" s="1"/>
  <c r="E1737" i="8"/>
  <c r="C1738" i="8"/>
  <c r="D1738" i="8" s="1"/>
  <c r="E1738" i="8"/>
  <c r="C1739" i="8"/>
  <c r="D1739" i="8" s="1"/>
  <c r="E1739" i="8"/>
  <c r="C1740" i="8"/>
  <c r="D1740" i="8" s="1"/>
  <c r="E1740" i="8"/>
  <c r="C1741" i="8"/>
  <c r="D1741" i="8" s="1"/>
  <c r="E1741" i="8"/>
  <c r="C1742" i="8"/>
  <c r="D1742" i="8" s="1"/>
  <c r="E1742" i="8"/>
  <c r="C1743" i="8"/>
  <c r="D1743" i="8" s="1"/>
  <c r="E1743" i="8"/>
  <c r="C1744" i="8"/>
  <c r="D1744" i="8" s="1"/>
  <c r="E1744" i="8"/>
  <c r="C1745" i="8"/>
  <c r="D1745" i="8" s="1"/>
  <c r="E1745" i="8"/>
  <c r="C1746" i="8"/>
  <c r="D1746" i="8" s="1"/>
  <c r="E1746" i="8"/>
  <c r="C1747" i="8"/>
  <c r="D1747" i="8" s="1"/>
  <c r="E1747" i="8"/>
  <c r="C1748" i="8"/>
  <c r="D1748" i="8" s="1"/>
  <c r="E1748" i="8"/>
  <c r="C1749" i="8"/>
  <c r="D1749" i="8" s="1"/>
  <c r="E1749" i="8"/>
  <c r="C1750" i="8"/>
  <c r="D1750" i="8" s="1"/>
  <c r="E1750" i="8"/>
  <c r="C1751" i="8"/>
  <c r="D1751" i="8" s="1"/>
  <c r="E1751" i="8"/>
  <c r="C1752" i="8"/>
  <c r="D1752" i="8" s="1"/>
  <c r="E1752" i="8"/>
  <c r="C1753" i="8"/>
  <c r="D1753" i="8" s="1"/>
  <c r="E1753" i="8"/>
  <c r="C1754" i="8"/>
  <c r="D1754" i="8" s="1"/>
  <c r="E1754" i="8"/>
  <c r="C1755" i="8"/>
  <c r="D1755" i="8" s="1"/>
  <c r="E1755" i="8"/>
  <c r="C1756" i="8"/>
  <c r="D1756" i="8" s="1"/>
  <c r="E1756" i="8"/>
  <c r="C1757" i="8"/>
  <c r="D1757" i="8" s="1"/>
  <c r="E1757" i="8"/>
  <c r="C1758" i="8"/>
  <c r="D1758" i="8" s="1"/>
  <c r="E1758" i="8"/>
  <c r="C1759" i="8"/>
  <c r="D1759" i="8" s="1"/>
  <c r="E1759" i="8"/>
  <c r="C1760" i="8"/>
  <c r="D1760" i="8" s="1"/>
  <c r="E1760" i="8"/>
  <c r="C1761" i="8"/>
  <c r="D1761" i="8" s="1"/>
  <c r="E1761" i="8"/>
  <c r="C1762" i="8"/>
  <c r="D1762" i="8" s="1"/>
  <c r="E1762" i="8"/>
  <c r="C1763" i="8"/>
  <c r="D1763" i="8" s="1"/>
  <c r="E1763" i="8"/>
  <c r="C1764" i="8"/>
  <c r="D1764" i="8" s="1"/>
  <c r="E1764" i="8"/>
  <c r="C1765" i="8"/>
  <c r="D1765" i="8" s="1"/>
  <c r="E1765" i="8"/>
  <c r="C1766" i="8"/>
  <c r="D1766" i="8" s="1"/>
  <c r="E1766" i="8"/>
  <c r="C1767" i="8"/>
  <c r="D1767" i="8" s="1"/>
  <c r="E1767" i="8"/>
  <c r="C1768" i="8"/>
  <c r="D1768" i="8" s="1"/>
  <c r="E1768" i="8"/>
  <c r="C1769" i="8"/>
  <c r="D1769" i="8" s="1"/>
  <c r="E1769" i="8"/>
  <c r="C1770" i="8"/>
  <c r="D1770" i="8" s="1"/>
  <c r="E1770" i="8"/>
  <c r="C1771" i="8"/>
  <c r="D1771" i="8" s="1"/>
  <c r="E1771" i="8"/>
  <c r="C1772" i="8"/>
  <c r="D1772" i="8" s="1"/>
  <c r="E1772" i="8"/>
  <c r="C1773" i="8"/>
  <c r="D1773" i="8" s="1"/>
  <c r="E1773" i="8"/>
  <c r="C1774" i="8"/>
  <c r="D1774" i="8" s="1"/>
  <c r="E1774" i="8"/>
  <c r="C1775" i="8"/>
  <c r="D1775" i="8" s="1"/>
  <c r="E1775" i="8"/>
  <c r="C1776" i="8"/>
  <c r="D1776" i="8" s="1"/>
  <c r="E1776" i="8"/>
  <c r="C1777" i="8"/>
  <c r="D1777" i="8" s="1"/>
  <c r="E1777" i="8"/>
  <c r="C1778" i="8"/>
  <c r="D1778" i="8" s="1"/>
  <c r="E1778" i="8"/>
  <c r="C1779" i="8"/>
  <c r="D1779" i="8" s="1"/>
  <c r="E1779" i="8"/>
  <c r="C1780" i="8"/>
  <c r="D1780" i="8" s="1"/>
  <c r="E1780" i="8"/>
  <c r="C1781" i="8"/>
  <c r="D1781" i="8" s="1"/>
  <c r="E1781" i="8"/>
  <c r="C1782" i="8"/>
  <c r="D1782" i="8" s="1"/>
  <c r="E1782" i="8"/>
  <c r="C1783" i="8"/>
  <c r="D1783" i="8" s="1"/>
  <c r="E1783" i="8"/>
  <c r="C1784" i="8"/>
  <c r="D1784" i="8" s="1"/>
  <c r="E1784" i="8"/>
  <c r="C1785" i="8"/>
  <c r="D1785" i="8" s="1"/>
  <c r="E1785" i="8"/>
  <c r="C1786" i="8"/>
  <c r="D1786" i="8" s="1"/>
  <c r="E1786" i="8"/>
  <c r="C1787" i="8"/>
  <c r="D1787" i="8" s="1"/>
  <c r="E1787" i="8"/>
  <c r="C1788" i="8"/>
  <c r="D1788" i="8" s="1"/>
  <c r="E1788" i="8"/>
  <c r="C1789" i="8"/>
  <c r="D1789" i="8" s="1"/>
  <c r="E1789" i="8"/>
  <c r="C1790" i="8"/>
  <c r="D1790" i="8" s="1"/>
  <c r="E1790" i="8"/>
  <c r="C1791" i="8"/>
  <c r="D1791" i="8" s="1"/>
  <c r="E1791" i="8"/>
  <c r="C1792" i="8"/>
  <c r="D1792" i="8" s="1"/>
  <c r="E1792" i="8"/>
  <c r="C1793" i="8"/>
  <c r="D1793" i="8" s="1"/>
  <c r="E1793" i="8"/>
  <c r="C1794" i="8"/>
  <c r="D1794" i="8" s="1"/>
  <c r="E1794" i="8"/>
  <c r="C1795" i="8"/>
  <c r="D1795" i="8" s="1"/>
  <c r="E1795" i="8"/>
  <c r="C1796" i="8"/>
  <c r="D1796" i="8" s="1"/>
  <c r="E1796" i="8"/>
  <c r="C1797" i="8"/>
  <c r="D1797" i="8" s="1"/>
  <c r="E1797" i="8"/>
  <c r="C1798" i="8"/>
  <c r="D1798" i="8" s="1"/>
  <c r="E1798" i="8"/>
  <c r="C1799" i="8"/>
  <c r="D1799" i="8" s="1"/>
  <c r="E1799" i="8"/>
  <c r="C1800" i="8"/>
  <c r="D1800" i="8" s="1"/>
  <c r="E1800" i="8"/>
  <c r="C1801" i="8"/>
  <c r="D1801" i="8" s="1"/>
  <c r="E1801" i="8"/>
  <c r="C1802" i="8"/>
  <c r="D1802" i="8" s="1"/>
  <c r="E1802" i="8"/>
  <c r="C1803" i="8"/>
  <c r="D1803" i="8" s="1"/>
  <c r="E1803" i="8"/>
  <c r="C1804" i="8"/>
  <c r="D1804" i="8" s="1"/>
  <c r="E1804" i="8"/>
  <c r="C1805" i="8"/>
  <c r="D1805" i="8" s="1"/>
  <c r="E1805" i="8"/>
  <c r="C1806" i="8"/>
  <c r="D1806" i="8" s="1"/>
  <c r="E1806" i="8"/>
  <c r="C1807" i="8"/>
  <c r="D1807" i="8" s="1"/>
  <c r="E1807" i="8"/>
  <c r="C1808" i="8"/>
  <c r="D1808" i="8" s="1"/>
  <c r="E1808" i="8"/>
  <c r="C1809" i="8"/>
  <c r="D1809" i="8" s="1"/>
  <c r="E1809" i="8"/>
  <c r="C1810" i="8"/>
  <c r="D1810" i="8" s="1"/>
  <c r="E1810" i="8"/>
  <c r="C1811" i="8"/>
  <c r="D1811" i="8" s="1"/>
  <c r="E1811" i="8"/>
  <c r="C1812" i="8"/>
  <c r="D1812" i="8" s="1"/>
  <c r="E1812" i="8"/>
  <c r="C1813" i="8"/>
  <c r="D1813" i="8" s="1"/>
  <c r="E1813" i="8"/>
  <c r="C1814" i="8"/>
  <c r="D1814" i="8" s="1"/>
  <c r="E1814" i="8"/>
  <c r="C1815" i="8"/>
  <c r="D1815" i="8" s="1"/>
  <c r="E1815" i="8"/>
  <c r="C1816" i="8"/>
  <c r="D1816" i="8" s="1"/>
  <c r="E1816" i="8"/>
  <c r="C1817" i="8"/>
  <c r="D1817" i="8" s="1"/>
  <c r="E1817" i="8"/>
  <c r="C1818" i="8"/>
  <c r="D1818" i="8" s="1"/>
  <c r="E1818" i="8"/>
  <c r="C1819" i="8"/>
  <c r="D1819" i="8" s="1"/>
  <c r="E1819" i="8"/>
  <c r="C1820" i="8"/>
  <c r="D1820" i="8" s="1"/>
  <c r="E1820" i="8"/>
  <c r="C1821" i="8"/>
  <c r="D1821" i="8" s="1"/>
  <c r="E1821" i="8"/>
  <c r="C1822" i="8"/>
  <c r="D1822" i="8" s="1"/>
  <c r="E1822" i="8"/>
  <c r="C1823" i="8"/>
  <c r="D1823" i="8" s="1"/>
  <c r="E1823" i="8"/>
  <c r="C1824" i="8"/>
  <c r="D1824" i="8" s="1"/>
  <c r="E1824" i="8"/>
  <c r="C1825" i="8"/>
  <c r="D1825" i="8" s="1"/>
  <c r="E1825" i="8"/>
  <c r="C1826" i="8"/>
  <c r="D1826" i="8" s="1"/>
  <c r="E1826" i="8"/>
  <c r="C1827" i="8"/>
  <c r="D1827" i="8" s="1"/>
  <c r="E1827" i="8"/>
  <c r="C1828" i="8"/>
  <c r="D1828" i="8" s="1"/>
  <c r="E1828" i="8"/>
  <c r="C1829" i="8"/>
  <c r="D1829" i="8" s="1"/>
  <c r="E1829" i="8"/>
  <c r="C1830" i="8"/>
  <c r="D1830" i="8" s="1"/>
  <c r="E1830" i="8"/>
  <c r="C1831" i="8"/>
  <c r="D1831" i="8" s="1"/>
  <c r="E1831" i="8"/>
  <c r="C1832" i="8"/>
  <c r="D1832" i="8" s="1"/>
  <c r="E1832" i="8"/>
  <c r="C1833" i="8"/>
  <c r="D1833" i="8" s="1"/>
  <c r="E1833" i="8"/>
  <c r="C1834" i="8"/>
  <c r="D1834" i="8" s="1"/>
  <c r="E1834" i="8"/>
  <c r="C1835" i="8"/>
  <c r="D1835" i="8" s="1"/>
  <c r="E1835" i="8"/>
  <c r="C1836" i="8"/>
  <c r="D1836" i="8" s="1"/>
  <c r="E1836" i="8"/>
  <c r="C1837" i="8"/>
  <c r="D1837" i="8" s="1"/>
  <c r="E1837" i="8"/>
  <c r="C1838" i="8"/>
  <c r="D1838" i="8" s="1"/>
  <c r="E1838" i="8"/>
  <c r="C1839" i="8"/>
  <c r="D1839" i="8" s="1"/>
  <c r="E1839" i="8"/>
  <c r="C1840" i="8"/>
  <c r="D1840" i="8" s="1"/>
  <c r="E1840" i="8"/>
  <c r="C1841" i="8"/>
  <c r="D1841" i="8" s="1"/>
  <c r="E1841" i="8"/>
  <c r="C1842" i="8"/>
  <c r="D1842" i="8" s="1"/>
  <c r="E1842" i="8"/>
  <c r="C1843" i="8"/>
  <c r="D1843" i="8" s="1"/>
  <c r="E1843" i="8"/>
  <c r="C1844" i="8"/>
  <c r="D1844" i="8" s="1"/>
  <c r="E1844" i="8"/>
  <c r="C1845" i="8"/>
  <c r="D1845" i="8" s="1"/>
  <c r="E1845" i="8"/>
  <c r="C1846" i="8"/>
  <c r="D1846" i="8" s="1"/>
  <c r="E1846" i="8"/>
  <c r="C1847" i="8"/>
  <c r="D1847" i="8" s="1"/>
  <c r="E1847" i="8"/>
  <c r="C1848" i="8"/>
  <c r="D1848" i="8" s="1"/>
  <c r="E1848" i="8"/>
  <c r="C1849" i="8"/>
  <c r="D1849" i="8" s="1"/>
  <c r="E1849" i="8"/>
  <c r="C1850" i="8"/>
  <c r="D1850" i="8" s="1"/>
  <c r="E1850" i="8"/>
  <c r="C1851" i="8"/>
  <c r="D1851" i="8" s="1"/>
  <c r="E1851" i="8"/>
  <c r="C1852" i="8"/>
  <c r="D1852" i="8" s="1"/>
  <c r="E1852" i="8"/>
  <c r="C1853" i="8"/>
  <c r="D1853" i="8" s="1"/>
  <c r="E1853" i="8"/>
  <c r="C1854" i="8"/>
  <c r="D1854" i="8" s="1"/>
  <c r="E1854" i="8"/>
  <c r="C1855" i="8"/>
  <c r="D1855" i="8" s="1"/>
  <c r="E1855" i="8"/>
  <c r="C1856" i="8"/>
  <c r="D1856" i="8" s="1"/>
  <c r="E1856" i="8"/>
  <c r="C1857" i="8"/>
  <c r="D1857" i="8" s="1"/>
  <c r="E1857" i="8"/>
  <c r="C1858" i="8"/>
  <c r="D1858" i="8" s="1"/>
  <c r="E1858" i="8"/>
  <c r="C1859" i="8"/>
  <c r="D1859" i="8" s="1"/>
  <c r="E1859" i="8"/>
  <c r="C1860" i="8"/>
  <c r="D1860" i="8" s="1"/>
  <c r="E1860" i="8"/>
  <c r="C1861" i="8"/>
  <c r="D1861" i="8" s="1"/>
  <c r="E1861" i="8"/>
  <c r="C1862" i="8"/>
  <c r="D1862" i="8" s="1"/>
  <c r="E1862" i="8"/>
  <c r="C1863" i="8"/>
  <c r="D1863" i="8" s="1"/>
  <c r="E1863" i="8"/>
  <c r="C1864" i="8"/>
  <c r="D1864" i="8" s="1"/>
  <c r="E1864" i="8"/>
  <c r="C1865" i="8"/>
  <c r="D1865" i="8" s="1"/>
  <c r="E1865" i="8"/>
  <c r="C1866" i="8"/>
  <c r="D1866" i="8" s="1"/>
  <c r="E1866" i="8"/>
  <c r="C1867" i="8"/>
  <c r="D1867" i="8" s="1"/>
  <c r="E1867" i="8"/>
  <c r="C1868" i="8"/>
  <c r="D1868" i="8" s="1"/>
  <c r="E1868" i="8"/>
  <c r="C1869" i="8"/>
  <c r="D1869" i="8" s="1"/>
  <c r="E1869" i="8"/>
  <c r="C1870" i="8"/>
  <c r="D1870" i="8" s="1"/>
  <c r="E1870" i="8"/>
  <c r="C1871" i="8"/>
  <c r="D1871" i="8" s="1"/>
  <c r="E1871" i="8"/>
  <c r="C1872" i="8"/>
  <c r="D1872" i="8" s="1"/>
  <c r="E1872" i="8"/>
  <c r="C1873" i="8"/>
  <c r="D1873" i="8" s="1"/>
  <c r="E1873" i="8"/>
  <c r="C1874" i="8"/>
  <c r="D1874" i="8" s="1"/>
  <c r="E1874" i="8"/>
  <c r="C1875" i="8"/>
  <c r="D1875" i="8" s="1"/>
  <c r="E1875" i="8"/>
  <c r="C1876" i="8"/>
  <c r="D1876" i="8" s="1"/>
  <c r="E1876" i="8"/>
  <c r="C1877" i="8"/>
  <c r="D1877" i="8" s="1"/>
  <c r="E1877" i="8"/>
  <c r="C1878" i="8"/>
  <c r="D1878" i="8" s="1"/>
  <c r="E1878" i="8"/>
  <c r="C1879" i="8"/>
  <c r="D1879" i="8" s="1"/>
  <c r="E1879" i="8"/>
  <c r="C1880" i="8"/>
  <c r="D1880" i="8" s="1"/>
  <c r="E1880" i="8"/>
  <c r="C1881" i="8"/>
  <c r="D1881" i="8" s="1"/>
  <c r="E1881" i="8"/>
  <c r="C1882" i="8"/>
  <c r="D1882" i="8" s="1"/>
  <c r="E1882" i="8"/>
  <c r="C1883" i="8"/>
  <c r="D1883" i="8" s="1"/>
  <c r="E1883" i="8"/>
  <c r="C1884" i="8"/>
  <c r="D1884" i="8" s="1"/>
  <c r="E1884" i="8"/>
  <c r="C1885" i="8"/>
  <c r="D1885" i="8" s="1"/>
  <c r="E1885" i="8"/>
  <c r="C1886" i="8"/>
  <c r="D1886" i="8" s="1"/>
  <c r="E1886" i="8"/>
  <c r="C1887" i="8"/>
  <c r="D1887" i="8" s="1"/>
  <c r="E1887" i="8"/>
  <c r="C1888" i="8"/>
  <c r="D1888" i="8" s="1"/>
  <c r="E1888" i="8"/>
  <c r="C1889" i="8"/>
  <c r="D1889" i="8" s="1"/>
  <c r="E1889" i="8"/>
  <c r="C1890" i="8"/>
  <c r="D1890" i="8" s="1"/>
  <c r="E1890" i="8"/>
  <c r="C1891" i="8"/>
  <c r="D1891" i="8" s="1"/>
  <c r="E1891" i="8"/>
  <c r="C1892" i="8"/>
  <c r="D1892" i="8" s="1"/>
  <c r="E1892" i="8"/>
  <c r="C1893" i="8"/>
  <c r="D1893" i="8" s="1"/>
  <c r="E1893" i="8"/>
  <c r="C1894" i="8"/>
  <c r="D1894" i="8" s="1"/>
  <c r="E1894" i="8"/>
  <c r="C1895" i="8"/>
  <c r="D1895" i="8" s="1"/>
  <c r="E1895" i="8"/>
  <c r="C1896" i="8"/>
  <c r="D1896" i="8" s="1"/>
  <c r="E1896" i="8"/>
  <c r="C1897" i="8"/>
  <c r="D1897" i="8" s="1"/>
  <c r="E1897" i="8"/>
  <c r="C1898" i="8"/>
  <c r="D1898" i="8" s="1"/>
  <c r="E1898" i="8"/>
  <c r="C1899" i="8"/>
  <c r="D1899" i="8" s="1"/>
  <c r="E1899" i="8"/>
  <c r="C1900" i="8"/>
  <c r="D1900" i="8" s="1"/>
  <c r="E1900" i="8"/>
  <c r="C1901" i="8"/>
  <c r="D1901" i="8" s="1"/>
  <c r="E1901" i="8"/>
  <c r="C1902" i="8"/>
  <c r="D1902" i="8" s="1"/>
  <c r="E1902" i="8"/>
  <c r="C1903" i="8"/>
  <c r="D1903" i="8" s="1"/>
  <c r="E1903" i="8"/>
  <c r="C1904" i="8"/>
  <c r="D1904" i="8" s="1"/>
  <c r="E1904" i="8"/>
  <c r="C1905" i="8"/>
  <c r="D1905" i="8" s="1"/>
  <c r="E1905" i="8"/>
  <c r="C1906" i="8"/>
  <c r="D1906" i="8" s="1"/>
  <c r="E1906" i="8"/>
  <c r="C1907" i="8"/>
  <c r="D1907" i="8" s="1"/>
  <c r="E1907" i="8"/>
  <c r="C1908" i="8"/>
  <c r="D1908" i="8" s="1"/>
  <c r="E1908" i="8"/>
  <c r="C1909" i="8"/>
  <c r="D1909" i="8" s="1"/>
  <c r="E1909" i="8"/>
  <c r="C1910" i="8"/>
  <c r="D1910" i="8" s="1"/>
  <c r="E1910" i="8"/>
  <c r="C1911" i="8"/>
  <c r="D1911" i="8" s="1"/>
  <c r="E1911" i="8"/>
  <c r="C1912" i="8"/>
  <c r="D1912" i="8" s="1"/>
  <c r="E1912" i="8"/>
  <c r="C1913" i="8"/>
  <c r="D1913" i="8" s="1"/>
  <c r="E1913" i="8"/>
  <c r="C1914" i="8"/>
  <c r="D1914" i="8" s="1"/>
  <c r="E1914" i="8"/>
  <c r="C1915" i="8"/>
  <c r="D1915" i="8" s="1"/>
  <c r="E1915" i="8"/>
  <c r="C1916" i="8"/>
  <c r="D1916" i="8" s="1"/>
  <c r="E1916" i="8"/>
  <c r="C1917" i="8"/>
  <c r="D1917" i="8" s="1"/>
  <c r="E1917" i="8"/>
  <c r="C1918" i="8"/>
  <c r="D1918" i="8" s="1"/>
  <c r="E1918" i="8"/>
  <c r="C1919" i="8"/>
  <c r="D1919" i="8" s="1"/>
  <c r="E1919" i="8"/>
  <c r="C1920" i="8"/>
  <c r="D1920" i="8" s="1"/>
  <c r="E1920" i="8"/>
  <c r="C1921" i="8"/>
  <c r="D1921" i="8" s="1"/>
  <c r="E1921" i="8"/>
  <c r="C1922" i="8"/>
  <c r="D1922" i="8" s="1"/>
  <c r="E1922" i="8"/>
  <c r="C1923" i="8"/>
  <c r="D1923" i="8" s="1"/>
  <c r="E1923" i="8"/>
  <c r="C1924" i="8"/>
  <c r="D1924" i="8" s="1"/>
  <c r="E1924" i="8"/>
  <c r="C1925" i="8"/>
  <c r="D1925" i="8" s="1"/>
  <c r="E1925" i="8"/>
  <c r="C1926" i="8"/>
  <c r="D1926" i="8" s="1"/>
  <c r="E1926" i="8"/>
  <c r="C1927" i="8"/>
  <c r="D1927" i="8" s="1"/>
  <c r="E1927" i="8"/>
  <c r="C1928" i="8"/>
  <c r="D1928" i="8" s="1"/>
  <c r="E1928" i="8"/>
  <c r="C1929" i="8"/>
  <c r="D1929" i="8" s="1"/>
  <c r="E1929" i="8"/>
  <c r="C1930" i="8"/>
  <c r="D1930" i="8" s="1"/>
  <c r="E1930" i="8"/>
  <c r="C1931" i="8"/>
  <c r="D1931" i="8" s="1"/>
  <c r="E1931" i="8"/>
  <c r="C1932" i="8"/>
  <c r="D1932" i="8" s="1"/>
  <c r="E1932" i="8"/>
  <c r="C1933" i="8"/>
  <c r="D1933" i="8" s="1"/>
  <c r="E1933" i="8"/>
  <c r="C1934" i="8"/>
  <c r="D1934" i="8" s="1"/>
  <c r="E1934" i="8"/>
  <c r="C1935" i="8"/>
  <c r="D1935" i="8" s="1"/>
  <c r="E1935" i="8"/>
  <c r="C1936" i="8"/>
  <c r="D1936" i="8" s="1"/>
  <c r="E1936" i="8"/>
  <c r="C1937" i="8"/>
  <c r="D1937" i="8" s="1"/>
  <c r="E1937" i="8"/>
  <c r="C1938" i="8"/>
  <c r="D1938" i="8" s="1"/>
  <c r="E1938" i="8"/>
  <c r="C1939" i="8"/>
  <c r="D1939" i="8" s="1"/>
  <c r="E1939" i="8"/>
  <c r="C1940" i="8"/>
  <c r="D1940" i="8" s="1"/>
  <c r="E1940" i="8"/>
  <c r="C1941" i="8"/>
  <c r="D1941" i="8" s="1"/>
  <c r="E1941" i="8"/>
  <c r="C1942" i="8"/>
  <c r="D1942" i="8" s="1"/>
  <c r="E1942" i="8"/>
  <c r="C1943" i="8"/>
  <c r="D1943" i="8" s="1"/>
  <c r="E1943" i="8"/>
  <c r="C1944" i="8"/>
  <c r="D1944" i="8" s="1"/>
  <c r="E1944" i="8"/>
  <c r="C1945" i="8"/>
  <c r="D1945" i="8" s="1"/>
  <c r="E1945" i="8"/>
  <c r="C1946" i="8"/>
  <c r="D1946" i="8" s="1"/>
  <c r="E1946" i="8"/>
  <c r="C1947" i="8"/>
  <c r="D1947" i="8" s="1"/>
  <c r="E1947" i="8"/>
  <c r="C1948" i="8"/>
  <c r="D1948" i="8" s="1"/>
  <c r="E1948" i="8"/>
  <c r="C1949" i="8"/>
  <c r="D1949" i="8" s="1"/>
  <c r="E1949" i="8"/>
  <c r="C1950" i="8"/>
  <c r="D1950" i="8" s="1"/>
  <c r="E1950" i="8"/>
  <c r="C1951" i="8"/>
  <c r="D1951" i="8" s="1"/>
  <c r="E1951" i="8"/>
  <c r="C1952" i="8"/>
  <c r="D1952" i="8" s="1"/>
  <c r="E1952" i="8"/>
  <c r="C1953" i="8"/>
  <c r="D1953" i="8" s="1"/>
  <c r="E1953" i="8"/>
  <c r="C1954" i="8"/>
  <c r="D1954" i="8" s="1"/>
  <c r="E1954" i="8"/>
  <c r="C1955" i="8"/>
  <c r="D1955" i="8" s="1"/>
  <c r="E1955" i="8"/>
  <c r="C1956" i="8"/>
  <c r="D1956" i="8" s="1"/>
  <c r="E1956" i="8"/>
  <c r="C1957" i="8"/>
  <c r="D1957" i="8" s="1"/>
  <c r="E1957" i="8"/>
  <c r="C1958" i="8"/>
  <c r="D1958" i="8" s="1"/>
  <c r="E1958" i="8"/>
  <c r="C1959" i="8"/>
  <c r="D1959" i="8" s="1"/>
  <c r="E1959" i="8"/>
  <c r="C1960" i="8"/>
  <c r="D1960" i="8" s="1"/>
  <c r="E1960" i="8"/>
  <c r="C1961" i="8"/>
  <c r="D1961" i="8" s="1"/>
  <c r="E1961" i="8"/>
  <c r="C1962" i="8"/>
  <c r="D1962" i="8" s="1"/>
  <c r="E1962" i="8"/>
  <c r="C1963" i="8"/>
  <c r="D1963" i="8" s="1"/>
  <c r="E1963" i="8"/>
  <c r="C1964" i="8"/>
  <c r="D1964" i="8" s="1"/>
  <c r="E1964" i="8"/>
  <c r="C1965" i="8"/>
  <c r="D1965" i="8" s="1"/>
  <c r="E1965" i="8"/>
  <c r="C1966" i="8"/>
  <c r="D1966" i="8" s="1"/>
  <c r="E1966" i="8"/>
  <c r="C1967" i="8"/>
  <c r="D1967" i="8" s="1"/>
  <c r="E1967" i="8"/>
  <c r="C1968" i="8"/>
  <c r="D1968" i="8" s="1"/>
  <c r="E1968" i="8"/>
  <c r="C1969" i="8"/>
  <c r="D1969" i="8" s="1"/>
  <c r="E1969" i="8"/>
  <c r="C1970" i="8"/>
  <c r="D1970" i="8" s="1"/>
  <c r="E1970" i="8"/>
  <c r="C1971" i="8"/>
  <c r="D1971" i="8" s="1"/>
  <c r="E1971" i="8"/>
  <c r="C1972" i="8"/>
  <c r="D1972" i="8" s="1"/>
  <c r="E1972" i="8"/>
  <c r="C1973" i="8"/>
  <c r="D1973" i="8" s="1"/>
  <c r="E1973" i="8"/>
  <c r="C1974" i="8"/>
  <c r="D1974" i="8" s="1"/>
  <c r="E1974" i="8"/>
  <c r="C1975" i="8"/>
  <c r="D1975" i="8" s="1"/>
  <c r="E1975" i="8"/>
  <c r="C1976" i="8"/>
  <c r="D1976" i="8" s="1"/>
  <c r="E1976" i="8"/>
  <c r="C1977" i="8"/>
  <c r="D1977" i="8" s="1"/>
  <c r="E1977" i="8"/>
  <c r="C1978" i="8"/>
  <c r="D1978" i="8" s="1"/>
  <c r="E1978" i="8"/>
  <c r="C1979" i="8"/>
  <c r="D1979" i="8" s="1"/>
  <c r="E1979" i="8"/>
  <c r="C1980" i="8"/>
  <c r="D1980" i="8" s="1"/>
  <c r="E1980" i="8"/>
  <c r="C1981" i="8"/>
  <c r="D1981" i="8" s="1"/>
  <c r="E1981" i="8"/>
  <c r="C1982" i="8"/>
  <c r="D1982" i="8" s="1"/>
  <c r="E1982" i="8"/>
  <c r="C1983" i="8"/>
  <c r="D1983" i="8" s="1"/>
  <c r="E1983" i="8"/>
  <c r="C1984" i="8"/>
  <c r="D1984" i="8" s="1"/>
  <c r="E1984" i="8"/>
  <c r="C1985" i="8"/>
  <c r="D1985" i="8" s="1"/>
  <c r="E1985" i="8"/>
  <c r="C1986" i="8"/>
  <c r="D1986" i="8" s="1"/>
  <c r="E1986" i="8"/>
  <c r="C1987" i="8"/>
  <c r="D1987" i="8" s="1"/>
  <c r="E1987" i="8"/>
  <c r="C1988" i="8"/>
  <c r="D1988" i="8" s="1"/>
  <c r="E1988" i="8"/>
  <c r="C1989" i="8"/>
  <c r="D1989" i="8" s="1"/>
  <c r="E1989" i="8"/>
  <c r="C1990" i="8"/>
  <c r="D1990" i="8" s="1"/>
  <c r="E1990" i="8"/>
  <c r="C1991" i="8"/>
  <c r="D1991" i="8" s="1"/>
  <c r="E1991" i="8"/>
  <c r="C1992" i="8"/>
  <c r="D1992" i="8" s="1"/>
  <c r="E1992" i="8"/>
  <c r="C1993" i="8"/>
  <c r="D1993" i="8" s="1"/>
  <c r="E1993" i="8"/>
  <c r="C1994" i="8"/>
  <c r="D1994" i="8" s="1"/>
  <c r="E1994" i="8"/>
  <c r="C1995" i="8"/>
  <c r="D1995" i="8" s="1"/>
  <c r="E1995" i="8"/>
  <c r="C1996" i="8"/>
  <c r="D1996" i="8" s="1"/>
  <c r="E1996" i="8"/>
  <c r="C1997" i="8"/>
  <c r="D1997" i="8" s="1"/>
  <c r="E1997" i="8"/>
  <c r="C1998" i="8"/>
  <c r="D1998" i="8" s="1"/>
  <c r="E1998" i="8"/>
  <c r="C1999" i="8"/>
  <c r="D1999" i="8" s="1"/>
  <c r="E1999" i="8"/>
  <c r="C2000" i="8"/>
  <c r="D2000" i="8" s="1"/>
  <c r="E2000" i="8"/>
  <c r="C2001" i="8"/>
  <c r="D2001" i="8" s="1"/>
  <c r="E2001" i="8"/>
  <c r="C2002" i="8"/>
  <c r="D2002" i="8" s="1"/>
  <c r="E2002" i="8"/>
  <c r="C2003" i="8"/>
  <c r="D2003" i="8" s="1"/>
  <c r="E2003" i="8"/>
  <c r="C2004" i="8"/>
  <c r="D2004" i="8" s="1"/>
  <c r="E2004" i="8"/>
  <c r="C2005" i="8"/>
  <c r="D2005" i="8" s="1"/>
  <c r="E2005" i="8"/>
  <c r="C2006" i="8"/>
  <c r="D2006" i="8" s="1"/>
  <c r="E2006" i="8"/>
  <c r="C2007" i="8"/>
  <c r="D2007" i="8" s="1"/>
  <c r="E2007" i="8"/>
  <c r="C2008" i="8"/>
  <c r="D2008" i="8" s="1"/>
  <c r="E2008" i="8"/>
  <c r="C2009" i="8"/>
  <c r="D2009" i="8" s="1"/>
  <c r="E2009" i="8"/>
  <c r="C2010" i="8"/>
  <c r="D2010" i="8" s="1"/>
  <c r="E2010" i="8"/>
  <c r="C2011" i="8"/>
  <c r="D2011" i="8" s="1"/>
  <c r="E2011" i="8"/>
  <c r="C2012" i="8"/>
  <c r="D2012" i="8" s="1"/>
  <c r="E2012" i="8"/>
  <c r="C2013" i="8"/>
  <c r="D2013" i="8" s="1"/>
  <c r="E2013" i="8"/>
  <c r="C2014" i="8"/>
  <c r="D2014" i="8" s="1"/>
  <c r="E2014" i="8"/>
  <c r="C2015" i="8"/>
  <c r="D2015" i="8" s="1"/>
  <c r="E2015" i="8"/>
  <c r="C2016" i="8"/>
  <c r="D2016" i="8" s="1"/>
  <c r="E2016" i="8"/>
  <c r="C2017" i="8"/>
  <c r="D2017" i="8" s="1"/>
  <c r="E2017" i="8"/>
  <c r="C2018" i="8"/>
  <c r="D2018" i="8" s="1"/>
  <c r="E2018" i="8"/>
  <c r="C2019" i="8"/>
  <c r="D2019" i="8" s="1"/>
  <c r="E2019" i="8"/>
  <c r="C2020" i="8"/>
  <c r="D2020" i="8" s="1"/>
  <c r="E2020" i="8"/>
  <c r="C2021" i="8"/>
  <c r="D2021" i="8" s="1"/>
  <c r="E2021" i="8"/>
  <c r="C2022" i="8"/>
  <c r="D2022" i="8" s="1"/>
  <c r="E2022" i="8"/>
  <c r="C2023" i="8"/>
  <c r="D2023" i="8" s="1"/>
  <c r="E2023" i="8"/>
  <c r="C2024" i="8"/>
  <c r="D2024" i="8" s="1"/>
  <c r="E2024" i="8"/>
  <c r="C2025" i="8"/>
  <c r="D2025" i="8" s="1"/>
  <c r="E2025" i="8"/>
  <c r="C2026" i="8"/>
  <c r="D2026" i="8" s="1"/>
  <c r="E2026" i="8"/>
  <c r="C2027" i="8"/>
  <c r="D2027" i="8" s="1"/>
  <c r="E2027" i="8"/>
  <c r="C2028" i="8"/>
  <c r="D2028" i="8" s="1"/>
  <c r="E2028" i="8"/>
  <c r="C2029" i="8"/>
  <c r="D2029" i="8" s="1"/>
  <c r="E2029" i="8"/>
  <c r="C2030" i="8"/>
  <c r="D2030" i="8" s="1"/>
  <c r="E2030" i="8"/>
  <c r="C2031" i="8"/>
  <c r="D2031" i="8" s="1"/>
  <c r="E2031" i="8"/>
  <c r="C2032" i="8"/>
  <c r="D2032" i="8" s="1"/>
  <c r="E2032" i="8"/>
  <c r="C2033" i="8"/>
  <c r="D2033" i="8" s="1"/>
  <c r="E2033" i="8"/>
  <c r="C2034" i="8"/>
  <c r="D2034" i="8" s="1"/>
  <c r="E2034" i="8"/>
  <c r="C2035" i="8"/>
  <c r="D2035" i="8" s="1"/>
  <c r="E2035" i="8"/>
  <c r="C2036" i="8"/>
  <c r="D2036" i="8" s="1"/>
  <c r="E2036" i="8"/>
  <c r="C2037" i="8"/>
  <c r="D2037" i="8" s="1"/>
  <c r="E2037" i="8"/>
  <c r="C2038" i="8"/>
  <c r="D2038" i="8" s="1"/>
  <c r="E2038" i="8"/>
  <c r="C2039" i="8"/>
  <c r="D2039" i="8" s="1"/>
  <c r="E2039" i="8"/>
  <c r="C2040" i="8"/>
  <c r="D2040" i="8" s="1"/>
  <c r="E2040" i="8"/>
  <c r="C2041" i="8"/>
  <c r="D2041" i="8" s="1"/>
  <c r="E2041" i="8"/>
  <c r="C2042" i="8"/>
  <c r="D2042" i="8" s="1"/>
  <c r="E2042" i="8"/>
  <c r="C2043" i="8"/>
  <c r="D2043" i="8" s="1"/>
  <c r="E2043" i="8"/>
  <c r="C2044" i="8"/>
  <c r="D2044" i="8" s="1"/>
  <c r="E2044" i="8"/>
  <c r="C2045" i="8"/>
  <c r="D2045" i="8" s="1"/>
  <c r="E2045" i="8"/>
  <c r="C2046" i="8"/>
  <c r="D2046" i="8" s="1"/>
  <c r="E2046" i="8"/>
  <c r="C2047" i="8"/>
  <c r="D2047" i="8" s="1"/>
  <c r="E2047" i="8"/>
  <c r="C2048" i="8"/>
  <c r="D2048" i="8" s="1"/>
  <c r="E2048" i="8"/>
  <c r="C2049" i="8"/>
  <c r="D2049" i="8" s="1"/>
  <c r="E2049" i="8"/>
  <c r="C2050" i="8"/>
  <c r="D2050" i="8" s="1"/>
  <c r="E2050" i="8"/>
  <c r="C2051" i="8"/>
  <c r="D2051" i="8" s="1"/>
  <c r="E2051" i="8"/>
  <c r="C2052" i="8"/>
  <c r="D2052" i="8" s="1"/>
  <c r="E2052" i="8"/>
  <c r="C2053" i="8"/>
  <c r="D2053" i="8" s="1"/>
  <c r="E2053" i="8"/>
  <c r="C2054" i="8"/>
  <c r="D2054" i="8" s="1"/>
  <c r="E2054" i="8"/>
  <c r="C2055" i="8"/>
  <c r="D2055" i="8" s="1"/>
  <c r="E2055" i="8"/>
  <c r="C2056" i="8"/>
  <c r="D2056" i="8" s="1"/>
  <c r="E2056" i="8"/>
  <c r="C2057" i="8"/>
  <c r="D2057" i="8" s="1"/>
  <c r="E2057" i="8"/>
  <c r="C2058" i="8"/>
  <c r="D2058" i="8" s="1"/>
  <c r="E2058" i="8"/>
  <c r="C2059" i="8"/>
  <c r="D2059" i="8" s="1"/>
  <c r="E2059" i="8"/>
  <c r="C2060" i="8"/>
  <c r="D2060" i="8" s="1"/>
  <c r="E2060" i="8"/>
  <c r="C2061" i="8"/>
  <c r="D2061" i="8" s="1"/>
  <c r="E2061" i="8"/>
  <c r="C2062" i="8"/>
  <c r="D2062" i="8" s="1"/>
  <c r="E2062" i="8"/>
  <c r="C2063" i="8"/>
  <c r="D2063" i="8" s="1"/>
  <c r="E2063" i="8"/>
  <c r="C2064" i="8"/>
  <c r="D2064" i="8" s="1"/>
  <c r="E2064" i="8"/>
  <c r="C2065" i="8"/>
  <c r="D2065" i="8" s="1"/>
  <c r="E2065" i="8"/>
  <c r="C2066" i="8"/>
  <c r="D2066" i="8" s="1"/>
  <c r="E2066" i="8"/>
  <c r="C2067" i="8"/>
  <c r="D2067" i="8" s="1"/>
  <c r="E2067" i="8"/>
  <c r="C2068" i="8"/>
  <c r="D2068" i="8" s="1"/>
  <c r="E2068" i="8"/>
  <c r="C2069" i="8"/>
  <c r="D2069" i="8" s="1"/>
  <c r="E2069" i="8"/>
  <c r="C2070" i="8"/>
  <c r="D2070" i="8" s="1"/>
  <c r="E2070" i="8"/>
  <c r="C2071" i="8"/>
  <c r="D2071" i="8" s="1"/>
  <c r="E2071" i="8"/>
  <c r="C2072" i="8"/>
  <c r="D2072" i="8" s="1"/>
  <c r="E2072" i="8"/>
  <c r="C2073" i="8"/>
  <c r="D2073" i="8" s="1"/>
  <c r="E2073" i="8"/>
  <c r="C2074" i="8"/>
  <c r="D2074" i="8" s="1"/>
  <c r="E2074" i="8"/>
  <c r="C2075" i="8"/>
  <c r="D2075" i="8" s="1"/>
  <c r="E2075" i="8"/>
  <c r="C2076" i="8"/>
  <c r="D2076" i="8" s="1"/>
  <c r="E2076" i="8"/>
  <c r="C2077" i="8"/>
  <c r="D2077" i="8" s="1"/>
  <c r="E2077" i="8"/>
  <c r="C2078" i="8"/>
  <c r="D2078" i="8" s="1"/>
  <c r="E2078" i="8"/>
  <c r="C2079" i="8"/>
  <c r="D2079" i="8" s="1"/>
  <c r="E2079" i="8"/>
  <c r="C2080" i="8"/>
  <c r="D2080" i="8" s="1"/>
  <c r="E2080" i="8"/>
  <c r="C2081" i="8"/>
  <c r="D2081" i="8" s="1"/>
  <c r="E2081" i="8"/>
  <c r="C2082" i="8"/>
  <c r="D2082" i="8" s="1"/>
  <c r="E2082" i="8"/>
  <c r="C2083" i="8"/>
  <c r="D2083" i="8" s="1"/>
  <c r="E2083" i="8"/>
  <c r="C2084" i="8"/>
  <c r="D2084" i="8" s="1"/>
  <c r="E2084" i="8"/>
  <c r="C2085" i="8"/>
  <c r="D2085" i="8" s="1"/>
  <c r="E2085" i="8"/>
  <c r="C2086" i="8"/>
  <c r="D2086" i="8" s="1"/>
  <c r="E2086" i="8"/>
  <c r="C2087" i="8"/>
  <c r="D2087" i="8" s="1"/>
  <c r="E2087" i="8"/>
  <c r="C2088" i="8"/>
  <c r="D2088" i="8" s="1"/>
  <c r="E2088" i="8"/>
  <c r="C2089" i="8"/>
  <c r="D2089" i="8" s="1"/>
  <c r="E2089" i="8"/>
  <c r="C2090" i="8"/>
  <c r="D2090" i="8" s="1"/>
  <c r="E2090" i="8"/>
  <c r="C2091" i="8"/>
  <c r="D2091" i="8" s="1"/>
  <c r="E2091" i="8"/>
  <c r="C2092" i="8"/>
  <c r="D2092" i="8" s="1"/>
  <c r="E2092" i="8"/>
  <c r="C2093" i="8"/>
  <c r="D2093" i="8" s="1"/>
  <c r="E2093" i="8"/>
  <c r="C2094" i="8"/>
  <c r="D2094" i="8" s="1"/>
  <c r="E2094" i="8"/>
  <c r="C2095" i="8"/>
  <c r="D2095" i="8" s="1"/>
  <c r="E2095" i="8"/>
  <c r="C2096" i="8"/>
  <c r="D2096" i="8" s="1"/>
  <c r="E2096" i="8"/>
  <c r="C2097" i="8"/>
  <c r="D2097" i="8" s="1"/>
  <c r="E2097" i="8"/>
  <c r="C2098" i="8"/>
  <c r="D2098" i="8" s="1"/>
  <c r="E2098" i="8"/>
  <c r="C2099" i="8"/>
  <c r="D2099" i="8" s="1"/>
  <c r="E2099" i="8"/>
  <c r="C2100" i="8"/>
  <c r="D2100" i="8" s="1"/>
  <c r="E2100" i="8"/>
  <c r="C2101" i="8"/>
  <c r="D2101" i="8" s="1"/>
  <c r="E2101" i="8"/>
  <c r="C2102" i="8"/>
  <c r="D2102" i="8" s="1"/>
  <c r="E2102" i="8"/>
  <c r="C2103" i="8"/>
  <c r="D2103" i="8" s="1"/>
  <c r="E2103" i="8"/>
  <c r="C2104" i="8"/>
  <c r="D2104" i="8" s="1"/>
  <c r="E2104" i="8"/>
  <c r="C2105" i="8"/>
  <c r="D2105" i="8" s="1"/>
  <c r="E2105" i="8"/>
  <c r="C2106" i="8"/>
  <c r="D2106" i="8" s="1"/>
  <c r="E2106" i="8"/>
  <c r="C2107" i="8"/>
  <c r="D2107" i="8" s="1"/>
  <c r="E2107" i="8"/>
  <c r="C2108" i="8"/>
  <c r="D2108" i="8" s="1"/>
  <c r="E2108" i="8"/>
  <c r="C2109" i="8"/>
  <c r="D2109" i="8" s="1"/>
  <c r="E2109" i="8"/>
  <c r="C2110" i="8"/>
  <c r="D2110" i="8" s="1"/>
  <c r="E2110" i="8"/>
  <c r="C2111" i="8"/>
  <c r="D2111" i="8" s="1"/>
  <c r="E2111" i="8"/>
  <c r="C2112" i="8"/>
  <c r="D2112" i="8" s="1"/>
  <c r="E2112" i="8"/>
  <c r="C2113" i="8"/>
  <c r="D2113" i="8" s="1"/>
  <c r="E2113" i="8"/>
  <c r="C2114" i="8"/>
  <c r="D2114" i="8" s="1"/>
  <c r="E2114" i="8"/>
  <c r="C2115" i="8"/>
  <c r="D2115" i="8" s="1"/>
  <c r="E2115" i="8"/>
  <c r="C2116" i="8"/>
  <c r="D2116" i="8" s="1"/>
  <c r="E2116" i="8"/>
  <c r="E16" i="8"/>
  <c r="C16" i="8"/>
  <c r="D16" i="8" s="1"/>
  <c r="C9" i="7"/>
  <c r="J13" i="6"/>
  <c r="C33" i="6"/>
  <c r="F28" i="6"/>
  <c r="G28" i="6"/>
  <c r="C32" i="6"/>
  <c r="F32" i="6" s="1"/>
  <c r="E28" i="6"/>
  <c r="G27" i="6"/>
  <c r="F27" i="6"/>
  <c r="E27" i="6"/>
  <c r="G23" i="6"/>
  <c r="G21" i="6"/>
  <c r="H12" i="7" l="1"/>
  <c r="H24" i="7" s="1"/>
  <c r="G13" i="7"/>
  <c r="G17" i="7" s="1"/>
  <c r="G26" i="7" s="1"/>
  <c r="G12" i="7"/>
  <c r="G24" i="7" s="1"/>
  <c r="F13" i="7"/>
  <c r="F17" i="7" s="1"/>
  <c r="F26" i="7" s="1"/>
  <c r="F12" i="7"/>
  <c r="F24" i="7" s="1"/>
  <c r="E13" i="7"/>
  <c r="E17" i="7" s="1"/>
  <c r="E26" i="7" s="1"/>
  <c r="E12" i="7"/>
  <c r="E24" i="7" s="1"/>
  <c r="D13" i="7"/>
  <c r="D17" i="7" s="1"/>
  <c r="D26" i="7" s="1"/>
  <c r="D12" i="7"/>
  <c r="D24" i="7" s="1"/>
  <c r="C13" i="7"/>
  <c r="C17" i="7" s="1"/>
  <c r="C26" i="7" s="1"/>
  <c r="C12" i="7"/>
  <c r="C24" i="7" s="1"/>
  <c r="G23" i="7"/>
  <c r="F23" i="7"/>
  <c r="E23" i="7"/>
  <c r="D23" i="7"/>
  <c r="H9" i="7"/>
  <c r="H22" i="7"/>
  <c r="H17" i="7"/>
  <c r="H31" i="9"/>
  <c r="H32" i="9" s="1"/>
  <c r="Q16" i="9"/>
  <c r="P11" i="9"/>
  <c r="G11" i="9"/>
  <c r="G12" i="9" s="1"/>
  <c r="P16" i="9"/>
  <c r="R16" i="9"/>
  <c r="P15" i="9"/>
  <c r="T15" i="9" s="1"/>
  <c r="G33" i="9"/>
  <c r="H21" i="9"/>
  <c r="I21" i="9" s="1"/>
  <c r="P14" i="9"/>
  <c r="T14" i="9" s="1"/>
  <c r="G27" i="9"/>
  <c r="G28" i="9" s="1"/>
  <c r="H26" i="9"/>
  <c r="I22" i="9"/>
  <c r="H22" i="9"/>
  <c r="G23" i="9"/>
  <c r="G24" i="9" s="1"/>
  <c r="H18" i="9"/>
  <c r="Q13" i="9" s="1"/>
  <c r="U13" i="9" s="1"/>
  <c r="H17" i="9"/>
  <c r="G19" i="9"/>
  <c r="G20" i="9" s="1"/>
  <c r="H14" i="9"/>
  <c r="Q12" i="9" s="1"/>
  <c r="U12" i="9" s="1"/>
  <c r="H13" i="9"/>
  <c r="G15" i="9"/>
  <c r="G16" i="9" s="1"/>
  <c r="H10" i="9"/>
  <c r="H9" i="9"/>
  <c r="I29" i="1"/>
  <c r="F1536" i="8"/>
  <c r="G1536" i="8" s="1"/>
  <c r="H1536" i="8" s="1"/>
  <c r="F1530" i="8"/>
  <c r="G1530" i="8" s="1"/>
  <c r="H1530" i="8" s="1"/>
  <c r="F1524" i="8"/>
  <c r="G1524" i="8" s="1"/>
  <c r="H1524" i="8" s="1"/>
  <c r="F1483" i="8"/>
  <c r="G1483" i="8" s="1"/>
  <c r="H1483" i="8" s="1"/>
  <c r="F170" i="8"/>
  <c r="G170" i="8" s="1"/>
  <c r="H170" i="8" s="1"/>
  <c r="F1583" i="8"/>
  <c r="G1583" i="8" s="1"/>
  <c r="H1583" i="8" s="1"/>
  <c r="F1942" i="8"/>
  <c r="G1942" i="8" s="1"/>
  <c r="H1942" i="8" s="1"/>
  <c r="F205" i="8"/>
  <c r="G205" i="8" s="1"/>
  <c r="H205" i="8" s="1"/>
  <c r="F480" i="8"/>
  <c r="G480" i="8" s="1"/>
  <c r="H480" i="8" s="1"/>
  <c r="F1127" i="8"/>
  <c r="G1127" i="8" s="1"/>
  <c r="H1127" i="8" s="1"/>
  <c r="F1055" i="8"/>
  <c r="G1055" i="8" s="1"/>
  <c r="H1055" i="8" s="1"/>
  <c r="F2064" i="8"/>
  <c r="G2064" i="8" s="1"/>
  <c r="H2064" i="8" s="1"/>
  <c r="F309" i="8"/>
  <c r="G309" i="8" s="1"/>
  <c r="H309" i="8" s="1"/>
  <c r="F424" i="8"/>
  <c r="G424" i="8" s="1"/>
  <c r="H424" i="8" s="1"/>
  <c r="F1197" i="8"/>
  <c r="G1197" i="8" s="1"/>
  <c r="H1197" i="8" s="1"/>
  <c r="F1041" i="8"/>
  <c r="G1041" i="8" s="1"/>
  <c r="H1041" i="8" s="1"/>
  <c r="F1456" i="8"/>
  <c r="G1456" i="8" s="1"/>
  <c r="H1456" i="8" s="1"/>
  <c r="F240" i="8"/>
  <c r="G240" i="8" s="1"/>
  <c r="H240" i="8" s="1"/>
  <c r="F1722" i="8"/>
  <c r="G1722" i="8" s="1"/>
  <c r="H1722" i="8" s="1"/>
  <c r="F1736" i="8"/>
  <c r="G1736" i="8" s="1"/>
  <c r="H1736" i="8" s="1"/>
  <c r="F919" i="8"/>
  <c r="G919" i="8" s="1"/>
  <c r="H919" i="8" s="1"/>
  <c r="F727" i="8"/>
  <c r="G727" i="8" s="1"/>
  <c r="H727" i="8" s="1"/>
  <c r="F972" i="8"/>
  <c r="G972" i="8" s="1"/>
  <c r="H972" i="8" s="1"/>
  <c r="F954" i="8"/>
  <c r="G954" i="8" s="1"/>
  <c r="H954" i="8" s="1"/>
  <c r="F750" i="8"/>
  <c r="G750" i="8" s="1"/>
  <c r="H750" i="8" s="1"/>
  <c r="F744" i="8"/>
  <c r="G744" i="8" s="1"/>
  <c r="H744" i="8" s="1"/>
  <c r="F392" i="8"/>
  <c r="G392" i="8" s="1"/>
  <c r="H392" i="8" s="1"/>
  <c r="F356" i="8"/>
  <c r="G356" i="8" s="1"/>
  <c r="H356" i="8" s="1"/>
  <c r="F64" i="8"/>
  <c r="G64" i="8" s="1"/>
  <c r="H64" i="8" s="1"/>
  <c r="F1658" i="8"/>
  <c r="G1658" i="8" s="1"/>
  <c r="H1658" i="8" s="1"/>
  <c r="F1569" i="8"/>
  <c r="G1569" i="8" s="1"/>
  <c r="H1569" i="8" s="1"/>
  <c r="F1557" i="8"/>
  <c r="G1557" i="8" s="1"/>
  <c r="H1557" i="8" s="1"/>
  <c r="F1362" i="8"/>
  <c r="G1362" i="8" s="1"/>
  <c r="H1362" i="8" s="1"/>
  <c r="F1190" i="8"/>
  <c r="G1190" i="8" s="1"/>
  <c r="H1190" i="8" s="1"/>
  <c r="F1161" i="8"/>
  <c r="G1161" i="8" s="1"/>
  <c r="H1161" i="8" s="1"/>
  <c r="F1137" i="8"/>
  <c r="G1137" i="8" s="1"/>
  <c r="H1137" i="8" s="1"/>
  <c r="F1125" i="8"/>
  <c r="G1125" i="8" s="1"/>
  <c r="H1125" i="8" s="1"/>
  <c r="F917" i="8"/>
  <c r="G917" i="8" s="1"/>
  <c r="H917" i="8" s="1"/>
  <c r="F37" i="8"/>
  <c r="G37" i="8" s="1"/>
  <c r="H37" i="8" s="1"/>
  <c r="F25" i="8"/>
  <c r="G25" i="8" s="1"/>
  <c r="H25" i="8" s="1"/>
  <c r="F1514" i="8"/>
  <c r="G1514" i="8" s="1"/>
  <c r="H1514" i="8" s="1"/>
  <c r="F1479" i="8"/>
  <c r="G1479" i="8" s="1"/>
  <c r="H1479" i="8" s="1"/>
  <c r="F1047" i="8"/>
  <c r="G1047" i="8" s="1"/>
  <c r="H1047" i="8" s="1"/>
  <c r="F982" i="8"/>
  <c r="G982" i="8" s="1"/>
  <c r="H982" i="8" s="1"/>
  <c r="F946" i="8"/>
  <c r="G946" i="8" s="1"/>
  <c r="H946" i="8" s="1"/>
  <c r="F934" i="8"/>
  <c r="G934" i="8" s="1"/>
  <c r="H934" i="8" s="1"/>
  <c r="F928" i="8"/>
  <c r="G928" i="8" s="1"/>
  <c r="H928" i="8" s="1"/>
  <c r="F470" i="8"/>
  <c r="G470" i="8" s="1"/>
  <c r="H470" i="8" s="1"/>
  <c r="F416" i="8"/>
  <c r="G416" i="8" s="1"/>
  <c r="H416" i="8" s="1"/>
  <c r="F594" i="8"/>
  <c r="G594" i="8" s="1"/>
  <c r="H594" i="8" s="1"/>
  <c r="F1549" i="8"/>
  <c r="G1549" i="8" s="1"/>
  <c r="H1549" i="8" s="1"/>
  <c r="F1543" i="8"/>
  <c r="G1543" i="8" s="1"/>
  <c r="H1543" i="8" s="1"/>
  <c r="F1478" i="8"/>
  <c r="G1478" i="8" s="1"/>
  <c r="H1478" i="8" s="1"/>
  <c r="F1194" i="8"/>
  <c r="G1194" i="8" s="1"/>
  <c r="H1194" i="8" s="1"/>
  <c r="F1171" i="8"/>
  <c r="G1171" i="8" s="1"/>
  <c r="H1171" i="8" s="1"/>
  <c r="F1141" i="8"/>
  <c r="G1141" i="8" s="1"/>
  <c r="H1141" i="8" s="1"/>
  <c r="F975" i="8"/>
  <c r="G975" i="8" s="1"/>
  <c r="H975" i="8" s="1"/>
  <c r="F475" i="8"/>
  <c r="G475" i="8" s="1"/>
  <c r="H475" i="8" s="1"/>
  <c r="F463" i="8"/>
  <c r="G463" i="8" s="1"/>
  <c r="H463" i="8" s="1"/>
  <c r="F445" i="8"/>
  <c r="G445" i="8" s="1"/>
  <c r="H445" i="8" s="1"/>
  <c r="F439" i="8"/>
  <c r="G439" i="8" s="1"/>
  <c r="H439" i="8" s="1"/>
  <c r="F1991" i="8"/>
  <c r="G1991" i="8" s="1"/>
  <c r="H1991" i="8" s="1"/>
  <c r="F1938" i="8"/>
  <c r="G1938" i="8" s="1"/>
  <c r="H1938" i="8" s="1"/>
  <c r="F1276" i="8"/>
  <c r="G1276" i="8" s="1"/>
  <c r="H1276" i="8" s="1"/>
  <c r="F1270" i="8"/>
  <c r="G1270" i="8" s="1"/>
  <c r="H1270" i="8" s="1"/>
  <c r="F1996" i="8"/>
  <c r="G1996" i="8" s="1"/>
  <c r="H1996" i="8" s="1"/>
  <c r="F1801" i="8"/>
  <c r="G1801" i="8" s="1"/>
  <c r="H1801" i="8" s="1"/>
  <c r="F1672" i="8"/>
  <c r="G1672" i="8" s="1"/>
  <c r="H1672" i="8" s="1"/>
  <c r="F1021" i="8"/>
  <c r="G1021" i="8" s="1"/>
  <c r="H1021" i="8" s="1"/>
  <c r="F366" i="8"/>
  <c r="G366" i="8" s="1"/>
  <c r="H366" i="8" s="1"/>
  <c r="F1871" i="8"/>
  <c r="G1871" i="8" s="1"/>
  <c r="H1871" i="8" s="1"/>
  <c r="F1266" i="8"/>
  <c r="G1266" i="8" s="1"/>
  <c r="H1266" i="8" s="1"/>
  <c r="F419" i="8"/>
  <c r="G419" i="8" s="1"/>
  <c r="H419" i="8" s="1"/>
  <c r="F1768" i="8"/>
  <c r="G1768" i="8" s="1"/>
  <c r="H1768" i="8" s="1"/>
  <c r="F1492" i="8"/>
  <c r="G1492" i="8" s="1"/>
  <c r="H1492" i="8" s="1"/>
  <c r="F276" i="8"/>
  <c r="G276" i="8" s="1"/>
  <c r="H276" i="8" s="1"/>
  <c r="F1897" i="8"/>
  <c r="G1897" i="8" s="1"/>
  <c r="H1897" i="8" s="1"/>
  <c r="F1798" i="8"/>
  <c r="G1798" i="8" s="1"/>
  <c r="H1798" i="8" s="1"/>
  <c r="F1689" i="8"/>
  <c r="G1689" i="8" s="1"/>
  <c r="H1689" i="8" s="1"/>
  <c r="F1305" i="8"/>
  <c r="G1305" i="8" s="1"/>
  <c r="H1305" i="8" s="1"/>
  <c r="F635" i="8"/>
  <c r="G635" i="8" s="1"/>
  <c r="H635" i="8" s="1"/>
  <c r="F623" i="8"/>
  <c r="G623" i="8" s="1"/>
  <c r="H623" i="8" s="1"/>
  <c r="F1446" i="8"/>
  <c r="G1446" i="8" s="1"/>
  <c r="H1446" i="8" s="1"/>
  <c r="F1423" i="8"/>
  <c r="G1423" i="8" s="1"/>
  <c r="H1423" i="8" s="1"/>
  <c r="F565" i="8"/>
  <c r="G565" i="8" s="1"/>
  <c r="H565" i="8" s="1"/>
  <c r="F144" i="8"/>
  <c r="G144" i="8" s="1"/>
  <c r="H144" i="8" s="1"/>
  <c r="F1860" i="8"/>
  <c r="G1860" i="8" s="1"/>
  <c r="H1860" i="8" s="1"/>
  <c r="F1440" i="8"/>
  <c r="G1440" i="8" s="1"/>
  <c r="H1440" i="8" s="1"/>
  <c r="F1142" i="8"/>
  <c r="G1142" i="8" s="1"/>
  <c r="H1142" i="8" s="1"/>
  <c r="F513" i="8"/>
  <c r="G513" i="8" s="1"/>
  <c r="H513" i="8" s="1"/>
  <c r="F502" i="8"/>
  <c r="G502" i="8" s="1"/>
  <c r="H502" i="8" s="1"/>
  <c r="F377" i="8"/>
  <c r="G377" i="8" s="1"/>
  <c r="H377" i="8" s="1"/>
  <c r="F353" i="8"/>
  <c r="G353" i="8" s="1"/>
  <c r="H353" i="8" s="1"/>
  <c r="F188" i="8"/>
  <c r="G188" i="8" s="1"/>
  <c r="H188" i="8" s="1"/>
  <c r="F32" i="8"/>
  <c r="G32" i="8" s="1"/>
  <c r="H32" i="8" s="1"/>
  <c r="F1048" i="8"/>
  <c r="G1048" i="8" s="1"/>
  <c r="H1048" i="8" s="1"/>
  <c r="F1461" i="8"/>
  <c r="G1461" i="8" s="1"/>
  <c r="H1461" i="8" s="1"/>
  <c r="F1036" i="8"/>
  <c r="G1036" i="8" s="1"/>
  <c r="H1036" i="8" s="1"/>
  <c r="F30" i="8"/>
  <c r="G30" i="8" s="1"/>
  <c r="H30" i="8" s="1"/>
  <c r="F1600" i="8"/>
  <c r="G1600" i="8" s="1"/>
  <c r="H1600" i="8" s="1"/>
  <c r="F2068" i="8"/>
  <c r="G2068" i="8" s="1"/>
  <c r="H2068" i="8" s="1"/>
  <c r="F1770" i="8"/>
  <c r="G1770" i="8" s="1"/>
  <c r="H1770" i="8" s="1"/>
  <c r="F1680" i="8"/>
  <c r="G1680" i="8" s="1"/>
  <c r="H1680" i="8" s="1"/>
  <c r="F1488" i="8"/>
  <c r="G1488" i="8" s="1"/>
  <c r="H1488" i="8" s="1"/>
  <c r="F1395" i="8"/>
  <c r="G1395" i="8" s="1"/>
  <c r="H1395" i="8" s="1"/>
  <c r="F1226" i="8"/>
  <c r="G1226" i="8" s="1"/>
  <c r="H1226" i="8" s="1"/>
  <c r="F1085" i="8"/>
  <c r="G1085" i="8" s="1"/>
  <c r="H1085" i="8" s="1"/>
  <c r="F790" i="8"/>
  <c r="G790" i="8" s="1"/>
  <c r="H790" i="8" s="1"/>
  <c r="F486" i="8"/>
  <c r="G486" i="8" s="1"/>
  <c r="H486" i="8" s="1"/>
  <c r="F355" i="8"/>
  <c r="G355" i="8" s="1"/>
  <c r="H355" i="8" s="1"/>
  <c r="F1753" i="8"/>
  <c r="G1753" i="8" s="1"/>
  <c r="H1753" i="8" s="1"/>
  <c r="F1289" i="8"/>
  <c r="G1289" i="8" s="1"/>
  <c r="H1289" i="8" s="1"/>
  <c r="F1214" i="8"/>
  <c r="G1214" i="8" s="1"/>
  <c r="H1214" i="8" s="1"/>
  <c r="F1079" i="8"/>
  <c r="G1079" i="8" s="1"/>
  <c r="H1079" i="8" s="1"/>
  <c r="F968" i="8"/>
  <c r="G968" i="8" s="1"/>
  <c r="H968" i="8" s="1"/>
  <c r="F932" i="8"/>
  <c r="G932" i="8" s="1"/>
  <c r="H932" i="8" s="1"/>
  <c r="F474" i="8"/>
  <c r="G474" i="8" s="1"/>
  <c r="H474" i="8" s="1"/>
  <c r="F438" i="8"/>
  <c r="G438" i="8" s="1"/>
  <c r="H438" i="8" s="1"/>
  <c r="F1846" i="8"/>
  <c r="G1846" i="8" s="1"/>
  <c r="H1846" i="8" s="1"/>
  <c r="F2102" i="8"/>
  <c r="G2102" i="8" s="1"/>
  <c r="H2102" i="8" s="1"/>
  <c r="F1978" i="8"/>
  <c r="G1978" i="8" s="1"/>
  <c r="H1978" i="8" s="1"/>
  <c r="F1610" i="8"/>
  <c r="G1610" i="8" s="1"/>
  <c r="H1610" i="8" s="1"/>
  <c r="F1334" i="8"/>
  <c r="G1334" i="8" s="1"/>
  <c r="H1334" i="8" s="1"/>
  <c r="F409" i="8"/>
  <c r="G409" i="8" s="1"/>
  <c r="H409" i="8" s="1"/>
  <c r="F1711" i="8"/>
  <c r="G1711" i="8" s="1"/>
  <c r="H1711" i="8" s="1"/>
  <c r="F1694" i="8"/>
  <c r="G1694" i="8" s="1"/>
  <c r="H1694" i="8" s="1"/>
  <c r="F1445" i="8"/>
  <c r="G1445" i="8" s="1"/>
  <c r="H1445" i="8" s="1"/>
  <c r="F1434" i="8"/>
  <c r="G1434" i="8" s="1"/>
  <c r="H1434" i="8" s="1"/>
  <c r="F1422" i="8"/>
  <c r="G1422" i="8" s="1"/>
  <c r="H1422" i="8" s="1"/>
  <c r="F1351" i="8"/>
  <c r="G1351" i="8" s="1"/>
  <c r="H1351" i="8" s="1"/>
  <c r="F1322" i="8"/>
  <c r="G1322" i="8" s="1"/>
  <c r="H1322" i="8" s="1"/>
  <c r="F1299" i="8"/>
  <c r="G1299" i="8" s="1"/>
  <c r="H1299" i="8" s="1"/>
  <c r="F1207" i="8"/>
  <c r="G1207" i="8" s="1"/>
  <c r="H1207" i="8" s="1"/>
  <c r="F987" i="8"/>
  <c r="G987" i="8" s="1"/>
  <c r="H987" i="8" s="1"/>
  <c r="F710" i="8"/>
  <c r="G710" i="8" s="1"/>
  <c r="H710" i="8" s="1"/>
  <c r="F408" i="8"/>
  <c r="G408" i="8" s="1"/>
  <c r="H408" i="8" s="1"/>
  <c r="F215" i="8"/>
  <c r="G215" i="8" s="1"/>
  <c r="H215" i="8" s="1"/>
  <c r="F114" i="8"/>
  <c r="G114" i="8" s="1"/>
  <c r="H114" i="8" s="1"/>
  <c r="F1497" i="8"/>
  <c r="G1497" i="8" s="1"/>
  <c r="H1497" i="8" s="1"/>
  <c r="F2096" i="8"/>
  <c r="G2096" i="8" s="1"/>
  <c r="H2096" i="8" s="1"/>
  <c r="F1932" i="8"/>
  <c r="G1932" i="8" s="1"/>
  <c r="H1932" i="8" s="1"/>
  <c r="F1212" i="8"/>
  <c r="G1212" i="8" s="1"/>
  <c r="H1212" i="8" s="1"/>
  <c r="F851" i="8"/>
  <c r="G851" i="8" s="1"/>
  <c r="H851" i="8" s="1"/>
  <c r="F454" i="8"/>
  <c r="G454" i="8" s="1"/>
  <c r="H454" i="8" s="1"/>
  <c r="F96" i="8"/>
  <c r="G96" i="8" s="1"/>
  <c r="H96" i="8" s="1"/>
  <c r="F18" i="8"/>
  <c r="G18" i="8" s="1"/>
  <c r="H18" i="8" s="1"/>
  <c r="F2100" i="8"/>
  <c r="G2100" i="8" s="1"/>
  <c r="H2100" i="8" s="1"/>
  <c r="F1926" i="8"/>
  <c r="G1926" i="8" s="1"/>
  <c r="H1926" i="8" s="1"/>
  <c r="F1832" i="8"/>
  <c r="G1832" i="8" s="1"/>
  <c r="H1832" i="8" s="1"/>
  <c r="F1744" i="8"/>
  <c r="G1744" i="8" s="1"/>
  <c r="H1744" i="8" s="1"/>
  <c r="F1520" i="8"/>
  <c r="G1520" i="8" s="1"/>
  <c r="H1520" i="8" s="1"/>
  <c r="F1397" i="8"/>
  <c r="G1397" i="8" s="1"/>
  <c r="H1397" i="8" s="1"/>
  <c r="F985" i="8"/>
  <c r="G985" i="8" s="1"/>
  <c r="H985" i="8" s="1"/>
  <c r="F112" i="8"/>
  <c r="G112" i="8" s="1"/>
  <c r="H112" i="8" s="1"/>
  <c r="F2060" i="8"/>
  <c r="G2060" i="8" s="1"/>
  <c r="H2060" i="8" s="1"/>
  <c r="F1992" i="8"/>
  <c r="G1992" i="8" s="1"/>
  <c r="H1992" i="8" s="1"/>
  <c r="F1969" i="8"/>
  <c r="G1969" i="8" s="1"/>
  <c r="H1969" i="8" s="1"/>
  <c r="F1826" i="8"/>
  <c r="G1826" i="8" s="1"/>
  <c r="H1826" i="8" s="1"/>
  <c r="F1596" i="8"/>
  <c r="G1596" i="8" s="1"/>
  <c r="H1596" i="8" s="1"/>
  <c r="F1590" i="8"/>
  <c r="G1590" i="8" s="1"/>
  <c r="H1590" i="8" s="1"/>
  <c r="F1566" i="8"/>
  <c r="G1566" i="8" s="1"/>
  <c r="H1566" i="8" s="1"/>
  <c r="F1560" i="8"/>
  <c r="G1560" i="8" s="1"/>
  <c r="H1560" i="8" s="1"/>
  <c r="F1554" i="8"/>
  <c r="G1554" i="8" s="1"/>
  <c r="H1554" i="8" s="1"/>
  <c r="F1508" i="8"/>
  <c r="G1508" i="8" s="1"/>
  <c r="H1508" i="8" s="1"/>
  <c r="F1019" i="8"/>
  <c r="G1019" i="8" s="1"/>
  <c r="H1019" i="8" s="1"/>
  <c r="F1002" i="8"/>
  <c r="G1002" i="8" s="1"/>
  <c r="H1002" i="8" s="1"/>
  <c r="F370" i="8"/>
  <c r="G370" i="8" s="1"/>
  <c r="H370" i="8" s="1"/>
  <c r="F1541" i="8"/>
  <c r="G1541" i="8" s="1"/>
  <c r="H1541" i="8" s="1"/>
  <c r="F1518" i="8"/>
  <c r="G1518" i="8" s="1"/>
  <c r="H1518" i="8" s="1"/>
  <c r="F316" i="8"/>
  <c r="G316" i="8" s="1"/>
  <c r="H316" i="8" s="1"/>
  <c r="F219" i="8"/>
  <c r="G219" i="8" s="1"/>
  <c r="H219" i="8" s="1"/>
  <c r="F175" i="8"/>
  <c r="G175" i="8" s="1"/>
  <c r="H175" i="8" s="1"/>
  <c r="F1872" i="8"/>
  <c r="G1872" i="8" s="1"/>
  <c r="H1872" i="8" s="1"/>
  <c r="F2006" i="8"/>
  <c r="G2006" i="8" s="1"/>
  <c r="H2006" i="8" s="1"/>
  <c r="F1856" i="8"/>
  <c r="G1856" i="8" s="1"/>
  <c r="H1856" i="8" s="1"/>
  <c r="F1840" i="8"/>
  <c r="G1840" i="8" s="1"/>
  <c r="H1840" i="8" s="1"/>
  <c r="F1650" i="8"/>
  <c r="G1650" i="8" s="1"/>
  <c r="H1650" i="8" s="1"/>
  <c r="F1471" i="8"/>
  <c r="G1471" i="8" s="1"/>
  <c r="H1471" i="8" s="1"/>
  <c r="F1218" i="8"/>
  <c r="G1218" i="8" s="1"/>
  <c r="H1218" i="8" s="1"/>
  <c r="F1101" i="8"/>
  <c r="G1101" i="8" s="1"/>
  <c r="H1101" i="8" s="1"/>
  <c r="F999" i="8"/>
  <c r="G999" i="8" s="1"/>
  <c r="H999" i="8" s="1"/>
  <c r="F993" i="8"/>
  <c r="G993" i="8" s="1"/>
  <c r="H993" i="8" s="1"/>
  <c r="F801" i="8"/>
  <c r="G801" i="8" s="1"/>
  <c r="H801" i="8" s="1"/>
  <c r="F749" i="8"/>
  <c r="G749" i="8" s="1"/>
  <c r="H749" i="8" s="1"/>
  <c r="F541" i="8"/>
  <c r="G541" i="8" s="1"/>
  <c r="H541" i="8" s="1"/>
  <c r="F443" i="8"/>
  <c r="G443" i="8" s="1"/>
  <c r="H443" i="8" s="1"/>
  <c r="F333" i="8"/>
  <c r="G333" i="8" s="1"/>
  <c r="H333" i="8" s="1"/>
  <c r="F270" i="8"/>
  <c r="G270" i="8" s="1"/>
  <c r="H270" i="8" s="1"/>
  <c r="F1990" i="8"/>
  <c r="G1990" i="8" s="1"/>
  <c r="H1990" i="8" s="1"/>
  <c r="F1928" i="8"/>
  <c r="G1928" i="8" s="1"/>
  <c r="H1928" i="8" s="1"/>
  <c r="F563" i="8"/>
  <c r="G563" i="8" s="1"/>
  <c r="H563" i="8" s="1"/>
  <c r="F39" i="8"/>
  <c r="G39" i="8" s="1"/>
  <c r="H39" i="8" s="1"/>
  <c r="F1965" i="8"/>
  <c r="G1965" i="8" s="1"/>
  <c r="H1965" i="8" s="1"/>
  <c r="F1773" i="8"/>
  <c r="G1773" i="8" s="1"/>
  <c r="H1773" i="8" s="1"/>
  <c r="F1574" i="8"/>
  <c r="G1574" i="8" s="1"/>
  <c r="H1574" i="8" s="1"/>
  <c r="F1158" i="8"/>
  <c r="G1158" i="8" s="1"/>
  <c r="H1158" i="8" s="1"/>
  <c r="F1152" i="8"/>
  <c r="G1152" i="8" s="1"/>
  <c r="H1152" i="8" s="1"/>
  <c r="F759" i="8"/>
  <c r="G759" i="8" s="1"/>
  <c r="H759" i="8" s="1"/>
  <c r="F1587" i="8"/>
  <c r="G1587" i="8" s="1"/>
  <c r="H1587" i="8" s="1"/>
  <c r="F2004" i="8"/>
  <c r="G2004" i="8" s="1"/>
  <c r="H2004" i="8" s="1"/>
  <c r="F1906" i="8"/>
  <c r="G1906" i="8" s="1"/>
  <c r="H1906" i="8" s="1"/>
  <c r="F1890" i="8"/>
  <c r="G1890" i="8" s="1"/>
  <c r="H1890" i="8" s="1"/>
  <c r="F1452" i="8"/>
  <c r="G1452" i="8" s="1"/>
  <c r="H1452" i="8" s="1"/>
  <c r="F1441" i="8"/>
  <c r="G1441" i="8" s="1"/>
  <c r="H1441" i="8" s="1"/>
  <c r="F1335" i="8"/>
  <c r="G1335" i="8" s="1"/>
  <c r="H1335" i="8" s="1"/>
  <c r="F717" i="8"/>
  <c r="G717" i="8" s="1"/>
  <c r="H717" i="8" s="1"/>
  <c r="F705" i="8"/>
  <c r="G705" i="8" s="1"/>
  <c r="H705" i="8" s="1"/>
  <c r="F448" i="8"/>
  <c r="G448" i="8" s="1"/>
  <c r="H448" i="8" s="1"/>
  <c r="F578" i="8"/>
  <c r="G578" i="8" s="1"/>
  <c r="H578" i="8" s="1"/>
  <c r="F664" i="8"/>
  <c r="G664" i="8" s="1"/>
  <c r="H664" i="8" s="1"/>
  <c r="F1684" i="8"/>
  <c r="G1684" i="8" s="1"/>
  <c r="H1684" i="8" s="1"/>
  <c r="F1814" i="8"/>
  <c r="G1814" i="8" s="1"/>
  <c r="H1814" i="8" s="1"/>
  <c r="F1786" i="8"/>
  <c r="G1786" i="8" s="1"/>
  <c r="H1786" i="8" s="1"/>
  <c r="F838" i="8"/>
  <c r="G838" i="8" s="1"/>
  <c r="H838" i="8" s="1"/>
  <c r="F2072" i="8"/>
  <c r="G2072" i="8" s="1"/>
  <c r="H2072" i="8" s="1"/>
  <c r="F1968" i="8"/>
  <c r="G1968" i="8" s="1"/>
  <c r="H1968" i="8" s="1"/>
  <c r="F1415" i="8"/>
  <c r="G1415" i="8" s="1"/>
  <c r="H1415" i="8" s="1"/>
  <c r="F1409" i="8"/>
  <c r="G1409" i="8" s="1"/>
  <c r="H1409" i="8" s="1"/>
  <c r="F1391" i="8"/>
  <c r="G1391" i="8" s="1"/>
  <c r="H1391" i="8" s="1"/>
  <c r="F1842" i="8"/>
  <c r="G1842" i="8" s="1"/>
  <c r="H1842" i="8" s="1"/>
  <c r="F1718" i="8"/>
  <c r="G1718" i="8" s="1"/>
  <c r="H1718" i="8" s="1"/>
  <c r="F1665" i="8"/>
  <c r="G1665" i="8" s="1"/>
  <c r="H1665" i="8" s="1"/>
  <c r="F1402" i="8"/>
  <c r="G1402" i="8" s="1"/>
  <c r="H1402" i="8" s="1"/>
  <c r="F1230" i="8"/>
  <c r="G1230" i="8" s="1"/>
  <c r="H1230" i="8" s="1"/>
  <c r="F1224" i="8"/>
  <c r="G1224" i="8" s="1"/>
  <c r="H1224" i="8" s="1"/>
  <c r="F1168" i="8"/>
  <c r="G1168" i="8" s="1"/>
  <c r="H1168" i="8" s="1"/>
  <c r="F1093" i="8"/>
  <c r="G1093" i="8" s="1"/>
  <c r="H1093" i="8" s="1"/>
  <c r="F1032" i="8"/>
  <c r="G1032" i="8" s="1"/>
  <c r="H1032" i="8" s="1"/>
  <c r="F1020" i="8"/>
  <c r="G1020" i="8" s="1"/>
  <c r="H1020" i="8" s="1"/>
  <c r="F800" i="8"/>
  <c r="G800" i="8" s="1"/>
  <c r="H800" i="8" s="1"/>
  <c r="F426" i="8"/>
  <c r="G426" i="8" s="1"/>
  <c r="H426" i="8" s="1"/>
  <c r="F348" i="8"/>
  <c r="G348" i="8" s="1"/>
  <c r="H348" i="8" s="1"/>
  <c r="F1792" i="8"/>
  <c r="G1792" i="8" s="1"/>
  <c r="H1792" i="8" s="1"/>
  <c r="F1072" i="8"/>
  <c r="G1072" i="8" s="1"/>
  <c r="H1072" i="8" s="1"/>
  <c r="F890" i="8"/>
  <c r="G890" i="8" s="1"/>
  <c r="H890" i="8" s="1"/>
  <c r="F1698" i="8"/>
  <c r="G1698" i="8" s="1"/>
  <c r="H1698" i="8" s="1"/>
  <c r="F2098" i="8"/>
  <c r="G2098" i="8" s="1"/>
  <c r="H2098" i="8" s="1"/>
  <c r="F1888" i="8"/>
  <c r="G1888" i="8" s="1"/>
  <c r="H1888" i="8" s="1"/>
  <c r="F1822" i="8"/>
  <c r="G1822" i="8" s="1"/>
  <c r="H1822" i="8" s="1"/>
  <c r="F1794" i="8"/>
  <c r="G1794" i="8" s="1"/>
  <c r="H1794" i="8" s="1"/>
  <c r="F1757" i="8"/>
  <c r="G1757" i="8" s="1"/>
  <c r="H1757" i="8" s="1"/>
  <c r="F1751" i="8"/>
  <c r="G1751" i="8" s="1"/>
  <c r="H1751" i="8" s="1"/>
  <c r="F1734" i="8"/>
  <c r="G1734" i="8" s="1"/>
  <c r="H1734" i="8" s="1"/>
  <c r="F1676" i="8"/>
  <c r="G1676" i="8" s="1"/>
  <c r="H1676" i="8" s="1"/>
  <c r="F1448" i="8"/>
  <c r="G1448" i="8" s="1"/>
  <c r="H1448" i="8" s="1"/>
  <c r="F1292" i="8"/>
  <c r="G1292" i="8" s="1"/>
  <c r="H1292" i="8" s="1"/>
  <c r="F1286" i="8"/>
  <c r="G1286" i="8" s="1"/>
  <c r="H1286" i="8" s="1"/>
  <c r="F957" i="8"/>
  <c r="G957" i="8" s="1"/>
  <c r="H957" i="8" s="1"/>
  <c r="F546" i="8"/>
  <c r="G546" i="8" s="1"/>
  <c r="H546" i="8" s="1"/>
  <c r="F296" i="8"/>
  <c r="G296" i="8" s="1"/>
  <c r="H296" i="8" s="1"/>
  <c r="F245" i="8"/>
  <c r="G245" i="8" s="1"/>
  <c r="H245" i="8" s="1"/>
  <c r="F222" i="8"/>
  <c r="G222" i="8" s="1"/>
  <c r="H222" i="8" s="1"/>
  <c r="F1934" i="8"/>
  <c r="G1934" i="8" s="1"/>
  <c r="H1934" i="8" s="1"/>
  <c r="F1682" i="8"/>
  <c r="G1682" i="8" s="1"/>
  <c r="H1682" i="8" s="1"/>
  <c r="F650" i="8"/>
  <c r="G650" i="8" s="1"/>
  <c r="H650" i="8" s="1"/>
  <c r="F208" i="8"/>
  <c r="G208" i="8" s="1"/>
  <c r="H208" i="8" s="1"/>
  <c r="F763" i="8"/>
  <c r="G763" i="8" s="1"/>
  <c r="H763" i="8" s="1"/>
  <c r="F751" i="8"/>
  <c r="G751" i="8" s="1"/>
  <c r="H751" i="8" s="1"/>
  <c r="F612" i="8"/>
  <c r="G612" i="8" s="1"/>
  <c r="H612" i="8" s="1"/>
  <c r="F2112" i="8"/>
  <c r="G2112" i="8" s="1"/>
  <c r="H2112" i="8" s="1"/>
  <c r="F550" i="8"/>
  <c r="G550" i="8" s="1"/>
  <c r="H550" i="8" s="1"/>
  <c r="F1914" i="8"/>
  <c r="G1914" i="8" s="1"/>
  <c r="H1914" i="8" s="1"/>
  <c r="F1877" i="8"/>
  <c r="G1877" i="8" s="1"/>
  <c r="H1877" i="8" s="1"/>
  <c r="F1105" i="8"/>
  <c r="G1105" i="8" s="1"/>
  <c r="H1105" i="8" s="1"/>
  <c r="F1094" i="8"/>
  <c r="G1094" i="8" s="1"/>
  <c r="H1094" i="8" s="1"/>
  <c r="F1945" i="8"/>
  <c r="G1945" i="8" s="1"/>
  <c r="H1945" i="8" s="1"/>
  <c r="F1399" i="8"/>
  <c r="G1399" i="8" s="1"/>
  <c r="H1399" i="8" s="1"/>
  <c r="F1365" i="8"/>
  <c r="G1365" i="8" s="1"/>
  <c r="H1365" i="8" s="1"/>
  <c r="F1319" i="8"/>
  <c r="G1319" i="8" s="1"/>
  <c r="H1319" i="8" s="1"/>
  <c r="F187" i="8"/>
  <c r="G187" i="8" s="1"/>
  <c r="H187" i="8" s="1"/>
  <c r="F82" i="8"/>
  <c r="G82" i="8" s="1"/>
  <c r="H82" i="8" s="1"/>
  <c r="F1982" i="8"/>
  <c r="G1982" i="8" s="1"/>
  <c r="H1982" i="8" s="1"/>
  <c r="F1956" i="8"/>
  <c r="G1956" i="8" s="1"/>
  <c r="H1956" i="8" s="1"/>
  <c r="F1816" i="8"/>
  <c r="G1816" i="8" s="1"/>
  <c r="H1816" i="8" s="1"/>
  <c r="F755" i="8"/>
  <c r="G755" i="8" s="1"/>
  <c r="H755" i="8" s="1"/>
  <c r="F1746" i="8"/>
  <c r="G1746" i="8" s="1"/>
  <c r="H1746" i="8" s="1"/>
  <c r="F1740" i="8"/>
  <c r="G1740" i="8" s="1"/>
  <c r="H1740" i="8" s="1"/>
  <c r="F1687" i="8"/>
  <c r="G1687" i="8" s="1"/>
  <c r="H1687" i="8" s="1"/>
  <c r="F1677" i="8"/>
  <c r="G1677" i="8" s="1"/>
  <c r="H1677" i="8" s="1"/>
  <c r="F225" i="8"/>
  <c r="G225" i="8" s="1"/>
  <c r="H225" i="8" s="1"/>
  <c r="F2018" i="8"/>
  <c r="G2018" i="8" s="1"/>
  <c r="H2018" i="8" s="1"/>
  <c r="F1660" i="8"/>
  <c r="G1660" i="8" s="1"/>
  <c r="H1660" i="8" s="1"/>
  <c r="F1604" i="8"/>
  <c r="G1604" i="8" s="1"/>
  <c r="H1604" i="8" s="1"/>
  <c r="F1593" i="8"/>
  <c r="G1593" i="8" s="1"/>
  <c r="H1593" i="8" s="1"/>
  <c r="F788" i="8"/>
  <c r="G788" i="8" s="1"/>
  <c r="H788" i="8" s="1"/>
  <c r="F197" i="8"/>
  <c r="G197" i="8" s="1"/>
  <c r="H197" i="8" s="1"/>
  <c r="F1960" i="8"/>
  <c r="G1960" i="8" s="1"/>
  <c r="H1960" i="8" s="1"/>
  <c r="F1949" i="8"/>
  <c r="G1949" i="8" s="1"/>
  <c r="H1949" i="8" s="1"/>
  <c r="F1766" i="8"/>
  <c r="G1766" i="8" s="1"/>
  <c r="H1766" i="8" s="1"/>
  <c r="F1686" i="8"/>
  <c r="G1686" i="8" s="1"/>
  <c r="H1686" i="8" s="1"/>
  <c r="F1211" i="8"/>
  <c r="G1211" i="8" s="1"/>
  <c r="H1211" i="8" s="1"/>
  <c r="F1227" i="8"/>
  <c r="G1227" i="8" s="1"/>
  <c r="H1227" i="8" s="1"/>
  <c r="F2086" i="8"/>
  <c r="G2086" i="8" s="1"/>
  <c r="H2086" i="8" s="1"/>
  <c r="F2076" i="8"/>
  <c r="G2076" i="8" s="1"/>
  <c r="H2076" i="8" s="1"/>
  <c r="F2016" i="8"/>
  <c r="G2016" i="8" s="1"/>
  <c r="H2016" i="8" s="1"/>
  <c r="F1853" i="8"/>
  <c r="G1853" i="8" s="1"/>
  <c r="H1853" i="8" s="1"/>
  <c r="F1849" i="8"/>
  <c r="G1849" i="8" s="1"/>
  <c r="H1849" i="8" s="1"/>
  <c r="F1754" i="8"/>
  <c r="G1754" i="8" s="1"/>
  <c r="H1754" i="8" s="1"/>
  <c r="F1437" i="8"/>
  <c r="G1437" i="8" s="1"/>
  <c r="H1437" i="8" s="1"/>
  <c r="F1367" i="8"/>
  <c r="G1367" i="8" s="1"/>
  <c r="H1367" i="8" s="1"/>
  <c r="F775" i="8"/>
  <c r="G775" i="8" s="1"/>
  <c r="H775" i="8" s="1"/>
  <c r="F388" i="8"/>
  <c r="G388" i="8" s="1"/>
  <c r="H388" i="8" s="1"/>
  <c r="F1873" i="8"/>
  <c r="G1873" i="8" s="1"/>
  <c r="H1873" i="8" s="1"/>
  <c r="F1506" i="8"/>
  <c r="G1506" i="8" s="1"/>
  <c r="H1506" i="8" s="1"/>
  <c r="F1413" i="8"/>
  <c r="G1413" i="8" s="1"/>
  <c r="H1413" i="8" s="1"/>
  <c r="F1175" i="8"/>
  <c r="G1175" i="8" s="1"/>
  <c r="H1175" i="8" s="1"/>
  <c r="F1170" i="8"/>
  <c r="G1170" i="8" s="1"/>
  <c r="H1170" i="8" s="1"/>
  <c r="F1112" i="8"/>
  <c r="G1112" i="8" s="1"/>
  <c r="H1112" i="8" s="1"/>
  <c r="F734" i="8"/>
  <c r="G734" i="8" s="1"/>
  <c r="H734" i="8" s="1"/>
  <c r="F624" i="8"/>
  <c r="G624" i="8" s="1"/>
  <c r="H624" i="8" s="1"/>
  <c r="F562" i="8"/>
  <c r="G562" i="8" s="1"/>
  <c r="H562" i="8" s="1"/>
  <c r="F539" i="8"/>
  <c r="G539" i="8" s="1"/>
  <c r="H539" i="8" s="1"/>
  <c r="F465" i="8"/>
  <c r="G465" i="8" s="1"/>
  <c r="H465" i="8" s="1"/>
  <c r="F1088" i="8"/>
  <c r="G1088" i="8" s="1"/>
  <c r="H1088" i="8" s="1"/>
  <c r="F1077" i="8"/>
  <c r="G1077" i="8" s="1"/>
  <c r="H1077" i="8" s="1"/>
  <c r="F852" i="8"/>
  <c r="G852" i="8" s="1"/>
  <c r="H852" i="8" s="1"/>
  <c r="F2042" i="8"/>
  <c r="G2042" i="8" s="1"/>
  <c r="H2042" i="8" s="1"/>
  <c r="F1958" i="8"/>
  <c r="G1958" i="8" s="1"/>
  <c r="H1958" i="8" s="1"/>
  <c r="F1821" i="8"/>
  <c r="G1821" i="8" s="1"/>
  <c r="H1821" i="8" s="1"/>
  <c r="F1636" i="8"/>
  <c r="G1636" i="8" s="1"/>
  <c r="H1636" i="8" s="1"/>
  <c r="F1630" i="8"/>
  <c r="G1630" i="8" s="1"/>
  <c r="H1630" i="8" s="1"/>
  <c r="F279" i="8"/>
  <c r="G279" i="8" s="1"/>
  <c r="H279" i="8" s="1"/>
  <c r="F2094" i="8"/>
  <c r="G2094" i="8" s="1"/>
  <c r="H2094" i="8" s="1"/>
  <c r="F2014" i="8"/>
  <c r="G2014" i="8" s="1"/>
  <c r="H2014" i="8" s="1"/>
  <c r="F2008" i="8"/>
  <c r="G2008" i="8" s="1"/>
  <c r="H2008" i="8" s="1"/>
  <c r="F1894" i="8"/>
  <c r="G1894" i="8" s="1"/>
  <c r="H1894" i="8" s="1"/>
  <c r="F1884" i="8"/>
  <c r="G1884" i="8" s="1"/>
  <c r="H1884" i="8" s="1"/>
  <c r="F1870" i="8"/>
  <c r="G1870" i="8" s="1"/>
  <c r="H1870" i="8" s="1"/>
  <c r="F1772" i="8"/>
  <c r="G1772" i="8" s="1"/>
  <c r="H1772" i="8" s="1"/>
  <c r="F1517" i="8"/>
  <c r="G1517" i="8" s="1"/>
  <c r="H1517" i="8" s="1"/>
  <c r="F1512" i="8"/>
  <c r="G1512" i="8" s="1"/>
  <c r="H1512" i="8" s="1"/>
  <c r="F1139" i="8"/>
  <c r="G1139" i="8" s="1"/>
  <c r="H1139" i="8" s="1"/>
  <c r="F1076" i="8"/>
  <c r="G1076" i="8" s="1"/>
  <c r="H1076" i="8" s="1"/>
  <c r="F798" i="8"/>
  <c r="G798" i="8" s="1"/>
  <c r="H798" i="8" s="1"/>
  <c r="F597" i="8"/>
  <c r="G597" i="8" s="1"/>
  <c r="H597" i="8" s="1"/>
  <c r="F106" i="8"/>
  <c r="G106" i="8" s="1"/>
  <c r="H106" i="8" s="1"/>
  <c r="F2088" i="8"/>
  <c r="G2088" i="8" s="1"/>
  <c r="H2088" i="8" s="1"/>
  <c r="F1962" i="8"/>
  <c r="G1962" i="8" s="1"/>
  <c r="H1962" i="8" s="1"/>
  <c r="F1747" i="8"/>
  <c r="G1747" i="8" s="1"/>
  <c r="H1747" i="8" s="1"/>
  <c r="F1708" i="8"/>
  <c r="G1708" i="8" s="1"/>
  <c r="H1708" i="8" s="1"/>
  <c r="F1688" i="8"/>
  <c r="G1688" i="8" s="1"/>
  <c r="H1688" i="8" s="1"/>
  <c r="F1381" i="8"/>
  <c r="G1381" i="8" s="1"/>
  <c r="H1381" i="8" s="1"/>
  <c r="F1284" i="8"/>
  <c r="G1284" i="8" s="1"/>
  <c r="H1284" i="8" s="1"/>
  <c r="F1144" i="8"/>
  <c r="G1144" i="8" s="1"/>
  <c r="H1144" i="8" s="1"/>
  <c r="F1009" i="8"/>
  <c r="G1009" i="8" s="1"/>
  <c r="H1009" i="8" s="1"/>
  <c r="F981" i="8"/>
  <c r="G981" i="8" s="1"/>
  <c r="H981" i="8" s="1"/>
  <c r="F873" i="8"/>
  <c r="G873" i="8" s="1"/>
  <c r="H873" i="8" s="1"/>
  <c r="F867" i="8"/>
  <c r="G867" i="8" s="1"/>
  <c r="H867" i="8" s="1"/>
  <c r="F694" i="8"/>
  <c r="G694" i="8" s="1"/>
  <c r="H694" i="8" s="1"/>
  <c r="F406" i="8"/>
  <c r="G406" i="8" s="1"/>
  <c r="H406" i="8" s="1"/>
  <c r="F272" i="8"/>
  <c r="G272" i="8" s="1"/>
  <c r="H272" i="8" s="1"/>
  <c r="F189" i="8"/>
  <c r="G189" i="8" s="1"/>
  <c r="H189" i="8" s="1"/>
  <c r="F156" i="8"/>
  <c r="G156" i="8" s="1"/>
  <c r="H156" i="8" s="1"/>
  <c r="F1818" i="8"/>
  <c r="G1818" i="8" s="1"/>
  <c r="H1818" i="8" s="1"/>
  <c r="F1000" i="8"/>
  <c r="G1000" i="8" s="1"/>
  <c r="H1000" i="8" s="1"/>
  <c r="F1358" i="8"/>
  <c r="G1358" i="8" s="1"/>
  <c r="H1358" i="8" s="1"/>
  <c r="F1347" i="8"/>
  <c r="G1347" i="8" s="1"/>
  <c r="H1347" i="8" s="1"/>
  <c r="F1235" i="8"/>
  <c r="G1235" i="8" s="1"/>
  <c r="H1235" i="8" s="1"/>
  <c r="F1102" i="8"/>
  <c r="G1102" i="8" s="1"/>
  <c r="H1102" i="8" s="1"/>
  <c r="F866" i="8"/>
  <c r="G866" i="8" s="1"/>
  <c r="H866" i="8" s="1"/>
  <c r="F1431" i="8"/>
  <c r="G1431" i="8" s="1"/>
  <c r="H1431" i="8" s="1"/>
  <c r="F1847" i="8"/>
  <c r="G1847" i="8" s="1"/>
  <c r="H1847" i="8" s="1"/>
  <c r="F1469" i="8"/>
  <c r="G1469" i="8" s="1"/>
  <c r="H1469" i="8" s="1"/>
  <c r="F1519" i="8"/>
  <c r="G1519" i="8" s="1"/>
  <c r="H1519" i="8" s="1"/>
  <c r="F1930" i="8"/>
  <c r="G1930" i="8" s="1"/>
  <c r="H1930" i="8" s="1"/>
  <c r="F1869" i="8"/>
  <c r="G1869" i="8" s="1"/>
  <c r="H1869" i="8" s="1"/>
  <c r="F1408" i="8"/>
  <c r="G1408" i="8" s="1"/>
  <c r="H1408" i="8" s="1"/>
  <c r="F837" i="8"/>
  <c r="G837" i="8" s="1"/>
  <c r="H837" i="8" s="1"/>
  <c r="F1407" i="8"/>
  <c r="G1407" i="8" s="1"/>
  <c r="H1407" i="8" s="1"/>
  <c r="F2092" i="8"/>
  <c r="G2092" i="8" s="1"/>
  <c r="H2092" i="8" s="1"/>
  <c r="F1864" i="8"/>
  <c r="G1864" i="8" s="1"/>
  <c r="H1864" i="8" s="1"/>
  <c r="F1589" i="8"/>
  <c r="G1589" i="8" s="1"/>
  <c r="H1589" i="8" s="1"/>
  <c r="F2030" i="8"/>
  <c r="G2030" i="8" s="1"/>
  <c r="H2030" i="8" s="1"/>
  <c r="F1901" i="8"/>
  <c r="G1901" i="8" s="1"/>
  <c r="H1901" i="8" s="1"/>
  <c r="F1799" i="8"/>
  <c r="G1799" i="8" s="1"/>
  <c r="H1799" i="8" s="1"/>
  <c r="F1758" i="8"/>
  <c r="G1758" i="8" s="1"/>
  <c r="H1758" i="8" s="1"/>
  <c r="F1748" i="8"/>
  <c r="G1748" i="8" s="1"/>
  <c r="H1748" i="8" s="1"/>
  <c r="F1701" i="8"/>
  <c r="G1701" i="8" s="1"/>
  <c r="H1701" i="8" s="1"/>
  <c r="F1544" i="8"/>
  <c r="G1544" i="8" s="1"/>
  <c r="H1544" i="8" s="1"/>
  <c r="F1221" i="8"/>
  <c r="G1221" i="8" s="1"/>
  <c r="H1221" i="8" s="1"/>
  <c r="F1184" i="8"/>
  <c r="G1184" i="8" s="1"/>
  <c r="H1184" i="8" s="1"/>
  <c r="F1162" i="8"/>
  <c r="G1162" i="8" s="1"/>
  <c r="H1162" i="8" s="1"/>
  <c r="F1128" i="8"/>
  <c r="G1128" i="8" s="1"/>
  <c r="H1128" i="8" s="1"/>
  <c r="F1045" i="8"/>
  <c r="G1045" i="8" s="1"/>
  <c r="H1045" i="8" s="1"/>
  <c r="F1028" i="8"/>
  <c r="G1028" i="8" s="1"/>
  <c r="H1028" i="8" s="1"/>
  <c r="F1007" i="8"/>
  <c r="G1007" i="8" s="1"/>
  <c r="H1007" i="8" s="1"/>
  <c r="F941" i="8"/>
  <c r="G941" i="8" s="1"/>
  <c r="H941" i="8" s="1"/>
  <c r="F924" i="8"/>
  <c r="G924" i="8" s="1"/>
  <c r="H924" i="8" s="1"/>
  <c r="F907" i="8"/>
  <c r="G907" i="8" s="1"/>
  <c r="H907" i="8" s="1"/>
  <c r="F580" i="8"/>
  <c r="G580" i="8" s="1"/>
  <c r="H580" i="8" s="1"/>
  <c r="F487" i="8"/>
  <c r="G487" i="8" s="1"/>
  <c r="H487" i="8" s="1"/>
  <c r="F425" i="8"/>
  <c r="G425" i="8" s="1"/>
  <c r="H425" i="8" s="1"/>
  <c r="F420" i="8"/>
  <c r="G420" i="8" s="1"/>
  <c r="H420" i="8" s="1"/>
  <c r="F161" i="8"/>
  <c r="G161" i="8" s="1"/>
  <c r="H161" i="8" s="1"/>
  <c r="F68" i="8"/>
  <c r="G68" i="8" s="1"/>
  <c r="H68" i="8" s="1"/>
  <c r="F1346" i="8"/>
  <c r="G1346" i="8" s="1"/>
  <c r="H1346" i="8" s="1"/>
  <c r="F1329" i="8"/>
  <c r="G1329" i="8" s="1"/>
  <c r="H1329" i="8" s="1"/>
  <c r="F2046" i="8"/>
  <c r="G2046" i="8" s="1"/>
  <c r="H2046" i="8" s="1"/>
  <c r="F1788" i="8"/>
  <c r="G1788" i="8" s="1"/>
  <c r="H1788" i="8" s="1"/>
  <c r="F1696" i="8"/>
  <c r="G1696" i="8" s="1"/>
  <c r="H1696" i="8" s="1"/>
  <c r="F1641" i="8"/>
  <c r="G1641" i="8" s="1"/>
  <c r="H1641" i="8" s="1"/>
  <c r="F1624" i="8"/>
  <c r="G1624" i="8" s="1"/>
  <c r="H1624" i="8" s="1"/>
  <c r="F1315" i="8"/>
  <c r="G1315" i="8" s="1"/>
  <c r="H1315" i="8" s="1"/>
  <c r="F1262" i="8"/>
  <c r="G1262" i="8" s="1"/>
  <c r="H1262" i="8" s="1"/>
  <c r="F1050" i="8"/>
  <c r="G1050" i="8" s="1"/>
  <c r="H1050" i="8" s="1"/>
  <c r="F1022" i="8"/>
  <c r="G1022" i="8" s="1"/>
  <c r="H1022" i="8" s="1"/>
  <c r="F704" i="8"/>
  <c r="G704" i="8" s="1"/>
  <c r="H704" i="8" s="1"/>
  <c r="F669" i="8"/>
  <c r="G669" i="8" s="1"/>
  <c r="H669" i="8" s="1"/>
  <c r="F193" i="8"/>
  <c r="G193" i="8" s="1"/>
  <c r="H193" i="8" s="1"/>
  <c r="F166" i="8"/>
  <c r="G166" i="8" s="1"/>
  <c r="H166" i="8" s="1"/>
  <c r="F133" i="8"/>
  <c r="G133" i="8" s="1"/>
  <c r="H133" i="8" s="1"/>
  <c r="F84" i="8"/>
  <c r="G84" i="8" s="1"/>
  <c r="H84" i="8" s="1"/>
  <c r="F2024" i="8"/>
  <c r="G2024" i="8" s="1"/>
  <c r="H2024" i="8" s="1"/>
  <c r="F1993" i="8"/>
  <c r="G1993" i="8" s="1"/>
  <c r="H1993" i="8" s="1"/>
  <c r="F1895" i="8"/>
  <c r="G1895" i="8" s="1"/>
  <c r="H1895" i="8" s="1"/>
  <c r="F1808" i="8"/>
  <c r="G1808" i="8" s="1"/>
  <c r="H1808" i="8" s="1"/>
  <c r="F1782" i="8"/>
  <c r="G1782" i="8" s="1"/>
  <c r="H1782" i="8" s="1"/>
  <c r="F1710" i="8"/>
  <c r="G1710" i="8" s="1"/>
  <c r="H1710" i="8" s="1"/>
  <c r="F1690" i="8"/>
  <c r="G1690" i="8" s="1"/>
  <c r="H1690" i="8" s="1"/>
  <c r="F1663" i="8"/>
  <c r="G1663" i="8" s="1"/>
  <c r="H1663" i="8" s="1"/>
  <c r="F1652" i="8"/>
  <c r="G1652" i="8" s="1"/>
  <c r="H1652" i="8" s="1"/>
  <c r="F1410" i="8"/>
  <c r="G1410" i="8" s="1"/>
  <c r="H1410" i="8" s="1"/>
  <c r="F1376" i="8"/>
  <c r="G1376" i="8" s="1"/>
  <c r="H1376" i="8" s="1"/>
  <c r="F1267" i="8"/>
  <c r="G1267" i="8" s="1"/>
  <c r="H1267" i="8" s="1"/>
  <c r="F1257" i="8"/>
  <c r="G1257" i="8" s="1"/>
  <c r="H1257" i="8" s="1"/>
  <c r="F1240" i="8"/>
  <c r="G1240" i="8" s="1"/>
  <c r="H1240" i="8" s="1"/>
  <c r="F1198" i="8"/>
  <c r="G1198" i="8" s="1"/>
  <c r="H1198" i="8" s="1"/>
  <c r="F1081" i="8"/>
  <c r="G1081" i="8" s="1"/>
  <c r="H1081" i="8" s="1"/>
  <c r="F680" i="8"/>
  <c r="G680" i="8" s="1"/>
  <c r="H680" i="8" s="1"/>
  <c r="F653" i="8"/>
  <c r="G653" i="8" s="1"/>
  <c r="H653" i="8" s="1"/>
  <c r="F647" i="8"/>
  <c r="G647" i="8" s="1"/>
  <c r="H647" i="8" s="1"/>
  <c r="F252" i="8"/>
  <c r="G252" i="8" s="1"/>
  <c r="H252" i="8" s="1"/>
  <c r="F719" i="8"/>
  <c r="G719" i="8" s="1"/>
  <c r="H719" i="8" s="1"/>
  <c r="F506" i="8"/>
  <c r="G506" i="8" s="1"/>
  <c r="H506" i="8" s="1"/>
  <c r="F261" i="8"/>
  <c r="G261" i="8" s="1"/>
  <c r="H261" i="8" s="1"/>
  <c r="F228" i="8"/>
  <c r="G228" i="8" s="1"/>
  <c r="H228" i="8" s="1"/>
  <c r="F54" i="8"/>
  <c r="G54" i="8" s="1"/>
  <c r="H54" i="8" s="1"/>
  <c r="F2114" i="8"/>
  <c r="G2114" i="8" s="1"/>
  <c r="H2114" i="8" s="1"/>
  <c r="F2084" i="8"/>
  <c r="G2084" i="8" s="1"/>
  <c r="H2084" i="8" s="1"/>
  <c r="F1919" i="8"/>
  <c r="G1919" i="8" s="1"/>
  <c r="H1919" i="8" s="1"/>
  <c r="F1380" i="8"/>
  <c r="G1380" i="8" s="1"/>
  <c r="H1380" i="8" s="1"/>
  <c r="F1164" i="8"/>
  <c r="G1164" i="8" s="1"/>
  <c r="H1164" i="8" s="1"/>
  <c r="F1775" i="8"/>
  <c r="G1775" i="8" s="1"/>
  <c r="H1775" i="8" s="1"/>
  <c r="F1457" i="8"/>
  <c r="G1457" i="8" s="1"/>
  <c r="H1457" i="8" s="1"/>
  <c r="F871" i="8"/>
  <c r="G871" i="8" s="1"/>
  <c r="H871" i="8" s="1"/>
  <c r="F405" i="8"/>
  <c r="G405" i="8" s="1"/>
  <c r="H405" i="8" s="1"/>
  <c r="F395" i="8"/>
  <c r="G395" i="8" s="1"/>
  <c r="H395" i="8" s="1"/>
  <c r="F1986" i="8"/>
  <c r="G1986" i="8" s="1"/>
  <c r="H1986" i="8" s="1"/>
  <c r="F1966" i="8"/>
  <c r="G1966" i="8" s="1"/>
  <c r="H1966" i="8" s="1"/>
  <c r="F1952" i="8"/>
  <c r="G1952" i="8" s="1"/>
  <c r="H1952" i="8" s="1"/>
  <c r="F1738" i="8"/>
  <c r="G1738" i="8" s="1"/>
  <c r="H1738" i="8" s="1"/>
  <c r="F1713" i="8"/>
  <c r="G1713" i="8" s="1"/>
  <c r="H1713" i="8" s="1"/>
  <c r="F1401" i="8"/>
  <c r="G1401" i="8" s="1"/>
  <c r="H1401" i="8" s="1"/>
  <c r="F415" i="8"/>
  <c r="G415" i="8" s="1"/>
  <c r="H415" i="8" s="1"/>
  <c r="F1920" i="8"/>
  <c r="G1920" i="8" s="1"/>
  <c r="H1920" i="8" s="1"/>
  <c r="F1824" i="8"/>
  <c r="G1824" i="8" s="1"/>
  <c r="H1824" i="8" s="1"/>
  <c r="F1725" i="8"/>
  <c r="G1725" i="8" s="1"/>
  <c r="H1725" i="8" s="1"/>
  <c r="F223" i="8"/>
  <c r="G223" i="8" s="1"/>
  <c r="H223" i="8" s="1"/>
  <c r="F2050" i="8"/>
  <c r="G2050" i="8" s="1"/>
  <c r="H2050" i="8" s="1"/>
  <c r="F2028" i="8"/>
  <c r="G2028" i="8" s="1"/>
  <c r="H2028" i="8" s="1"/>
  <c r="F1910" i="8"/>
  <c r="G1910" i="8" s="1"/>
  <c r="H1910" i="8" s="1"/>
  <c r="F1662" i="8"/>
  <c r="G1662" i="8" s="1"/>
  <c r="H1662" i="8" s="1"/>
  <c r="F1651" i="8"/>
  <c r="G1651" i="8" s="1"/>
  <c r="H1651" i="8" s="1"/>
  <c r="F1426" i="8"/>
  <c r="G1426" i="8" s="1"/>
  <c r="H1426" i="8" s="1"/>
  <c r="F1392" i="8"/>
  <c r="G1392" i="8" s="1"/>
  <c r="H1392" i="8" s="1"/>
  <c r="F1342" i="8"/>
  <c r="G1342" i="8" s="1"/>
  <c r="H1342" i="8" s="1"/>
  <c r="F1325" i="8"/>
  <c r="G1325" i="8" s="1"/>
  <c r="H1325" i="8" s="1"/>
  <c r="F1287" i="8"/>
  <c r="G1287" i="8" s="1"/>
  <c r="H1287" i="8" s="1"/>
  <c r="F1159" i="8"/>
  <c r="G1159" i="8" s="1"/>
  <c r="H1159" i="8" s="1"/>
  <c r="F861" i="8"/>
  <c r="G861" i="8" s="1"/>
  <c r="H861" i="8" s="1"/>
  <c r="F799" i="8"/>
  <c r="G799" i="8" s="1"/>
  <c r="H799" i="8" s="1"/>
  <c r="F714" i="8"/>
  <c r="G714" i="8" s="1"/>
  <c r="H714" i="8" s="1"/>
  <c r="F589" i="8"/>
  <c r="G589" i="8" s="1"/>
  <c r="H589" i="8" s="1"/>
  <c r="F552" i="8"/>
  <c r="G552" i="8" s="1"/>
  <c r="H552" i="8" s="1"/>
  <c r="F317" i="8"/>
  <c r="G317" i="8" s="1"/>
  <c r="H317" i="8" s="1"/>
  <c r="F229" i="8"/>
  <c r="G229" i="8" s="1"/>
  <c r="H229" i="8" s="1"/>
  <c r="F1836" i="8"/>
  <c r="G1836" i="8" s="1"/>
  <c r="H1836" i="8" s="1"/>
  <c r="F1762" i="8"/>
  <c r="G1762" i="8" s="1"/>
  <c r="H1762" i="8" s="1"/>
  <c r="F1384" i="8"/>
  <c r="G1384" i="8" s="1"/>
  <c r="H1384" i="8" s="1"/>
  <c r="F951" i="8"/>
  <c r="G951" i="8" s="1"/>
  <c r="H951" i="8" s="1"/>
  <c r="F842" i="8"/>
  <c r="G842" i="8" s="1"/>
  <c r="H842" i="8" s="1"/>
  <c r="F629" i="8"/>
  <c r="G629" i="8" s="1"/>
  <c r="H629" i="8" s="1"/>
  <c r="F216" i="8"/>
  <c r="G216" i="8" s="1"/>
  <c r="H216" i="8" s="1"/>
  <c r="F1954" i="8"/>
  <c r="G1954" i="8" s="1"/>
  <c r="H1954" i="8" s="1"/>
  <c r="F1880" i="8"/>
  <c r="G1880" i="8" s="1"/>
  <c r="H1880" i="8" s="1"/>
  <c r="F1781" i="8"/>
  <c r="G1781" i="8" s="1"/>
  <c r="H1781" i="8" s="1"/>
  <c r="F1742" i="8"/>
  <c r="G1742" i="8" s="1"/>
  <c r="H1742" i="8" s="1"/>
  <c r="F1501" i="8"/>
  <c r="G1501" i="8" s="1"/>
  <c r="H1501" i="8" s="1"/>
  <c r="F1265" i="8"/>
  <c r="G1265" i="8" s="1"/>
  <c r="H1265" i="8" s="1"/>
  <c r="F1155" i="8"/>
  <c r="G1155" i="8" s="1"/>
  <c r="H1155" i="8" s="1"/>
  <c r="F2090" i="8"/>
  <c r="G2090" i="8" s="1"/>
  <c r="H2090" i="8" s="1"/>
  <c r="F2026" i="8"/>
  <c r="G2026" i="8" s="1"/>
  <c r="H2026" i="8" s="1"/>
  <c r="F1917" i="8"/>
  <c r="G1917" i="8" s="1"/>
  <c r="H1917" i="8" s="1"/>
  <c r="F1912" i="8"/>
  <c r="G1912" i="8" s="1"/>
  <c r="H1912" i="8" s="1"/>
  <c r="F1893" i="8"/>
  <c r="G1893" i="8" s="1"/>
  <c r="H1893" i="8" s="1"/>
  <c r="F1844" i="8"/>
  <c r="G1844" i="8" s="1"/>
  <c r="H1844" i="8" s="1"/>
  <c r="F1810" i="8"/>
  <c r="G1810" i="8" s="1"/>
  <c r="H1810" i="8" s="1"/>
  <c r="F1776" i="8"/>
  <c r="G1776" i="8" s="1"/>
  <c r="H1776" i="8" s="1"/>
  <c r="F1670" i="8"/>
  <c r="G1670" i="8" s="1"/>
  <c r="H1670" i="8" s="1"/>
  <c r="F1612" i="8"/>
  <c r="G1612" i="8" s="1"/>
  <c r="H1612" i="8" s="1"/>
  <c r="F1542" i="8"/>
  <c r="G1542" i="8" s="1"/>
  <c r="H1542" i="8" s="1"/>
  <c r="F1394" i="8"/>
  <c r="G1394" i="8" s="1"/>
  <c r="H1394" i="8" s="1"/>
  <c r="F1339" i="8"/>
  <c r="G1339" i="8" s="1"/>
  <c r="H1339" i="8" s="1"/>
  <c r="F1327" i="8"/>
  <c r="G1327" i="8" s="1"/>
  <c r="H1327" i="8" s="1"/>
  <c r="F1259" i="8"/>
  <c r="G1259" i="8" s="1"/>
  <c r="H1259" i="8" s="1"/>
  <c r="F1243" i="8"/>
  <c r="G1243" i="8" s="1"/>
  <c r="H1243" i="8" s="1"/>
  <c r="F1154" i="8"/>
  <c r="G1154" i="8" s="1"/>
  <c r="H1154" i="8" s="1"/>
  <c r="F1109" i="8"/>
  <c r="G1109" i="8" s="1"/>
  <c r="H1109" i="8" s="1"/>
  <c r="F927" i="8"/>
  <c r="G927" i="8" s="1"/>
  <c r="H927" i="8" s="1"/>
  <c r="F677" i="8"/>
  <c r="G677" i="8" s="1"/>
  <c r="H677" i="8" s="1"/>
  <c r="F599" i="8"/>
  <c r="G599" i="8" s="1"/>
  <c r="H599" i="8" s="1"/>
  <c r="F412" i="8"/>
  <c r="G412" i="8" s="1"/>
  <c r="H412" i="8" s="1"/>
  <c r="F324" i="8"/>
  <c r="G324" i="8" s="1"/>
  <c r="H324" i="8" s="1"/>
  <c r="F200" i="8"/>
  <c r="G200" i="8" s="1"/>
  <c r="H200" i="8" s="1"/>
  <c r="F179" i="8"/>
  <c r="G179" i="8" s="1"/>
  <c r="H179" i="8" s="1"/>
  <c r="F1908" i="8"/>
  <c r="G1908" i="8" s="1"/>
  <c r="H1908" i="8" s="1"/>
  <c r="F1628" i="8"/>
  <c r="G1628" i="8" s="1"/>
  <c r="H1628" i="8" s="1"/>
  <c r="F2080" i="8"/>
  <c r="G2080" i="8" s="1"/>
  <c r="H2080" i="8" s="1"/>
  <c r="F2020" i="8"/>
  <c r="G2020" i="8" s="1"/>
  <c r="H2020" i="8" s="1"/>
  <c r="F2000" i="8"/>
  <c r="G2000" i="8" s="1"/>
  <c r="H2000" i="8" s="1"/>
  <c r="F1940" i="8"/>
  <c r="G1940" i="8" s="1"/>
  <c r="H1940" i="8" s="1"/>
  <c r="F1852" i="8"/>
  <c r="G1852" i="8" s="1"/>
  <c r="H1852" i="8" s="1"/>
  <c r="F1834" i="8"/>
  <c r="G1834" i="8" s="1"/>
  <c r="H1834" i="8" s="1"/>
  <c r="F1760" i="8"/>
  <c r="G1760" i="8" s="1"/>
  <c r="H1760" i="8" s="1"/>
  <c r="F1730" i="8"/>
  <c r="G1730" i="8" s="1"/>
  <c r="H1730" i="8" s="1"/>
  <c r="F1674" i="8"/>
  <c r="G1674" i="8" s="1"/>
  <c r="H1674" i="8" s="1"/>
  <c r="F1580" i="8"/>
  <c r="G1580" i="8" s="1"/>
  <c r="H1580" i="8" s="1"/>
  <c r="F1500" i="8"/>
  <c r="G1500" i="8" s="1"/>
  <c r="H1500" i="8" s="1"/>
  <c r="F1480" i="8"/>
  <c r="G1480" i="8" s="1"/>
  <c r="H1480" i="8" s="1"/>
  <c r="F1343" i="8"/>
  <c r="G1343" i="8" s="1"/>
  <c r="H1343" i="8" s="1"/>
  <c r="F1338" i="8"/>
  <c r="G1338" i="8" s="1"/>
  <c r="H1338" i="8" s="1"/>
  <c r="F1300" i="8"/>
  <c r="G1300" i="8" s="1"/>
  <c r="H1300" i="8" s="1"/>
  <c r="F1237" i="8"/>
  <c r="G1237" i="8" s="1"/>
  <c r="H1237" i="8" s="1"/>
  <c r="F1131" i="8"/>
  <c r="G1131" i="8" s="1"/>
  <c r="H1131" i="8" s="1"/>
  <c r="F1008" i="8"/>
  <c r="G1008" i="8" s="1"/>
  <c r="H1008" i="8" s="1"/>
  <c r="F889" i="8"/>
  <c r="G889" i="8" s="1"/>
  <c r="H889" i="8" s="1"/>
  <c r="F884" i="8"/>
  <c r="G884" i="8" s="1"/>
  <c r="H884" i="8" s="1"/>
  <c r="F516" i="8"/>
  <c r="G516" i="8" s="1"/>
  <c r="H516" i="8" s="1"/>
  <c r="F467" i="8"/>
  <c r="G467" i="8" s="1"/>
  <c r="H467" i="8" s="1"/>
  <c r="F461" i="8"/>
  <c r="G461" i="8" s="1"/>
  <c r="H461" i="8" s="1"/>
  <c r="F386" i="8"/>
  <c r="G386" i="8" s="1"/>
  <c r="H386" i="8" s="1"/>
  <c r="F285" i="8"/>
  <c r="G285" i="8" s="1"/>
  <c r="H285" i="8" s="1"/>
  <c r="F280" i="8"/>
  <c r="G280" i="8" s="1"/>
  <c r="H280" i="8" s="1"/>
  <c r="F230" i="8"/>
  <c r="G230" i="8" s="1"/>
  <c r="H230" i="8" s="1"/>
  <c r="F199" i="8"/>
  <c r="G199" i="8" s="1"/>
  <c r="H199" i="8" s="1"/>
  <c r="F92" i="8"/>
  <c r="G92" i="8" s="1"/>
  <c r="H92" i="8" s="1"/>
  <c r="F65" i="8"/>
  <c r="G65" i="8" s="1"/>
  <c r="H65" i="8" s="1"/>
  <c r="F2012" i="8"/>
  <c r="G2012" i="8" s="1"/>
  <c r="H2012" i="8" s="1"/>
  <c r="F1805" i="8"/>
  <c r="G1805" i="8" s="1"/>
  <c r="H1805" i="8" s="1"/>
  <c r="F2052" i="8"/>
  <c r="G2052" i="8" s="1"/>
  <c r="H2052" i="8" s="1"/>
  <c r="F1882" i="8"/>
  <c r="G1882" i="8" s="1"/>
  <c r="H1882" i="8" s="1"/>
  <c r="F1838" i="8"/>
  <c r="G1838" i="8" s="1"/>
  <c r="H1838" i="8" s="1"/>
  <c r="F1764" i="8"/>
  <c r="G1764" i="8" s="1"/>
  <c r="H1764" i="8" s="1"/>
  <c r="F1494" i="8"/>
  <c r="G1494" i="8" s="1"/>
  <c r="H1494" i="8" s="1"/>
  <c r="F201" i="8"/>
  <c r="G201" i="8" s="1"/>
  <c r="H201" i="8" s="1"/>
  <c r="F787" i="8"/>
  <c r="G787" i="8" s="1"/>
  <c r="H787" i="8" s="1"/>
  <c r="F2106" i="8"/>
  <c r="G2106" i="8" s="1"/>
  <c r="H2106" i="8" s="1"/>
  <c r="F2034" i="8"/>
  <c r="G2034" i="8" s="1"/>
  <c r="H2034" i="8" s="1"/>
  <c r="F1653" i="8"/>
  <c r="G1653" i="8" s="1"/>
  <c r="H1653" i="8" s="1"/>
  <c r="F1061" i="8"/>
  <c r="G1061" i="8" s="1"/>
  <c r="H1061" i="8" s="1"/>
  <c r="F1858" i="8"/>
  <c r="G1858" i="8" s="1"/>
  <c r="H1858" i="8" s="1"/>
  <c r="F2038" i="8"/>
  <c r="G2038" i="8" s="1"/>
  <c r="H2038" i="8" s="1"/>
  <c r="F1974" i="8"/>
  <c r="G1974" i="8" s="1"/>
  <c r="H1974" i="8" s="1"/>
  <c r="F1862" i="8"/>
  <c r="G1862" i="8" s="1"/>
  <c r="H1862" i="8" s="1"/>
  <c r="F1727" i="8"/>
  <c r="G1727" i="8" s="1"/>
  <c r="H1727" i="8" s="1"/>
  <c r="F1997" i="8"/>
  <c r="G1997" i="8" s="1"/>
  <c r="H1997" i="8" s="1"/>
  <c r="F2110" i="8"/>
  <c r="G2110" i="8" s="1"/>
  <c r="H2110" i="8" s="1"/>
  <c r="F1866" i="8"/>
  <c r="G1866" i="8" s="1"/>
  <c r="H1866" i="8" s="1"/>
  <c r="F1528" i="8"/>
  <c r="G1528" i="8" s="1"/>
  <c r="H1528" i="8" s="1"/>
  <c r="F1303" i="8"/>
  <c r="G1303" i="8" s="1"/>
  <c r="H1303" i="8" s="1"/>
  <c r="F1111" i="8"/>
  <c r="G1111" i="8" s="1"/>
  <c r="H1111" i="8" s="1"/>
  <c r="F659" i="8"/>
  <c r="G659" i="8" s="1"/>
  <c r="H659" i="8" s="1"/>
  <c r="F312" i="8"/>
  <c r="G312" i="8" s="1"/>
  <c r="H312" i="8" s="1"/>
  <c r="F1886" i="8"/>
  <c r="G1886" i="8" s="1"/>
  <c r="H1886" i="8" s="1"/>
  <c r="F674" i="8"/>
  <c r="G674" i="8" s="1"/>
  <c r="H674" i="8" s="1"/>
  <c r="F575" i="8"/>
  <c r="G575" i="8" s="1"/>
  <c r="H575" i="8" s="1"/>
  <c r="F1620" i="8"/>
  <c r="G1620" i="8" s="1"/>
  <c r="H1620" i="8" s="1"/>
  <c r="F2040" i="8"/>
  <c r="G2040" i="8" s="1"/>
  <c r="H2040" i="8" s="1"/>
  <c r="F1973" i="8"/>
  <c r="G1973" i="8" s="1"/>
  <c r="H1973" i="8" s="1"/>
  <c r="F2022" i="8"/>
  <c r="G2022" i="8" s="1"/>
  <c r="H2022" i="8" s="1"/>
  <c r="F1790" i="8"/>
  <c r="G1790" i="8" s="1"/>
  <c r="H1790" i="8" s="1"/>
  <c r="F1726" i="8"/>
  <c r="G1726" i="8" s="1"/>
  <c r="H1726" i="8" s="1"/>
  <c r="F1639" i="8"/>
  <c r="G1639" i="8" s="1"/>
  <c r="H1639" i="8" s="1"/>
  <c r="F770" i="8"/>
  <c r="G770" i="8" s="1"/>
  <c r="H770" i="8" s="1"/>
  <c r="F1902" i="8"/>
  <c r="G1902" i="8" s="1"/>
  <c r="H1902" i="8" s="1"/>
  <c r="F1823" i="8"/>
  <c r="G1823" i="8" s="1"/>
  <c r="H1823" i="8" s="1"/>
  <c r="F1802" i="8"/>
  <c r="G1802" i="8" s="1"/>
  <c r="H1802" i="8" s="1"/>
  <c r="F1784" i="8"/>
  <c r="G1784" i="8" s="1"/>
  <c r="H1784" i="8" s="1"/>
  <c r="F1400" i="8"/>
  <c r="G1400" i="8" s="1"/>
  <c r="H1400" i="8" s="1"/>
  <c r="F2058" i="8"/>
  <c r="G2058" i="8" s="1"/>
  <c r="H2058" i="8" s="1"/>
  <c r="F1948" i="8"/>
  <c r="G1948" i="8" s="1"/>
  <c r="H1948" i="8" s="1"/>
  <c r="F1936" i="8"/>
  <c r="G1936" i="8" s="1"/>
  <c r="H1936" i="8" s="1"/>
  <c r="F1868" i="8"/>
  <c r="G1868" i="8" s="1"/>
  <c r="H1868" i="8" s="1"/>
  <c r="F1699" i="8"/>
  <c r="G1699" i="8" s="1"/>
  <c r="H1699" i="8" s="1"/>
  <c r="F1464" i="8"/>
  <c r="G1464" i="8" s="1"/>
  <c r="H1464" i="8" s="1"/>
  <c r="F1058" i="8"/>
  <c r="G1058" i="8" s="1"/>
  <c r="H1058" i="8" s="1"/>
  <c r="F564" i="8"/>
  <c r="G564" i="8" s="1"/>
  <c r="H564" i="8" s="1"/>
  <c r="F526" i="8"/>
  <c r="G526" i="8" s="1"/>
  <c r="H526" i="8" s="1"/>
  <c r="F83" i="8"/>
  <c r="G83" i="8" s="1"/>
  <c r="H83" i="8" s="1"/>
  <c r="F1551" i="8"/>
  <c r="G1551" i="8" s="1"/>
  <c r="H1551" i="8" s="1"/>
  <c r="F517" i="8"/>
  <c r="G517" i="8" s="1"/>
  <c r="H517" i="8" s="1"/>
  <c r="F1638" i="8"/>
  <c r="G1638" i="8" s="1"/>
  <c r="H1638" i="8" s="1"/>
  <c r="F471" i="8"/>
  <c r="G471" i="8" s="1"/>
  <c r="H471" i="8" s="1"/>
  <c r="F642" i="8"/>
  <c r="G642" i="8" s="1"/>
  <c r="H642" i="8" s="1"/>
  <c r="F718" i="8"/>
  <c r="G718" i="8" s="1"/>
  <c r="H718" i="8" s="1"/>
  <c r="F1565" i="8"/>
  <c r="G1565" i="8" s="1"/>
  <c r="H1565" i="8" s="1"/>
  <c r="F256" i="8"/>
  <c r="G256" i="8" s="1"/>
  <c r="H256" i="8" s="1"/>
  <c r="F88" i="8"/>
  <c r="G88" i="8" s="1"/>
  <c r="H88" i="8" s="1"/>
  <c r="F1967" i="8"/>
  <c r="G1967" i="8" s="1"/>
  <c r="H1967" i="8" s="1"/>
  <c r="F1943" i="8"/>
  <c r="G1943" i="8" s="1"/>
  <c r="H1943" i="8" s="1"/>
  <c r="F1830" i="8"/>
  <c r="G1830" i="8" s="1"/>
  <c r="H1830" i="8" s="1"/>
  <c r="F1796" i="8"/>
  <c r="G1796" i="8" s="1"/>
  <c r="H1796" i="8" s="1"/>
  <c r="F1720" i="8"/>
  <c r="G1720" i="8" s="1"/>
  <c r="H1720" i="8" s="1"/>
  <c r="F1648" i="8"/>
  <c r="G1648" i="8" s="1"/>
  <c r="H1648" i="8" s="1"/>
  <c r="F1361" i="8"/>
  <c r="G1361" i="8" s="1"/>
  <c r="H1361" i="8" s="1"/>
  <c r="F2078" i="8"/>
  <c r="G2078" i="8" s="1"/>
  <c r="H2078" i="8" s="1"/>
  <c r="F1980" i="8"/>
  <c r="G1980" i="8" s="1"/>
  <c r="H1980" i="8" s="1"/>
  <c r="F1950" i="8"/>
  <c r="G1950" i="8" s="1"/>
  <c r="H1950" i="8" s="1"/>
  <c r="F1946" i="8"/>
  <c r="G1946" i="8" s="1"/>
  <c r="H1946" i="8" s="1"/>
  <c r="F1918" i="8"/>
  <c r="G1918" i="8" s="1"/>
  <c r="H1918" i="8" s="1"/>
  <c r="F1854" i="8"/>
  <c r="G1854" i="8" s="1"/>
  <c r="H1854" i="8" s="1"/>
  <c r="F1756" i="8"/>
  <c r="G1756" i="8" s="1"/>
  <c r="H1756" i="8" s="1"/>
  <c r="F1733" i="8"/>
  <c r="G1733" i="8" s="1"/>
  <c r="H1733" i="8" s="1"/>
  <c r="F1728" i="8"/>
  <c r="G1728" i="8" s="1"/>
  <c r="H1728" i="8" s="1"/>
  <c r="F1642" i="8"/>
  <c r="G1642" i="8" s="1"/>
  <c r="H1642" i="8" s="1"/>
  <c r="F1622" i="8"/>
  <c r="G1622" i="8" s="1"/>
  <c r="H1622" i="8" s="1"/>
  <c r="F1606" i="8"/>
  <c r="G1606" i="8" s="1"/>
  <c r="H1606" i="8" s="1"/>
  <c r="F1533" i="8"/>
  <c r="G1533" i="8" s="1"/>
  <c r="H1533" i="8" s="1"/>
  <c r="F1472" i="8"/>
  <c r="G1472" i="8" s="1"/>
  <c r="H1472" i="8" s="1"/>
  <c r="F1246" i="8"/>
  <c r="G1246" i="8" s="1"/>
  <c r="H1246" i="8" s="1"/>
  <c r="F1176" i="8"/>
  <c r="G1176" i="8" s="1"/>
  <c r="H1176" i="8" s="1"/>
  <c r="F1086" i="8"/>
  <c r="G1086" i="8" s="1"/>
  <c r="H1086" i="8" s="1"/>
  <c r="F969" i="8"/>
  <c r="G969" i="8" s="1"/>
  <c r="H969" i="8" s="1"/>
  <c r="F827" i="8"/>
  <c r="G827" i="8" s="1"/>
  <c r="H827" i="8" s="1"/>
  <c r="F328" i="8"/>
  <c r="G328" i="8" s="1"/>
  <c r="H328" i="8" s="1"/>
  <c r="F281" i="8"/>
  <c r="G281" i="8" s="1"/>
  <c r="H281" i="8" s="1"/>
  <c r="F134" i="8"/>
  <c r="G134" i="8" s="1"/>
  <c r="H134" i="8" s="1"/>
  <c r="F2056" i="8"/>
  <c r="G2056" i="8" s="1"/>
  <c r="H2056" i="8" s="1"/>
  <c r="F1984" i="8"/>
  <c r="G1984" i="8" s="1"/>
  <c r="H1984" i="8" s="1"/>
  <c r="F1921" i="8"/>
  <c r="G1921" i="8" s="1"/>
  <c r="H1921" i="8" s="1"/>
  <c r="F1850" i="8"/>
  <c r="G1850" i="8" s="1"/>
  <c r="H1850" i="8" s="1"/>
  <c r="F1825" i="8"/>
  <c r="G1825" i="8" s="1"/>
  <c r="H1825" i="8" s="1"/>
  <c r="F1777" i="8"/>
  <c r="G1777" i="8" s="1"/>
  <c r="H1777" i="8" s="1"/>
  <c r="F1578" i="8"/>
  <c r="G1578" i="8" s="1"/>
  <c r="H1578" i="8" s="1"/>
  <c r="F1414" i="8"/>
  <c r="G1414" i="8" s="1"/>
  <c r="H1414" i="8" s="1"/>
  <c r="F1333" i="8"/>
  <c r="G1333" i="8" s="1"/>
  <c r="H1333" i="8" s="1"/>
  <c r="F1312" i="8"/>
  <c r="G1312" i="8" s="1"/>
  <c r="H1312" i="8" s="1"/>
  <c r="F1166" i="8"/>
  <c r="G1166" i="8" s="1"/>
  <c r="H1166" i="8" s="1"/>
  <c r="F1160" i="8"/>
  <c r="G1160" i="8" s="1"/>
  <c r="H1160" i="8" s="1"/>
  <c r="F958" i="8"/>
  <c r="G958" i="8" s="1"/>
  <c r="H958" i="8" s="1"/>
  <c r="F626" i="8"/>
  <c r="G626" i="8" s="1"/>
  <c r="H626" i="8" s="1"/>
  <c r="F390" i="8"/>
  <c r="G390" i="8" s="1"/>
  <c r="H390" i="8" s="1"/>
  <c r="F118" i="8"/>
  <c r="G118" i="8" s="1"/>
  <c r="H118" i="8" s="1"/>
  <c r="F102" i="8"/>
  <c r="G102" i="8" s="1"/>
  <c r="H102" i="8" s="1"/>
  <c r="F61" i="8"/>
  <c r="G61" i="8" s="1"/>
  <c r="H61" i="8" s="1"/>
  <c r="F1564" i="8"/>
  <c r="G1564" i="8" s="1"/>
  <c r="H1564" i="8" s="1"/>
  <c r="F1550" i="8"/>
  <c r="G1550" i="8" s="1"/>
  <c r="H1550" i="8" s="1"/>
  <c r="F1474" i="8"/>
  <c r="G1474" i="8" s="1"/>
  <c r="H1474" i="8" s="1"/>
  <c r="F1418" i="8"/>
  <c r="G1418" i="8" s="1"/>
  <c r="H1418" i="8" s="1"/>
  <c r="F1398" i="8"/>
  <c r="G1398" i="8" s="1"/>
  <c r="H1398" i="8" s="1"/>
  <c r="F1368" i="8"/>
  <c r="G1368" i="8" s="1"/>
  <c r="H1368" i="8" s="1"/>
  <c r="F1345" i="8"/>
  <c r="G1345" i="8" s="1"/>
  <c r="H1345" i="8" s="1"/>
  <c r="F1254" i="8"/>
  <c r="G1254" i="8" s="1"/>
  <c r="H1254" i="8" s="1"/>
  <c r="F1244" i="8"/>
  <c r="G1244" i="8" s="1"/>
  <c r="H1244" i="8" s="1"/>
  <c r="F1163" i="8"/>
  <c r="G1163" i="8" s="1"/>
  <c r="H1163" i="8" s="1"/>
  <c r="F996" i="8"/>
  <c r="G996" i="8" s="1"/>
  <c r="H996" i="8" s="1"/>
  <c r="F971" i="8"/>
  <c r="G971" i="8" s="1"/>
  <c r="H971" i="8" s="1"/>
  <c r="F826" i="8"/>
  <c r="G826" i="8" s="1"/>
  <c r="H826" i="8" s="1"/>
  <c r="F764" i="8"/>
  <c r="G764" i="8" s="1"/>
  <c r="H764" i="8" s="1"/>
  <c r="F731" i="8"/>
  <c r="G731" i="8" s="1"/>
  <c r="H731" i="8" s="1"/>
  <c r="F716" i="8"/>
  <c r="G716" i="8" s="1"/>
  <c r="H716" i="8" s="1"/>
  <c r="F683" i="8"/>
  <c r="G683" i="8" s="1"/>
  <c r="H683" i="8" s="1"/>
  <c r="F667" i="8"/>
  <c r="G667" i="8" s="1"/>
  <c r="H667" i="8" s="1"/>
  <c r="F598" i="8"/>
  <c r="G598" i="8" s="1"/>
  <c r="H598" i="8" s="1"/>
  <c r="F442" i="8"/>
  <c r="G442" i="8" s="1"/>
  <c r="H442" i="8" s="1"/>
  <c r="F213" i="8"/>
  <c r="G213" i="8" s="1"/>
  <c r="H213" i="8" s="1"/>
  <c r="F148" i="8"/>
  <c r="G148" i="8" s="1"/>
  <c r="H148" i="8" s="1"/>
  <c r="F137" i="8"/>
  <c r="G137" i="8" s="1"/>
  <c r="H137" i="8" s="1"/>
  <c r="F122" i="8"/>
  <c r="G122" i="8" s="1"/>
  <c r="H122" i="8" s="1"/>
  <c r="F56" i="8"/>
  <c r="G56" i="8" s="1"/>
  <c r="H56" i="8" s="1"/>
  <c r="F2062" i="8"/>
  <c r="G2062" i="8" s="1"/>
  <c r="H2062" i="8" s="1"/>
  <c r="F2054" i="8"/>
  <c r="G2054" i="8" s="1"/>
  <c r="H2054" i="8" s="1"/>
  <c r="F1988" i="8"/>
  <c r="G1988" i="8" s="1"/>
  <c r="H1988" i="8" s="1"/>
  <c r="F1976" i="8"/>
  <c r="G1976" i="8" s="1"/>
  <c r="H1976" i="8" s="1"/>
  <c r="F1608" i="8"/>
  <c r="G1608" i="8" s="1"/>
  <c r="H1608" i="8" s="1"/>
  <c r="F1011" i="8"/>
  <c r="G1011" i="8" s="1"/>
  <c r="H1011" i="8" s="1"/>
  <c r="F878" i="8"/>
  <c r="G878" i="8" s="1"/>
  <c r="H878" i="8" s="1"/>
  <c r="F730" i="8"/>
  <c r="G730" i="8" s="1"/>
  <c r="H730" i="8" s="1"/>
  <c r="F715" i="8"/>
  <c r="G715" i="8" s="1"/>
  <c r="H715" i="8" s="1"/>
  <c r="F688" i="8"/>
  <c r="G688" i="8" s="1"/>
  <c r="H688" i="8" s="1"/>
  <c r="F489" i="8"/>
  <c r="G489" i="8" s="1"/>
  <c r="H489" i="8" s="1"/>
  <c r="F2108" i="8"/>
  <c r="G2108" i="8" s="1"/>
  <c r="H2108" i="8" s="1"/>
  <c r="F2066" i="8"/>
  <c r="G2066" i="8" s="1"/>
  <c r="H2066" i="8" s="1"/>
  <c r="F2036" i="8"/>
  <c r="G2036" i="8" s="1"/>
  <c r="H2036" i="8" s="1"/>
  <c r="F1964" i="8"/>
  <c r="G1964" i="8" s="1"/>
  <c r="H1964" i="8" s="1"/>
  <c r="F1941" i="8"/>
  <c r="G1941" i="8" s="1"/>
  <c r="H1941" i="8" s="1"/>
  <c r="F1904" i="8"/>
  <c r="G1904" i="8" s="1"/>
  <c r="H1904" i="8" s="1"/>
  <c r="F1878" i="8"/>
  <c r="G1878" i="8" s="1"/>
  <c r="H1878" i="8" s="1"/>
  <c r="F1874" i="8"/>
  <c r="G1874" i="8" s="1"/>
  <c r="H1874" i="8" s="1"/>
  <c r="F1820" i="8"/>
  <c r="G1820" i="8" s="1"/>
  <c r="H1820" i="8" s="1"/>
  <c r="F1750" i="8"/>
  <c r="G1750" i="8" s="1"/>
  <c r="H1750" i="8" s="1"/>
  <c r="F1692" i="8"/>
  <c r="G1692" i="8" s="1"/>
  <c r="H1692" i="8" s="1"/>
  <c r="F1654" i="8"/>
  <c r="G1654" i="8" s="1"/>
  <c r="H1654" i="8" s="1"/>
  <c r="F1646" i="8"/>
  <c r="G1646" i="8" s="1"/>
  <c r="H1646" i="8" s="1"/>
  <c r="F1599" i="8"/>
  <c r="G1599" i="8" s="1"/>
  <c r="H1599" i="8" s="1"/>
  <c r="F1573" i="8"/>
  <c r="G1573" i="8" s="1"/>
  <c r="H1573" i="8" s="1"/>
  <c r="F1465" i="8"/>
  <c r="G1465" i="8" s="1"/>
  <c r="H1465" i="8" s="1"/>
  <c r="F1372" i="8"/>
  <c r="G1372" i="8" s="1"/>
  <c r="H1372" i="8" s="1"/>
  <c r="F1296" i="8"/>
  <c r="G1296" i="8" s="1"/>
  <c r="H1296" i="8" s="1"/>
  <c r="F1074" i="8"/>
  <c r="G1074" i="8" s="1"/>
  <c r="H1074" i="8" s="1"/>
  <c r="F618" i="8"/>
  <c r="G618" i="8" s="1"/>
  <c r="H618" i="8" s="1"/>
  <c r="F607" i="8"/>
  <c r="G607" i="8" s="1"/>
  <c r="H607" i="8" s="1"/>
  <c r="F504" i="8"/>
  <c r="G504" i="8" s="1"/>
  <c r="H504" i="8" s="1"/>
  <c r="F436" i="8"/>
  <c r="G436" i="8" s="1"/>
  <c r="H436" i="8" s="1"/>
  <c r="F410" i="8"/>
  <c r="G410" i="8" s="1"/>
  <c r="H410" i="8" s="1"/>
  <c r="F380" i="8"/>
  <c r="G380" i="8" s="1"/>
  <c r="H380" i="8" s="1"/>
  <c r="F212" i="8"/>
  <c r="G212" i="8" s="1"/>
  <c r="H212" i="8" s="1"/>
  <c r="F168" i="8"/>
  <c r="G168" i="8" s="1"/>
  <c r="H168" i="8" s="1"/>
  <c r="F1898" i="8"/>
  <c r="G1898" i="8" s="1"/>
  <c r="H1898" i="8" s="1"/>
  <c r="F1806" i="8"/>
  <c r="G1806" i="8" s="1"/>
  <c r="H1806" i="8" s="1"/>
  <c r="F1729" i="8"/>
  <c r="G1729" i="8" s="1"/>
  <c r="H1729" i="8" s="1"/>
  <c r="F1495" i="8"/>
  <c r="G1495" i="8" s="1"/>
  <c r="H1495" i="8" s="1"/>
  <c r="F1366" i="8"/>
  <c r="G1366" i="8" s="1"/>
  <c r="H1366" i="8" s="1"/>
  <c r="F1247" i="8"/>
  <c r="G1247" i="8" s="1"/>
  <c r="H1247" i="8" s="1"/>
  <c r="F1172" i="8"/>
  <c r="G1172" i="8" s="1"/>
  <c r="H1172" i="8" s="1"/>
  <c r="F1078" i="8"/>
  <c r="G1078" i="8" s="1"/>
  <c r="H1078" i="8" s="1"/>
  <c r="F1069" i="8"/>
  <c r="G1069" i="8" s="1"/>
  <c r="H1069" i="8" s="1"/>
  <c r="F918" i="8"/>
  <c r="G918" i="8" s="1"/>
  <c r="H918" i="8" s="1"/>
  <c r="F773" i="8"/>
  <c r="G773" i="8" s="1"/>
  <c r="H773" i="8" s="1"/>
  <c r="F724" i="8"/>
  <c r="G724" i="8" s="1"/>
  <c r="H724" i="8" s="1"/>
  <c r="F430" i="8"/>
  <c r="G430" i="8" s="1"/>
  <c r="H430" i="8" s="1"/>
  <c r="F293" i="8"/>
  <c r="G293" i="8" s="1"/>
  <c r="H293" i="8" s="1"/>
  <c r="F120" i="8"/>
  <c r="G120" i="8" s="1"/>
  <c r="H120" i="8" s="1"/>
  <c r="F79" i="8"/>
  <c r="G79" i="8" s="1"/>
  <c r="H79" i="8" s="1"/>
  <c r="F49" i="8"/>
  <c r="G49" i="8" s="1"/>
  <c r="H49" i="8" s="1"/>
  <c r="F1640" i="8"/>
  <c r="G1640" i="8" s="1"/>
  <c r="H1640" i="8" s="1"/>
  <c r="F1616" i="8"/>
  <c r="G1616" i="8" s="1"/>
  <c r="H1616" i="8" s="1"/>
  <c r="F1586" i="8"/>
  <c r="G1586" i="8" s="1"/>
  <c r="H1586" i="8" s="1"/>
  <c r="F1576" i="8"/>
  <c r="G1576" i="8" s="1"/>
  <c r="H1576" i="8" s="1"/>
  <c r="F1567" i="8"/>
  <c r="G1567" i="8" s="1"/>
  <c r="H1567" i="8" s="1"/>
  <c r="F1548" i="8"/>
  <c r="G1548" i="8" s="1"/>
  <c r="H1548" i="8" s="1"/>
  <c r="F1526" i="8"/>
  <c r="G1526" i="8" s="1"/>
  <c r="H1526" i="8" s="1"/>
  <c r="F1490" i="8"/>
  <c r="G1490" i="8" s="1"/>
  <c r="H1490" i="8" s="1"/>
  <c r="F1435" i="8"/>
  <c r="G1435" i="8" s="1"/>
  <c r="H1435" i="8" s="1"/>
  <c r="F1382" i="8"/>
  <c r="G1382" i="8" s="1"/>
  <c r="H1382" i="8" s="1"/>
  <c r="F1200" i="8"/>
  <c r="G1200" i="8" s="1"/>
  <c r="H1200" i="8" s="1"/>
  <c r="F944" i="8"/>
  <c r="G944" i="8" s="1"/>
  <c r="H944" i="8" s="1"/>
  <c r="F882" i="8"/>
  <c r="G882" i="8" s="1"/>
  <c r="H882" i="8" s="1"/>
  <c r="F247" i="8"/>
  <c r="G247" i="8" s="1"/>
  <c r="H247" i="8" s="1"/>
  <c r="F211" i="8"/>
  <c r="G211" i="8" s="1"/>
  <c r="H211" i="8" s="1"/>
  <c r="F104" i="8"/>
  <c r="G104" i="8" s="1"/>
  <c r="H104" i="8" s="1"/>
  <c r="F1724" i="8"/>
  <c r="G1724" i="8" s="1"/>
  <c r="H1724" i="8" s="1"/>
  <c r="F1712" i="8"/>
  <c r="G1712" i="8" s="1"/>
  <c r="H1712" i="8" s="1"/>
  <c r="F1700" i="8"/>
  <c r="G1700" i="8" s="1"/>
  <c r="H1700" i="8" s="1"/>
  <c r="F1632" i="8"/>
  <c r="G1632" i="8" s="1"/>
  <c r="H1632" i="8" s="1"/>
  <c r="F1614" i="8"/>
  <c r="G1614" i="8" s="1"/>
  <c r="H1614" i="8" s="1"/>
  <c r="F1482" i="8"/>
  <c r="G1482" i="8" s="1"/>
  <c r="H1482" i="8" s="1"/>
  <c r="F1404" i="8"/>
  <c r="G1404" i="8" s="1"/>
  <c r="H1404" i="8" s="1"/>
  <c r="F1210" i="8"/>
  <c r="G1210" i="8" s="1"/>
  <c r="H1210" i="8" s="1"/>
  <c r="F1196" i="8"/>
  <c r="G1196" i="8" s="1"/>
  <c r="H1196" i="8" s="1"/>
  <c r="F1124" i="8"/>
  <c r="G1124" i="8" s="1"/>
  <c r="H1124" i="8" s="1"/>
  <c r="F1065" i="8"/>
  <c r="G1065" i="8" s="1"/>
  <c r="H1065" i="8" s="1"/>
  <c r="F1026" i="8"/>
  <c r="G1026" i="8" s="1"/>
  <c r="H1026" i="8" s="1"/>
  <c r="F952" i="8"/>
  <c r="G952" i="8" s="1"/>
  <c r="H952" i="8" s="1"/>
  <c r="F916" i="8"/>
  <c r="G916" i="8" s="1"/>
  <c r="H916" i="8" s="1"/>
  <c r="F895" i="8"/>
  <c r="G895" i="8" s="1"/>
  <c r="H895" i="8" s="1"/>
  <c r="F816" i="8"/>
  <c r="G816" i="8" s="1"/>
  <c r="H816" i="8" s="1"/>
  <c r="F796" i="8"/>
  <c r="G796" i="8" s="1"/>
  <c r="H796" i="8" s="1"/>
  <c r="F634" i="8"/>
  <c r="G634" i="8" s="1"/>
  <c r="H634" i="8" s="1"/>
  <c r="F588" i="8"/>
  <c r="G588" i="8" s="1"/>
  <c r="H588" i="8" s="1"/>
  <c r="F548" i="8"/>
  <c r="G548" i="8" s="1"/>
  <c r="H548" i="8" s="1"/>
  <c r="F384" i="8"/>
  <c r="G384" i="8" s="1"/>
  <c r="H384" i="8" s="1"/>
  <c r="F305" i="8"/>
  <c r="G305" i="8" s="1"/>
  <c r="H305" i="8" s="1"/>
  <c r="F167" i="8"/>
  <c r="G167" i="8" s="1"/>
  <c r="H167" i="8" s="1"/>
  <c r="F132" i="8"/>
  <c r="G132" i="8" s="1"/>
  <c r="H132" i="8" s="1"/>
  <c r="F53" i="8"/>
  <c r="G53" i="8" s="1"/>
  <c r="H53" i="8" s="1"/>
  <c r="F28" i="8"/>
  <c r="G28" i="8" s="1"/>
  <c r="H28" i="8" s="1"/>
  <c r="F157" i="8"/>
  <c r="G157" i="8" s="1"/>
  <c r="H157" i="8" s="1"/>
  <c r="F253" i="8"/>
  <c r="G253" i="8" s="1"/>
  <c r="H253" i="8" s="1"/>
  <c r="F248" i="8"/>
  <c r="G248" i="8" s="1"/>
  <c r="H248" i="8" s="1"/>
  <c r="F1594" i="8"/>
  <c r="G1594" i="8" s="1"/>
  <c r="H1594" i="8" s="1"/>
  <c r="F1425" i="8"/>
  <c r="G1425" i="8" s="1"/>
  <c r="H1425" i="8" s="1"/>
  <c r="F1420" i="8"/>
  <c r="G1420" i="8" s="1"/>
  <c r="H1420" i="8" s="1"/>
  <c r="F1412" i="8"/>
  <c r="G1412" i="8" s="1"/>
  <c r="H1412" i="8" s="1"/>
  <c r="F1302" i="8"/>
  <c r="G1302" i="8" s="1"/>
  <c r="H1302" i="8" s="1"/>
  <c r="F1293" i="8"/>
  <c r="G1293" i="8" s="1"/>
  <c r="H1293" i="8" s="1"/>
  <c r="F1233" i="8"/>
  <c r="G1233" i="8" s="1"/>
  <c r="H1233" i="8" s="1"/>
  <c r="F1118" i="8"/>
  <c r="G1118" i="8" s="1"/>
  <c r="H1118" i="8" s="1"/>
  <c r="F1104" i="8"/>
  <c r="G1104" i="8" s="1"/>
  <c r="H1104" i="8" s="1"/>
  <c r="F1033" i="8"/>
  <c r="G1033" i="8" s="1"/>
  <c r="H1033" i="8" s="1"/>
  <c r="F995" i="8"/>
  <c r="G995" i="8" s="1"/>
  <c r="H995" i="8" s="1"/>
  <c r="F967" i="8"/>
  <c r="G967" i="8" s="1"/>
  <c r="H967" i="8" s="1"/>
  <c r="F956" i="8"/>
  <c r="G956" i="8" s="1"/>
  <c r="H956" i="8" s="1"/>
  <c r="F931" i="8"/>
  <c r="G931" i="8" s="1"/>
  <c r="H931" i="8" s="1"/>
  <c r="F921" i="8"/>
  <c r="G921" i="8" s="1"/>
  <c r="H921" i="8" s="1"/>
  <c r="F896" i="8"/>
  <c r="G896" i="8" s="1"/>
  <c r="H896" i="8" s="1"/>
  <c r="F814" i="8"/>
  <c r="G814" i="8" s="1"/>
  <c r="H814" i="8" s="1"/>
  <c r="F630" i="8"/>
  <c r="G630" i="8" s="1"/>
  <c r="H630" i="8" s="1"/>
  <c r="F625" i="8"/>
  <c r="G625" i="8" s="1"/>
  <c r="H625" i="8" s="1"/>
  <c r="F586" i="8"/>
  <c r="G586" i="8" s="1"/>
  <c r="H586" i="8" s="1"/>
  <c r="F449" i="8"/>
  <c r="G449" i="8" s="1"/>
  <c r="H449" i="8" s="1"/>
  <c r="F444" i="8"/>
  <c r="G444" i="8" s="1"/>
  <c r="H444" i="8" s="1"/>
  <c r="F400" i="8"/>
  <c r="G400" i="8" s="1"/>
  <c r="H400" i="8" s="1"/>
  <c r="F367" i="8"/>
  <c r="G367" i="8" s="1"/>
  <c r="H367" i="8" s="1"/>
  <c r="F346" i="8"/>
  <c r="G346" i="8" s="1"/>
  <c r="H346" i="8" s="1"/>
  <c r="F341" i="8"/>
  <c r="G341" i="8" s="1"/>
  <c r="H341" i="8" s="1"/>
  <c r="F319" i="8"/>
  <c r="G319" i="8" s="1"/>
  <c r="H319" i="8" s="1"/>
  <c r="F294" i="8"/>
  <c r="G294" i="8" s="1"/>
  <c r="H294" i="8" s="1"/>
  <c r="F275" i="8"/>
  <c r="G275" i="8" s="1"/>
  <c r="H275" i="8" s="1"/>
  <c r="F131" i="8"/>
  <c r="G131" i="8" s="1"/>
  <c r="H131" i="8" s="1"/>
  <c r="F36" i="8"/>
  <c r="G36" i="8" s="1"/>
  <c r="H36" i="8" s="1"/>
  <c r="F218" i="8"/>
  <c r="G218" i="8" s="1"/>
  <c r="H218" i="8" s="1"/>
  <c r="F126" i="8"/>
  <c r="G126" i="8" s="1"/>
  <c r="H126" i="8" s="1"/>
  <c r="F46" i="8"/>
  <c r="G46" i="8" s="1"/>
  <c r="H46" i="8" s="1"/>
  <c r="F702" i="8"/>
  <c r="G702" i="8" s="1"/>
  <c r="H702" i="8" s="1"/>
  <c r="F697" i="8"/>
  <c r="G697" i="8" s="1"/>
  <c r="H697" i="8" s="1"/>
  <c r="F670" i="8"/>
  <c r="G670" i="8" s="1"/>
  <c r="H670" i="8" s="1"/>
  <c r="F453" i="8"/>
  <c r="G453" i="8" s="1"/>
  <c r="H453" i="8" s="1"/>
  <c r="F329" i="8"/>
  <c r="G329" i="8" s="1"/>
  <c r="H329" i="8" s="1"/>
  <c r="F244" i="8"/>
  <c r="G244" i="8" s="1"/>
  <c r="H244" i="8" s="1"/>
  <c r="F85" i="8"/>
  <c r="G85" i="8" s="1"/>
  <c r="H85" i="8" s="1"/>
  <c r="F81" i="8"/>
  <c r="G81" i="8" s="1"/>
  <c r="H81" i="8" s="1"/>
  <c r="F50" i="8"/>
  <c r="G50" i="8" s="1"/>
  <c r="H50" i="8" s="1"/>
  <c r="F40" i="8"/>
  <c r="G40" i="8" s="1"/>
  <c r="H40" i="8" s="1"/>
  <c r="F1428" i="8"/>
  <c r="G1428" i="8" s="1"/>
  <c r="H1428" i="8" s="1"/>
  <c r="F1323" i="8"/>
  <c r="G1323" i="8" s="1"/>
  <c r="H1323" i="8" s="1"/>
  <c r="F1278" i="8"/>
  <c r="G1278" i="8" s="1"/>
  <c r="H1278" i="8" s="1"/>
  <c r="F1260" i="8"/>
  <c r="G1260" i="8" s="1"/>
  <c r="H1260" i="8" s="1"/>
  <c r="F1250" i="8"/>
  <c r="G1250" i="8" s="1"/>
  <c r="H1250" i="8" s="1"/>
  <c r="F1083" i="8"/>
  <c r="G1083" i="8" s="1"/>
  <c r="H1083" i="8" s="1"/>
  <c r="F875" i="8"/>
  <c r="G875" i="8" s="1"/>
  <c r="H875" i="8" s="1"/>
  <c r="F846" i="8"/>
  <c r="G846" i="8" s="1"/>
  <c r="H846" i="8" s="1"/>
  <c r="F793" i="8"/>
  <c r="G793" i="8" s="1"/>
  <c r="H793" i="8" s="1"/>
  <c r="F752" i="8"/>
  <c r="G752" i="8" s="1"/>
  <c r="H752" i="8" s="1"/>
  <c r="F742" i="8"/>
  <c r="G742" i="8" s="1"/>
  <c r="H742" i="8" s="1"/>
  <c r="F675" i="8"/>
  <c r="G675" i="8" s="1"/>
  <c r="H675" i="8" s="1"/>
  <c r="F619" i="8"/>
  <c r="G619" i="8" s="1"/>
  <c r="H619" i="8" s="1"/>
  <c r="F615" i="8"/>
  <c r="G615" i="8" s="1"/>
  <c r="H615" i="8" s="1"/>
  <c r="F609" i="8"/>
  <c r="G609" i="8" s="1"/>
  <c r="H609" i="8" s="1"/>
  <c r="F535" i="8"/>
  <c r="G535" i="8" s="1"/>
  <c r="H535" i="8" s="1"/>
  <c r="F500" i="8"/>
  <c r="G500" i="8" s="1"/>
  <c r="H500" i="8" s="1"/>
  <c r="F495" i="8"/>
  <c r="G495" i="8" s="1"/>
  <c r="H495" i="8" s="1"/>
  <c r="F458" i="8"/>
  <c r="G458" i="8" s="1"/>
  <c r="H458" i="8" s="1"/>
  <c r="F404" i="8"/>
  <c r="G404" i="8" s="1"/>
  <c r="H404" i="8" s="1"/>
  <c r="F360" i="8"/>
  <c r="G360" i="8" s="1"/>
  <c r="H360" i="8" s="1"/>
  <c r="F323" i="8"/>
  <c r="G323" i="8" s="1"/>
  <c r="H323" i="8" s="1"/>
  <c r="F258" i="8"/>
  <c r="G258" i="8" s="1"/>
  <c r="H258" i="8" s="1"/>
  <c r="F217" i="8"/>
  <c r="G217" i="8" s="1"/>
  <c r="H217" i="8" s="1"/>
  <c r="F72" i="8"/>
  <c r="G72" i="8" s="1"/>
  <c r="H72" i="8" s="1"/>
  <c r="F45" i="8"/>
  <c r="G45" i="8" s="1"/>
  <c r="H45" i="8" s="1"/>
  <c r="F2048" i="8"/>
  <c r="G2048" i="8" s="1"/>
  <c r="H2048" i="8" s="1"/>
  <c r="F1925" i="8"/>
  <c r="G1925" i="8" s="1"/>
  <c r="H1925" i="8" s="1"/>
  <c r="F1631" i="8"/>
  <c r="G1631" i="8" s="1"/>
  <c r="H1631" i="8" s="1"/>
  <c r="F1989" i="8"/>
  <c r="G1989" i="8" s="1"/>
  <c r="H1989" i="8" s="1"/>
  <c r="F1845" i="8"/>
  <c r="G1845" i="8" s="1"/>
  <c r="H1845" i="8" s="1"/>
  <c r="F1030" i="8"/>
  <c r="G1030" i="8" s="1"/>
  <c r="H1030" i="8" s="1"/>
  <c r="F2074" i="8"/>
  <c r="G2074" i="8" s="1"/>
  <c r="H2074" i="8" s="1"/>
  <c r="F2002" i="8"/>
  <c r="G2002" i="8" s="1"/>
  <c r="H2002" i="8" s="1"/>
  <c r="F1797" i="8"/>
  <c r="G1797" i="8" s="1"/>
  <c r="H1797" i="8" s="1"/>
  <c r="F1572" i="8"/>
  <c r="G1572" i="8" s="1"/>
  <c r="H1572" i="8" s="1"/>
  <c r="F2116" i="8"/>
  <c r="G2116" i="8" s="1"/>
  <c r="H2116" i="8" s="1"/>
  <c r="F2044" i="8"/>
  <c r="G2044" i="8" s="1"/>
  <c r="H2044" i="8" s="1"/>
  <c r="F1749" i="8"/>
  <c r="G1749" i="8" s="1"/>
  <c r="H1749" i="8" s="1"/>
  <c r="F2082" i="8"/>
  <c r="G2082" i="8" s="1"/>
  <c r="H2082" i="8" s="1"/>
  <c r="F2010" i="8"/>
  <c r="G2010" i="8" s="1"/>
  <c r="H2010" i="8" s="1"/>
  <c r="F1328" i="8"/>
  <c r="G1328" i="8" s="1"/>
  <c r="H1328" i="8" s="1"/>
  <c r="F1378" i="8"/>
  <c r="G1378" i="8" s="1"/>
  <c r="H1378" i="8" s="1"/>
  <c r="F886" i="8"/>
  <c r="G886" i="8" s="1"/>
  <c r="H886" i="8" s="1"/>
  <c r="F1181" i="8"/>
  <c r="G1181" i="8" s="1"/>
  <c r="H1181" i="8" s="1"/>
  <c r="F1070" i="8"/>
  <c r="G1070" i="8" s="1"/>
  <c r="H1070" i="8" s="1"/>
  <c r="F1317" i="8"/>
  <c r="G1317" i="8" s="1"/>
  <c r="H1317" i="8" s="1"/>
  <c r="F1987" i="8"/>
  <c r="G1987" i="8" s="1"/>
  <c r="H1987" i="8" s="1"/>
  <c r="F1795" i="8"/>
  <c r="G1795" i="8" s="1"/>
  <c r="H1795" i="8" s="1"/>
  <c r="F24" i="8"/>
  <c r="G24" i="8" s="1"/>
  <c r="H24" i="8" s="1"/>
  <c r="F1453" i="8"/>
  <c r="G1453" i="8" s="1"/>
  <c r="H1453" i="8" s="1"/>
  <c r="F1239" i="8"/>
  <c r="G1239" i="8" s="1"/>
  <c r="H1239" i="8" s="1"/>
  <c r="F1804" i="8"/>
  <c r="G1804" i="8" s="1"/>
  <c r="H1804" i="8" s="1"/>
  <c r="F1778" i="8"/>
  <c r="G1778" i="8" s="1"/>
  <c r="H1778" i="8" s="1"/>
  <c r="F1306" i="8"/>
  <c r="G1306" i="8" s="1"/>
  <c r="H1306" i="8" s="1"/>
  <c r="F464" i="8"/>
  <c r="G464" i="8" s="1"/>
  <c r="H464" i="8" s="1"/>
  <c r="F1052" i="8"/>
  <c r="G1052" i="8" s="1"/>
  <c r="H1052" i="8" s="1"/>
  <c r="F915" i="8"/>
  <c r="G915" i="8" s="1"/>
  <c r="H915" i="8" s="1"/>
  <c r="F900" i="8"/>
  <c r="G900" i="8" s="1"/>
  <c r="H900" i="8" s="1"/>
  <c r="F682" i="8"/>
  <c r="G682" i="8" s="1"/>
  <c r="H682" i="8" s="1"/>
  <c r="F602" i="8"/>
  <c r="G602" i="8" s="1"/>
  <c r="H602" i="8" s="1"/>
  <c r="F397" i="8"/>
  <c r="G397" i="8" s="1"/>
  <c r="H397" i="8" s="1"/>
  <c r="F1706" i="8"/>
  <c r="G1706" i="8" s="1"/>
  <c r="H1706" i="8" s="1"/>
  <c r="F1521" i="8"/>
  <c r="G1521" i="8" s="1"/>
  <c r="H1521" i="8" s="1"/>
  <c r="F1309" i="8"/>
  <c r="G1309" i="8" s="1"/>
  <c r="H1309" i="8" s="1"/>
  <c r="F1271" i="8"/>
  <c r="G1271" i="8" s="1"/>
  <c r="H1271" i="8" s="1"/>
  <c r="F1263" i="8"/>
  <c r="G1263" i="8" s="1"/>
  <c r="H1263" i="8" s="1"/>
  <c r="F1113" i="8"/>
  <c r="G1113" i="8" s="1"/>
  <c r="H1113" i="8" s="1"/>
  <c r="F978" i="8"/>
  <c r="G978" i="8" s="1"/>
  <c r="H978" i="8" s="1"/>
  <c r="F1939" i="8"/>
  <c r="G1939" i="8" s="1"/>
  <c r="H1939" i="8" s="1"/>
  <c r="F1843" i="8"/>
  <c r="G1843" i="8" s="1"/>
  <c r="H1843" i="8" s="1"/>
  <c r="F1529" i="8"/>
  <c r="G1529" i="8" s="1"/>
  <c r="H1529" i="8" s="1"/>
  <c r="F1513" i="8"/>
  <c r="G1513" i="8" s="1"/>
  <c r="H1513" i="8" s="1"/>
  <c r="F1436" i="8"/>
  <c r="G1436" i="8" s="1"/>
  <c r="H1436" i="8" s="1"/>
  <c r="F1185" i="8"/>
  <c r="G1185" i="8" s="1"/>
  <c r="H1185" i="8" s="1"/>
  <c r="F611" i="8"/>
  <c r="G611" i="8" s="1"/>
  <c r="H611" i="8" s="1"/>
  <c r="F194" i="8"/>
  <c r="G194" i="8" s="1"/>
  <c r="H194" i="8" s="1"/>
  <c r="F1891" i="8"/>
  <c r="G1891" i="8" s="1"/>
  <c r="H1891" i="8" s="1"/>
  <c r="F1432" i="8"/>
  <c r="G1432" i="8" s="1"/>
  <c r="H1432" i="8" s="1"/>
  <c r="F1275" i="8"/>
  <c r="G1275" i="8" s="1"/>
  <c r="H1275" i="8" s="1"/>
  <c r="F1220" i="8"/>
  <c r="G1220" i="8" s="1"/>
  <c r="H1220" i="8" s="1"/>
  <c r="F1597" i="8"/>
  <c r="G1597" i="8" s="1"/>
  <c r="H1597" i="8" s="1"/>
  <c r="F1279" i="8"/>
  <c r="G1279" i="8" s="1"/>
  <c r="H1279" i="8" s="1"/>
  <c r="F1552" i="8"/>
  <c r="G1552" i="8" s="1"/>
  <c r="H1552" i="8" s="1"/>
  <c r="F1354" i="8"/>
  <c r="G1354" i="8" s="1"/>
  <c r="H1354" i="8" s="1"/>
  <c r="F1295" i="8"/>
  <c r="G1295" i="8" s="1"/>
  <c r="H1295" i="8" s="1"/>
  <c r="F1157" i="8"/>
  <c r="G1157" i="8" s="1"/>
  <c r="H1157" i="8" s="1"/>
  <c r="F184" i="8"/>
  <c r="G184" i="8" s="1"/>
  <c r="H184" i="8" s="1"/>
  <c r="F1068" i="8"/>
  <c r="G1068" i="8" s="1"/>
  <c r="H1068" i="8" s="1"/>
  <c r="F732" i="8"/>
  <c r="G732" i="8" s="1"/>
  <c r="H732" i="8" s="1"/>
  <c r="F679" i="8"/>
  <c r="G679" i="8" s="1"/>
  <c r="H679" i="8" s="1"/>
  <c r="F1998" i="8"/>
  <c r="G1998" i="8" s="1"/>
  <c r="H1998" i="8" s="1"/>
  <c r="F1900" i="8"/>
  <c r="G1900" i="8" s="1"/>
  <c r="H1900" i="8" s="1"/>
  <c r="F1800" i="8"/>
  <c r="G1800" i="8" s="1"/>
  <c r="H1800" i="8" s="1"/>
  <c r="F1752" i="8"/>
  <c r="G1752" i="8" s="1"/>
  <c r="H1752" i="8" s="1"/>
  <c r="F1675" i="8"/>
  <c r="G1675" i="8" s="1"/>
  <c r="H1675" i="8" s="1"/>
  <c r="F1115" i="8"/>
  <c r="G1115" i="8" s="1"/>
  <c r="H1115" i="8" s="1"/>
  <c r="F1098" i="8"/>
  <c r="G1098" i="8" s="1"/>
  <c r="H1098" i="8" s="1"/>
  <c r="F1089" i="8"/>
  <c r="G1089" i="8" s="1"/>
  <c r="H1089" i="8" s="1"/>
  <c r="F1035" i="8"/>
  <c r="G1035" i="8" s="1"/>
  <c r="H1035" i="8" s="1"/>
  <c r="F858" i="8"/>
  <c r="G858" i="8" s="1"/>
  <c r="H858" i="8" s="1"/>
  <c r="F2070" i="8"/>
  <c r="G2070" i="8" s="1"/>
  <c r="H2070" i="8" s="1"/>
  <c r="F1896" i="8"/>
  <c r="G1896" i="8" s="1"/>
  <c r="H1896" i="8" s="1"/>
  <c r="F1848" i="8"/>
  <c r="G1848" i="8" s="1"/>
  <c r="H1848" i="8" s="1"/>
  <c r="F1666" i="8"/>
  <c r="G1666" i="8" s="1"/>
  <c r="H1666" i="8" s="1"/>
  <c r="F1510" i="8"/>
  <c r="G1510" i="8" s="1"/>
  <c r="H1510" i="8" s="1"/>
  <c r="F1502" i="8"/>
  <c r="G1502" i="8" s="1"/>
  <c r="H1502" i="8" s="1"/>
  <c r="F1340" i="8"/>
  <c r="G1340" i="8" s="1"/>
  <c r="H1340" i="8" s="1"/>
  <c r="F1273" i="8"/>
  <c r="G1273" i="8" s="1"/>
  <c r="H1273" i="8" s="1"/>
  <c r="F1256" i="8"/>
  <c r="G1256" i="8" s="1"/>
  <c r="H1256" i="8" s="1"/>
  <c r="F1044" i="8"/>
  <c r="G1044" i="8" s="1"/>
  <c r="H1044" i="8" s="1"/>
  <c r="F848" i="8"/>
  <c r="G848" i="8" s="1"/>
  <c r="H848" i="8" s="1"/>
  <c r="F828" i="8"/>
  <c r="G828" i="8" s="1"/>
  <c r="H828" i="8" s="1"/>
  <c r="F822" i="8"/>
  <c r="G822" i="8" s="1"/>
  <c r="H822" i="8" s="1"/>
  <c r="F812" i="8"/>
  <c r="G812" i="8" s="1"/>
  <c r="H812" i="8" s="1"/>
  <c r="F530" i="8"/>
  <c r="G530" i="8" s="1"/>
  <c r="H530" i="8" s="1"/>
  <c r="F232" i="8"/>
  <c r="G232" i="8" s="1"/>
  <c r="H232" i="8" s="1"/>
  <c r="F204" i="8"/>
  <c r="G204" i="8" s="1"/>
  <c r="H204" i="8" s="1"/>
  <c r="F1202" i="8"/>
  <c r="G1202" i="8" s="1"/>
  <c r="H1202" i="8" s="1"/>
  <c r="F1056" i="8"/>
  <c r="G1056" i="8" s="1"/>
  <c r="H1056" i="8" s="1"/>
  <c r="F1282" i="8"/>
  <c r="G1282" i="8" s="1"/>
  <c r="H1282" i="8" s="1"/>
  <c r="F1205" i="8"/>
  <c r="G1205" i="8" s="1"/>
  <c r="H1205" i="8" s="1"/>
  <c r="F2104" i="8"/>
  <c r="G2104" i="8" s="1"/>
  <c r="H2104" i="8" s="1"/>
  <c r="F2032" i="8"/>
  <c r="G2032" i="8" s="1"/>
  <c r="H2032" i="8" s="1"/>
  <c r="F1994" i="8"/>
  <c r="G1994" i="8" s="1"/>
  <c r="H1994" i="8" s="1"/>
  <c r="F1829" i="8"/>
  <c r="G1829" i="8" s="1"/>
  <c r="H1829" i="8" s="1"/>
  <c r="F1774" i="8"/>
  <c r="G1774" i="8" s="1"/>
  <c r="H1774" i="8" s="1"/>
  <c r="F1714" i="8"/>
  <c r="G1714" i="8" s="1"/>
  <c r="H1714" i="8" s="1"/>
  <c r="F1702" i="8"/>
  <c r="G1702" i="8" s="1"/>
  <c r="H1702" i="8" s="1"/>
  <c r="F1678" i="8"/>
  <c r="G1678" i="8" s="1"/>
  <c r="H1678" i="8" s="1"/>
  <c r="F1588" i="8"/>
  <c r="G1588" i="8" s="1"/>
  <c r="H1588" i="8" s="1"/>
  <c r="F1558" i="8"/>
  <c r="G1558" i="8" s="1"/>
  <c r="H1558" i="8" s="1"/>
  <c r="F1527" i="8"/>
  <c r="G1527" i="8" s="1"/>
  <c r="H1527" i="8" s="1"/>
  <c r="F1498" i="8"/>
  <c r="G1498" i="8" s="1"/>
  <c r="H1498" i="8" s="1"/>
  <c r="F1416" i="8"/>
  <c r="G1416" i="8" s="1"/>
  <c r="H1416" i="8" s="1"/>
  <c r="F1310" i="8"/>
  <c r="G1310" i="8" s="1"/>
  <c r="H1310" i="8" s="1"/>
  <c r="F1208" i="8"/>
  <c r="G1208" i="8" s="1"/>
  <c r="H1208" i="8" s="1"/>
  <c r="F1012" i="8"/>
  <c r="G1012" i="8" s="1"/>
  <c r="H1012" i="8" s="1"/>
  <c r="F930" i="8"/>
  <c r="G930" i="8" s="1"/>
  <c r="H930" i="8" s="1"/>
  <c r="F876" i="8"/>
  <c r="G876" i="8" s="1"/>
  <c r="H876" i="8" s="1"/>
  <c r="F746" i="8"/>
  <c r="G746" i="8" s="1"/>
  <c r="H746" i="8" s="1"/>
  <c r="F706" i="8"/>
  <c r="G706" i="8" s="1"/>
  <c r="H706" i="8" s="1"/>
  <c r="F473" i="8"/>
  <c r="G473" i="8" s="1"/>
  <c r="H473" i="8" s="1"/>
  <c r="F146" i="8"/>
  <c r="G146" i="8" s="1"/>
  <c r="H146" i="8" s="1"/>
  <c r="F71" i="8"/>
  <c r="G71" i="8" s="1"/>
  <c r="H71" i="8" s="1"/>
  <c r="F1054" i="8"/>
  <c r="G1054" i="8" s="1"/>
  <c r="H1054" i="8" s="1"/>
  <c r="F994" i="8"/>
  <c r="G994" i="8" s="1"/>
  <c r="H994" i="8" s="1"/>
  <c r="F933" i="8"/>
  <c r="G933" i="8" s="1"/>
  <c r="H933" i="8" s="1"/>
  <c r="F888" i="8"/>
  <c r="G888" i="8" s="1"/>
  <c r="H888" i="8" s="1"/>
  <c r="F864" i="8"/>
  <c r="G864" i="8" s="1"/>
  <c r="H864" i="8" s="1"/>
  <c r="F825" i="8"/>
  <c r="G825" i="8" s="1"/>
  <c r="H825" i="8" s="1"/>
  <c r="F810" i="8"/>
  <c r="G810" i="8" s="1"/>
  <c r="H810" i="8" s="1"/>
  <c r="F723" i="8"/>
  <c r="G723" i="8" s="1"/>
  <c r="H723" i="8" s="1"/>
  <c r="F663" i="8"/>
  <c r="G663" i="8" s="1"/>
  <c r="H663" i="8" s="1"/>
  <c r="F658" i="8"/>
  <c r="G658" i="8" s="1"/>
  <c r="H658" i="8" s="1"/>
  <c r="F528" i="8"/>
  <c r="G528" i="8" s="1"/>
  <c r="H528" i="8" s="1"/>
  <c r="F514" i="8"/>
  <c r="G514" i="8" s="1"/>
  <c r="H514" i="8" s="1"/>
  <c r="F462" i="8"/>
  <c r="G462" i="8" s="1"/>
  <c r="H462" i="8" s="1"/>
  <c r="F318" i="8"/>
  <c r="G318" i="8" s="1"/>
  <c r="H318" i="8" s="1"/>
  <c r="F300" i="8"/>
  <c r="G300" i="8" s="1"/>
  <c r="H300" i="8" s="1"/>
  <c r="F268" i="8"/>
  <c r="G268" i="8" s="1"/>
  <c r="H268" i="8" s="1"/>
  <c r="F239" i="8"/>
  <c r="G239" i="8" s="1"/>
  <c r="H239" i="8" s="1"/>
  <c r="F195" i="8"/>
  <c r="G195" i="8" s="1"/>
  <c r="H195" i="8" s="1"/>
  <c r="F129" i="8"/>
  <c r="G129" i="8" s="1"/>
  <c r="H129" i="8" s="1"/>
  <c r="F109" i="8"/>
  <c r="G109" i="8" s="1"/>
  <c r="H109" i="8" s="1"/>
  <c r="F58" i="8"/>
  <c r="G58" i="8" s="1"/>
  <c r="H58" i="8" s="1"/>
  <c r="F27" i="8"/>
  <c r="G27" i="8" s="1"/>
  <c r="H27" i="8" s="1"/>
  <c r="F1634" i="8"/>
  <c r="G1634" i="8" s="1"/>
  <c r="H1634" i="8" s="1"/>
  <c r="F1623" i="8"/>
  <c r="G1623" i="8" s="1"/>
  <c r="H1623" i="8" s="1"/>
  <c r="F1615" i="8"/>
  <c r="G1615" i="8" s="1"/>
  <c r="H1615" i="8" s="1"/>
  <c r="F1421" i="8"/>
  <c r="G1421" i="8" s="1"/>
  <c r="H1421" i="8" s="1"/>
  <c r="F1388" i="8"/>
  <c r="G1388" i="8" s="1"/>
  <c r="H1388" i="8" s="1"/>
  <c r="F1363" i="8"/>
  <c r="G1363" i="8" s="1"/>
  <c r="H1363" i="8" s="1"/>
  <c r="F1356" i="8"/>
  <c r="G1356" i="8" s="1"/>
  <c r="H1356" i="8" s="1"/>
  <c r="F1252" i="8"/>
  <c r="G1252" i="8" s="1"/>
  <c r="H1252" i="8" s="1"/>
  <c r="F1138" i="8"/>
  <c r="G1138" i="8" s="1"/>
  <c r="H1138" i="8" s="1"/>
  <c r="F1120" i="8"/>
  <c r="G1120" i="8" s="1"/>
  <c r="H1120" i="8" s="1"/>
  <c r="F1053" i="8"/>
  <c r="G1053" i="8" s="1"/>
  <c r="H1053" i="8" s="1"/>
  <c r="F671" i="8"/>
  <c r="G671" i="8" s="1"/>
  <c r="H671" i="8" s="1"/>
  <c r="F577" i="8"/>
  <c r="G577" i="8" s="1"/>
  <c r="H577" i="8" s="1"/>
  <c r="F567" i="8"/>
  <c r="G567" i="8" s="1"/>
  <c r="H567" i="8" s="1"/>
  <c r="F499" i="8"/>
  <c r="G499" i="8" s="1"/>
  <c r="H499" i="8" s="1"/>
  <c r="F441" i="8"/>
  <c r="G441" i="8" s="1"/>
  <c r="H441" i="8" s="1"/>
  <c r="F304" i="8"/>
  <c r="G304" i="8" s="1"/>
  <c r="H304" i="8" s="1"/>
  <c r="F233" i="8"/>
  <c r="G233" i="8" s="1"/>
  <c r="H233" i="8" s="1"/>
  <c r="F1944" i="8"/>
  <c r="G1944" i="8" s="1"/>
  <c r="H1944" i="8" s="1"/>
  <c r="F1922" i="8"/>
  <c r="G1922" i="8" s="1"/>
  <c r="H1922" i="8" s="1"/>
  <c r="F1812" i="8"/>
  <c r="G1812" i="8" s="1"/>
  <c r="H1812" i="8" s="1"/>
  <c r="F1664" i="8"/>
  <c r="G1664" i="8" s="1"/>
  <c r="H1664" i="8" s="1"/>
  <c r="F1626" i="8"/>
  <c r="G1626" i="8" s="1"/>
  <c r="H1626" i="8" s="1"/>
  <c r="F1607" i="8"/>
  <c r="G1607" i="8" s="1"/>
  <c r="H1607" i="8" s="1"/>
  <c r="F1534" i="8"/>
  <c r="G1534" i="8" s="1"/>
  <c r="H1534" i="8" s="1"/>
  <c r="F1458" i="8"/>
  <c r="G1458" i="8" s="1"/>
  <c r="H1458" i="8" s="1"/>
  <c r="F1375" i="8"/>
  <c r="G1375" i="8" s="1"/>
  <c r="H1375" i="8" s="1"/>
  <c r="F1352" i="8"/>
  <c r="G1352" i="8" s="1"/>
  <c r="H1352" i="8" s="1"/>
  <c r="F1304" i="8"/>
  <c r="G1304" i="8" s="1"/>
  <c r="H1304" i="8" s="1"/>
  <c r="F1057" i="8"/>
  <c r="G1057" i="8" s="1"/>
  <c r="H1057" i="8" s="1"/>
  <c r="F988" i="8"/>
  <c r="G988" i="8" s="1"/>
  <c r="H988" i="8" s="1"/>
  <c r="F961" i="8"/>
  <c r="G961" i="8" s="1"/>
  <c r="H961" i="8" s="1"/>
  <c r="F904" i="8"/>
  <c r="G904" i="8" s="1"/>
  <c r="H904" i="8" s="1"/>
  <c r="F834" i="8"/>
  <c r="G834" i="8" s="1"/>
  <c r="H834" i="8" s="1"/>
  <c r="F808" i="8"/>
  <c r="G808" i="8" s="1"/>
  <c r="H808" i="8" s="1"/>
  <c r="F760" i="8"/>
  <c r="G760" i="8" s="1"/>
  <c r="H760" i="8" s="1"/>
  <c r="F740" i="8"/>
  <c r="G740" i="8" s="1"/>
  <c r="H740" i="8" s="1"/>
  <c r="F542" i="8"/>
  <c r="G542" i="8" s="1"/>
  <c r="H542" i="8" s="1"/>
  <c r="F537" i="8"/>
  <c r="G537" i="8" s="1"/>
  <c r="H537" i="8" s="1"/>
  <c r="F494" i="8"/>
  <c r="G494" i="8" s="1"/>
  <c r="H494" i="8" s="1"/>
  <c r="F394" i="8"/>
  <c r="G394" i="8" s="1"/>
  <c r="H394" i="8" s="1"/>
  <c r="F342" i="8"/>
  <c r="G342" i="8" s="1"/>
  <c r="H342" i="8" s="1"/>
  <c r="F185" i="8"/>
  <c r="G185" i="8" s="1"/>
  <c r="H185" i="8" s="1"/>
  <c r="F155" i="8"/>
  <c r="G155" i="8" s="1"/>
  <c r="H155" i="8" s="1"/>
  <c r="F136" i="8"/>
  <c r="G136" i="8" s="1"/>
  <c r="H136" i="8" s="1"/>
  <c r="F119" i="8"/>
  <c r="G119" i="8" s="1"/>
  <c r="H119" i="8" s="1"/>
  <c r="F1970" i="8"/>
  <c r="G1970" i="8" s="1"/>
  <c r="H1970" i="8" s="1"/>
  <c r="F1916" i="8"/>
  <c r="G1916" i="8" s="1"/>
  <c r="H1916" i="8" s="1"/>
  <c r="F1892" i="8"/>
  <c r="G1892" i="8" s="1"/>
  <c r="H1892" i="8" s="1"/>
  <c r="F1704" i="8"/>
  <c r="G1704" i="8" s="1"/>
  <c r="H1704" i="8" s="1"/>
  <c r="F1644" i="8"/>
  <c r="G1644" i="8" s="1"/>
  <c r="H1644" i="8" s="1"/>
  <c r="F1444" i="8"/>
  <c r="G1444" i="8" s="1"/>
  <c r="H1444" i="8" s="1"/>
  <c r="F1238" i="8"/>
  <c r="G1238" i="8" s="1"/>
  <c r="H1238" i="8" s="1"/>
  <c r="F1222" i="8"/>
  <c r="G1222" i="8" s="1"/>
  <c r="H1222" i="8" s="1"/>
  <c r="F1130" i="8"/>
  <c r="G1130" i="8" s="1"/>
  <c r="H1130" i="8" s="1"/>
  <c r="F1084" i="8"/>
  <c r="G1084" i="8" s="1"/>
  <c r="H1084" i="8" s="1"/>
  <c r="F1017" i="8"/>
  <c r="G1017" i="8" s="1"/>
  <c r="H1017" i="8" s="1"/>
  <c r="F1004" i="8"/>
  <c r="G1004" i="8" s="1"/>
  <c r="H1004" i="8" s="1"/>
  <c r="F898" i="8"/>
  <c r="G898" i="8" s="1"/>
  <c r="H898" i="8" s="1"/>
  <c r="F870" i="8"/>
  <c r="G870" i="8" s="1"/>
  <c r="H870" i="8" s="1"/>
  <c r="F854" i="8"/>
  <c r="G854" i="8" s="1"/>
  <c r="H854" i="8" s="1"/>
  <c r="F840" i="8"/>
  <c r="G840" i="8" s="1"/>
  <c r="H840" i="8" s="1"/>
  <c r="F824" i="8"/>
  <c r="G824" i="8" s="1"/>
  <c r="H824" i="8" s="1"/>
  <c r="F768" i="8"/>
  <c r="G768" i="8" s="1"/>
  <c r="H768" i="8" s="1"/>
  <c r="F707" i="8"/>
  <c r="G707" i="8" s="1"/>
  <c r="H707" i="8" s="1"/>
  <c r="F703" i="8"/>
  <c r="G703" i="8" s="1"/>
  <c r="H703" i="8" s="1"/>
  <c r="F631" i="8"/>
  <c r="G631" i="8" s="1"/>
  <c r="H631" i="8" s="1"/>
  <c r="F608" i="8"/>
  <c r="G608" i="8" s="1"/>
  <c r="H608" i="8" s="1"/>
  <c r="F585" i="8"/>
  <c r="G585" i="8" s="1"/>
  <c r="H585" i="8" s="1"/>
  <c r="F477" i="8"/>
  <c r="G477" i="8" s="1"/>
  <c r="H477" i="8" s="1"/>
  <c r="F460" i="8"/>
  <c r="G460" i="8" s="1"/>
  <c r="H460" i="8" s="1"/>
  <c r="F349" i="8"/>
  <c r="G349" i="8" s="1"/>
  <c r="H349" i="8" s="1"/>
  <c r="F288" i="8"/>
  <c r="G288" i="8" s="1"/>
  <c r="H288" i="8" s="1"/>
  <c r="F160" i="8"/>
  <c r="G160" i="8" s="1"/>
  <c r="H160" i="8" s="1"/>
  <c r="F143" i="8"/>
  <c r="G143" i="8" s="1"/>
  <c r="H143" i="8" s="1"/>
  <c r="F108" i="8"/>
  <c r="G108" i="8" s="1"/>
  <c r="H108" i="8" s="1"/>
  <c r="F1186" i="8"/>
  <c r="G1186" i="8" s="1"/>
  <c r="H1186" i="8" s="1"/>
  <c r="F1116" i="8"/>
  <c r="G1116" i="8" s="1"/>
  <c r="H1116" i="8" s="1"/>
  <c r="F1100" i="8"/>
  <c r="G1100" i="8" s="1"/>
  <c r="H1100" i="8" s="1"/>
  <c r="F974" i="8"/>
  <c r="G974" i="8" s="1"/>
  <c r="H974" i="8" s="1"/>
  <c r="F902" i="8"/>
  <c r="G902" i="8" s="1"/>
  <c r="H902" i="8" s="1"/>
  <c r="F795" i="8"/>
  <c r="G795" i="8" s="1"/>
  <c r="H795" i="8" s="1"/>
  <c r="F776" i="8"/>
  <c r="G776" i="8" s="1"/>
  <c r="H776" i="8" s="1"/>
  <c r="F729" i="8"/>
  <c r="G729" i="8" s="1"/>
  <c r="H729" i="8" s="1"/>
  <c r="F720" i="8"/>
  <c r="G720" i="8" s="1"/>
  <c r="H720" i="8" s="1"/>
  <c r="F358" i="8"/>
  <c r="G358" i="8" s="1"/>
  <c r="H358" i="8" s="1"/>
  <c r="F338" i="8"/>
  <c r="G338" i="8" s="1"/>
  <c r="H338" i="8" s="1"/>
  <c r="F181" i="8"/>
  <c r="G181" i="8" s="1"/>
  <c r="H181" i="8" s="1"/>
  <c r="F177" i="8"/>
  <c r="G177" i="8" s="1"/>
  <c r="H177" i="8" s="1"/>
  <c r="F164" i="8"/>
  <c r="G164" i="8" s="1"/>
  <c r="H164" i="8" s="1"/>
  <c r="F138" i="8"/>
  <c r="G138" i="8" s="1"/>
  <c r="H138" i="8" s="1"/>
  <c r="F130" i="8"/>
  <c r="G130" i="8" s="1"/>
  <c r="H130" i="8" s="1"/>
  <c r="F1108" i="8"/>
  <c r="G1108" i="8" s="1"/>
  <c r="H1108" i="8" s="1"/>
  <c r="F1092" i="8"/>
  <c r="G1092" i="8" s="1"/>
  <c r="H1092" i="8" s="1"/>
  <c r="F1080" i="8"/>
  <c r="G1080" i="8" s="1"/>
  <c r="H1080" i="8" s="1"/>
  <c r="F1031" i="8"/>
  <c r="G1031" i="8" s="1"/>
  <c r="H1031" i="8" s="1"/>
  <c r="F836" i="8"/>
  <c r="G836" i="8" s="1"/>
  <c r="H836" i="8" s="1"/>
  <c r="F766" i="8"/>
  <c r="G766" i="8" s="1"/>
  <c r="H766" i="8" s="1"/>
  <c r="F756" i="8"/>
  <c r="G756" i="8" s="1"/>
  <c r="H756" i="8" s="1"/>
  <c r="F700" i="8"/>
  <c r="G700" i="8" s="1"/>
  <c r="H700" i="8" s="1"/>
  <c r="F656" i="8"/>
  <c r="G656" i="8" s="1"/>
  <c r="H656" i="8" s="1"/>
  <c r="F452" i="8"/>
  <c r="G452" i="8" s="1"/>
  <c r="H452" i="8" s="1"/>
  <c r="F432" i="8"/>
  <c r="G432" i="8" s="1"/>
  <c r="H432" i="8" s="1"/>
  <c r="F322" i="8"/>
  <c r="G322" i="8" s="1"/>
  <c r="H322" i="8" s="1"/>
  <c r="F314" i="8"/>
  <c r="G314" i="8" s="1"/>
  <c r="H314" i="8" s="1"/>
  <c r="F254" i="8"/>
  <c r="G254" i="8" s="1"/>
  <c r="H254" i="8" s="1"/>
  <c r="F206" i="8"/>
  <c r="G206" i="8" s="1"/>
  <c r="H206" i="8" s="1"/>
  <c r="F162" i="8"/>
  <c r="G162" i="8" s="1"/>
  <c r="H162" i="8" s="1"/>
  <c r="F154" i="8"/>
  <c r="G154" i="8" s="1"/>
  <c r="H154" i="8" s="1"/>
  <c r="F89" i="8"/>
  <c r="G89" i="8" s="1"/>
  <c r="H89" i="8" s="1"/>
  <c r="F69" i="8"/>
  <c r="G69" i="8" s="1"/>
  <c r="H69" i="8" s="1"/>
  <c r="F950" i="8"/>
  <c r="G950" i="8" s="1"/>
  <c r="H950" i="8" s="1"/>
  <c r="F373" i="8"/>
  <c r="G373" i="8" s="1"/>
  <c r="H373" i="8" s="1"/>
  <c r="F354" i="8"/>
  <c r="G354" i="8" s="1"/>
  <c r="H354" i="8" s="1"/>
  <c r="F198" i="8"/>
  <c r="G198" i="8" s="1"/>
  <c r="H198" i="8" s="1"/>
  <c r="F182" i="8"/>
  <c r="G182" i="8" s="1"/>
  <c r="H182" i="8" s="1"/>
  <c r="F178" i="8"/>
  <c r="G178" i="8" s="1"/>
  <c r="H178" i="8" s="1"/>
  <c r="F117" i="8"/>
  <c r="G117" i="8" s="1"/>
  <c r="H117" i="8" s="1"/>
  <c r="F113" i="8"/>
  <c r="G113" i="8" s="1"/>
  <c r="H113" i="8" s="1"/>
  <c r="F947" i="8"/>
  <c r="G947" i="8" s="1"/>
  <c r="H947" i="8" s="1"/>
  <c r="F942" i="8"/>
  <c r="G942" i="8" s="1"/>
  <c r="H942" i="8" s="1"/>
  <c r="F778" i="8"/>
  <c r="G778" i="8" s="1"/>
  <c r="H778" i="8" s="1"/>
  <c r="F666" i="8"/>
  <c r="G666" i="8" s="1"/>
  <c r="H666" i="8" s="1"/>
  <c r="F644" i="8"/>
  <c r="G644" i="8" s="1"/>
  <c r="H644" i="8" s="1"/>
  <c r="F636" i="8"/>
  <c r="G636" i="8" s="1"/>
  <c r="H636" i="8" s="1"/>
  <c r="F616" i="8"/>
  <c r="G616" i="8" s="1"/>
  <c r="H616" i="8" s="1"/>
  <c r="F364" i="8"/>
  <c r="G364" i="8" s="1"/>
  <c r="H364" i="8" s="1"/>
  <c r="F153" i="8"/>
  <c r="G153" i="8" s="1"/>
  <c r="H153" i="8" s="1"/>
  <c r="F141" i="8"/>
  <c r="G141" i="8" s="1"/>
  <c r="H141" i="8" s="1"/>
  <c r="F107" i="8"/>
  <c r="G107" i="8" s="1"/>
  <c r="H107" i="8" s="1"/>
  <c r="F99" i="8"/>
  <c r="G99" i="8" s="1"/>
  <c r="H99" i="8" s="1"/>
  <c r="F34" i="8"/>
  <c r="G34" i="8" s="1"/>
  <c r="H34" i="8" s="1"/>
  <c r="F832" i="8"/>
  <c r="G832" i="8" s="1"/>
  <c r="H832" i="8" s="1"/>
  <c r="F774" i="8"/>
  <c r="G774" i="8" s="1"/>
  <c r="H774" i="8" s="1"/>
  <c r="F738" i="8"/>
  <c r="G738" i="8" s="1"/>
  <c r="H738" i="8" s="1"/>
  <c r="F712" i="8"/>
  <c r="G712" i="8" s="1"/>
  <c r="H712" i="8" s="1"/>
  <c r="F686" i="8"/>
  <c r="G686" i="8" s="1"/>
  <c r="H686" i="8" s="1"/>
  <c r="F640" i="8"/>
  <c r="G640" i="8" s="1"/>
  <c r="H640" i="8" s="1"/>
  <c r="F496" i="8"/>
  <c r="G496" i="8" s="1"/>
  <c r="H496" i="8" s="1"/>
  <c r="F488" i="8"/>
  <c r="G488" i="8" s="1"/>
  <c r="H488" i="8" s="1"/>
  <c r="F446" i="8"/>
  <c r="G446" i="8" s="1"/>
  <c r="H446" i="8" s="1"/>
  <c r="F398" i="8"/>
  <c r="G398" i="8" s="1"/>
  <c r="H398" i="8" s="1"/>
  <c r="F336" i="8"/>
  <c r="G336" i="8" s="1"/>
  <c r="H336" i="8" s="1"/>
  <c r="F236" i="8"/>
  <c r="G236" i="8" s="1"/>
  <c r="H236" i="8" s="1"/>
  <c r="F192" i="8"/>
  <c r="G192" i="8" s="1"/>
  <c r="H192" i="8" s="1"/>
  <c r="F172" i="8"/>
  <c r="G172" i="8" s="1"/>
  <c r="H172" i="8" s="1"/>
  <c r="F103" i="8"/>
  <c r="G103" i="8" s="1"/>
  <c r="H103" i="8" s="1"/>
  <c r="F95" i="8"/>
  <c r="G95" i="8" s="1"/>
  <c r="H95" i="8" s="1"/>
  <c r="F76" i="8"/>
  <c r="G76" i="8" s="1"/>
  <c r="H76" i="8" s="1"/>
  <c r="F59" i="8"/>
  <c r="G59" i="8" s="1"/>
  <c r="H59" i="8" s="1"/>
  <c r="F51" i="8"/>
  <c r="G51" i="8" s="1"/>
  <c r="H51" i="8" s="1"/>
  <c r="F38" i="8"/>
  <c r="G38" i="8" s="1"/>
  <c r="H38" i="8" s="1"/>
  <c r="F21" i="8"/>
  <c r="G21" i="8" s="1"/>
  <c r="H21" i="8" s="1"/>
  <c r="F1697" i="8"/>
  <c r="G1697" i="8" s="1"/>
  <c r="H1697" i="8" s="1"/>
  <c r="F1685" i="8"/>
  <c r="G1685" i="8" s="1"/>
  <c r="H1685" i="8" s="1"/>
  <c r="F1637" i="8"/>
  <c r="G1637" i="8" s="1"/>
  <c r="H1637" i="8" s="1"/>
  <c r="F1621" i="8"/>
  <c r="G1621" i="8" s="1"/>
  <c r="H1621" i="8" s="1"/>
  <c r="F2087" i="8"/>
  <c r="G2087" i="8" s="1"/>
  <c r="H2087" i="8" s="1"/>
  <c r="F2039" i="8"/>
  <c r="G2039" i="8" s="1"/>
  <c r="H2039" i="8" s="1"/>
  <c r="F2015" i="8"/>
  <c r="G2015" i="8" s="1"/>
  <c r="H2015" i="8" s="1"/>
  <c r="F1835" i="8"/>
  <c r="G1835" i="8" s="1"/>
  <c r="H1835" i="8" s="1"/>
  <c r="F1809" i="8"/>
  <c r="G1809" i="8" s="1"/>
  <c r="H1809" i="8" s="1"/>
  <c r="F1691" i="8"/>
  <c r="G1691" i="8" s="1"/>
  <c r="H1691" i="8" s="1"/>
  <c r="F1277" i="8"/>
  <c r="G1277" i="8" s="1"/>
  <c r="H1277" i="8" s="1"/>
  <c r="F2083" i="8"/>
  <c r="G2083" i="8" s="1"/>
  <c r="H2083" i="8" s="1"/>
  <c r="F2059" i="8"/>
  <c r="G2059" i="8" s="1"/>
  <c r="H2059" i="8" s="1"/>
  <c r="F2035" i="8"/>
  <c r="G2035" i="8" s="1"/>
  <c r="H2035" i="8" s="1"/>
  <c r="F1522" i="8"/>
  <c r="G1522" i="8" s="1"/>
  <c r="H1522" i="8" s="1"/>
  <c r="F1477" i="8"/>
  <c r="G1477" i="8" s="1"/>
  <c r="H1477" i="8" s="1"/>
  <c r="F1153" i="8"/>
  <c r="G1153" i="8" s="1"/>
  <c r="H1153" i="8" s="1"/>
  <c r="F116" i="8"/>
  <c r="G116" i="8" s="1"/>
  <c r="H116" i="8" s="1"/>
  <c r="F2079" i="8"/>
  <c r="G2079" i="8" s="1"/>
  <c r="H2079" i="8" s="1"/>
  <c r="F2031" i="8"/>
  <c r="G2031" i="8" s="1"/>
  <c r="H2031" i="8" s="1"/>
  <c r="F2007" i="8"/>
  <c r="G2007" i="8" s="1"/>
  <c r="H2007" i="8" s="1"/>
  <c r="F1875" i="8"/>
  <c r="G1875" i="8" s="1"/>
  <c r="H1875" i="8" s="1"/>
  <c r="F1827" i="8"/>
  <c r="G1827" i="8" s="1"/>
  <c r="H1827" i="8" s="1"/>
  <c r="F1673" i="8"/>
  <c r="G1673" i="8" s="1"/>
  <c r="H1673" i="8" s="1"/>
  <c r="F1659" i="8"/>
  <c r="G1659" i="8" s="1"/>
  <c r="H1659" i="8" s="1"/>
  <c r="F1532" i="8"/>
  <c r="G1532" i="8" s="1"/>
  <c r="H1532" i="8" s="1"/>
  <c r="F1499" i="8"/>
  <c r="G1499" i="8" s="1"/>
  <c r="H1499" i="8" s="1"/>
  <c r="F1487" i="8"/>
  <c r="G1487" i="8" s="1"/>
  <c r="H1487" i="8" s="1"/>
  <c r="F1203" i="8"/>
  <c r="G1203" i="8" s="1"/>
  <c r="H1203" i="8" s="1"/>
  <c r="F1179" i="8"/>
  <c r="G1179" i="8" s="1"/>
  <c r="H1179" i="8" s="1"/>
  <c r="F2113" i="8"/>
  <c r="G2113" i="8" s="1"/>
  <c r="H2113" i="8" s="1"/>
  <c r="F2065" i="8"/>
  <c r="G2065" i="8" s="1"/>
  <c r="H2065" i="8" s="1"/>
  <c r="F2041" i="8"/>
  <c r="G2041" i="8" s="1"/>
  <c r="H2041" i="8" s="1"/>
  <c r="F2017" i="8"/>
  <c r="G2017" i="8" s="1"/>
  <c r="H2017" i="8" s="1"/>
  <c r="F1981" i="8"/>
  <c r="G1981" i="8" s="1"/>
  <c r="H1981" i="8" s="1"/>
  <c r="F1933" i="8"/>
  <c r="G1933" i="8" s="1"/>
  <c r="H1933" i="8" s="1"/>
  <c r="F1885" i="8"/>
  <c r="G1885" i="8" s="1"/>
  <c r="H1885" i="8" s="1"/>
  <c r="F1837" i="8"/>
  <c r="G1837" i="8" s="1"/>
  <c r="H1837" i="8" s="1"/>
  <c r="F1789" i="8"/>
  <c r="G1789" i="8" s="1"/>
  <c r="H1789" i="8" s="1"/>
  <c r="F1741" i="8"/>
  <c r="G1741" i="8" s="1"/>
  <c r="H1741" i="8" s="1"/>
  <c r="F1669" i="8"/>
  <c r="G1669" i="8" s="1"/>
  <c r="H1669" i="8" s="1"/>
  <c r="F1619" i="8"/>
  <c r="G1619" i="8" s="1"/>
  <c r="H1619" i="8" s="1"/>
  <c r="F1540" i="8"/>
  <c r="G1540" i="8" s="1"/>
  <c r="H1540" i="8" s="1"/>
  <c r="F1509" i="8"/>
  <c r="G1509" i="8" s="1"/>
  <c r="H1509" i="8" s="1"/>
  <c r="F1460" i="8"/>
  <c r="G1460" i="8" s="1"/>
  <c r="H1460" i="8" s="1"/>
  <c r="F1374" i="8"/>
  <c r="G1374" i="8" s="1"/>
  <c r="H1374" i="8" s="1"/>
  <c r="F1359" i="8"/>
  <c r="G1359" i="8" s="1"/>
  <c r="H1359" i="8" s="1"/>
  <c r="F1242" i="8"/>
  <c r="G1242" i="8" s="1"/>
  <c r="H1242" i="8" s="1"/>
  <c r="F807" i="8"/>
  <c r="G807" i="8" s="1"/>
  <c r="H807" i="8" s="1"/>
  <c r="F1879" i="8"/>
  <c r="G1879" i="8" s="1"/>
  <c r="H1879" i="8" s="1"/>
  <c r="F1745" i="8"/>
  <c r="G1745" i="8" s="1"/>
  <c r="H1745" i="8" s="1"/>
  <c r="F1705" i="8"/>
  <c r="G1705" i="8" s="1"/>
  <c r="H1705" i="8" s="1"/>
  <c r="F1605" i="8"/>
  <c r="G1605" i="8" s="1"/>
  <c r="H1605" i="8" s="1"/>
  <c r="F1370" i="8"/>
  <c r="G1370" i="8" s="1"/>
  <c r="H1370" i="8" s="1"/>
  <c r="F1491" i="8"/>
  <c r="G1491" i="8" s="1"/>
  <c r="H1491" i="8" s="1"/>
  <c r="F1417" i="8"/>
  <c r="G1417" i="8" s="1"/>
  <c r="H1417" i="8" s="1"/>
  <c r="F1188" i="8"/>
  <c r="G1188" i="8" s="1"/>
  <c r="H1188" i="8" s="1"/>
  <c r="F2103" i="8"/>
  <c r="G2103" i="8" s="1"/>
  <c r="H2103" i="8" s="1"/>
  <c r="F2055" i="8"/>
  <c r="G2055" i="8" s="1"/>
  <c r="H2055" i="8" s="1"/>
  <c r="F1971" i="8"/>
  <c r="G1971" i="8" s="1"/>
  <c r="H1971" i="8" s="1"/>
  <c r="F1923" i="8"/>
  <c r="G1923" i="8" s="1"/>
  <c r="H1923" i="8" s="1"/>
  <c r="F1779" i="8"/>
  <c r="G1779" i="8" s="1"/>
  <c r="H1779" i="8" s="1"/>
  <c r="F1731" i="8"/>
  <c r="G1731" i="8" s="1"/>
  <c r="H1731" i="8" s="1"/>
  <c r="F1655" i="8"/>
  <c r="G1655" i="8" s="1"/>
  <c r="H1655" i="8" s="1"/>
  <c r="F1386" i="8"/>
  <c r="G1386" i="8" s="1"/>
  <c r="H1386" i="8" s="1"/>
  <c r="F1344" i="8"/>
  <c r="G1344" i="8" s="1"/>
  <c r="H1344" i="8" s="1"/>
  <c r="F2089" i="8"/>
  <c r="G2089" i="8" s="1"/>
  <c r="H2089" i="8" s="1"/>
  <c r="F2099" i="8"/>
  <c r="G2099" i="8" s="1"/>
  <c r="H2099" i="8" s="1"/>
  <c r="F2075" i="8"/>
  <c r="G2075" i="8" s="1"/>
  <c r="H2075" i="8" s="1"/>
  <c r="F2051" i="8"/>
  <c r="G2051" i="8" s="1"/>
  <c r="H2051" i="8" s="1"/>
  <c r="F2027" i="8"/>
  <c r="G2027" i="8" s="1"/>
  <c r="H2027" i="8" s="1"/>
  <c r="F2003" i="8"/>
  <c r="G2003" i="8" s="1"/>
  <c r="H2003" i="8" s="1"/>
  <c r="F1955" i="8"/>
  <c r="G1955" i="8" s="1"/>
  <c r="H1955" i="8" s="1"/>
  <c r="F1907" i="8"/>
  <c r="G1907" i="8" s="1"/>
  <c r="H1907" i="8" s="1"/>
  <c r="F1859" i="8"/>
  <c r="G1859" i="8" s="1"/>
  <c r="H1859" i="8" s="1"/>
  <c r="F1811" i="8"/>
  <c r="G1811" i="8" s="1"/>
  <c r="H1811" i="8" s="1"/>
  <c r="F1763" i="8"/>
  <c r="G1763" i="8" s="1"/>
  <c r="H1763" i="8" s="1"/>
  <c r="F1683" i="8"/>
  <c r="G1683" i="8" s="1"/>
  <c r="H1683" i="8" s="1"/>
  <c r="F1679" i="8"/>
  <c r="G1679" i="8" s="1"/>
  <c r="H1679" i="8" s="1"/>
  <c r="F1668" i="8"/>
  <c r="G1668" i="8" s="1"/>
  <c r="H1668" i="8" s="1"/>
  <c r="F1633" i="8"/>
  <c r="G1633" i="8" s="1"/>
  <c r="H1633" i="8" s="1"/>
  <c r="F1618" i="8"/>
  <c r="G1618" i="8" s="1"/>
  <c r="H1618" i="8" s="1"/>
  <c r="F1553" i="8"/>
  <c r="G1553" i="8" s="1"/>
  <c r="H1553" i="8" s="1"/>
  <c r="F1531" i="8"/>
  <c r="G1531" i="8" s="1"/>
  <c r="H1531" i="8" s="1"/>
  <c r="F1468" i="8"/>
  <c r="G1468" i="8" s="1"/>
  <c r="H1468" i="8" s="1"/>
  <c r="F1313" i="8"/>
  <c r="G1313" i="8" s="1"/>
  <c r="H1313" i="8" s="1"/>
  <c r="F1167" i="8"/>
  <c r="G1167" i="8" s="1"/>
  <c r="H1167" i="8" s="1"/>
  <c r="F1136" i="8"/>
  <c r="G1136" i="8" s="1"/>
  <c r="H1136" i="8" s="1"/>
  <c r="F1931" i="8"/>
  <c r="G1931" i="8" s="1"/>
  <c r="H1931" i="8" s="1"/>
  <c r="F2025" i="8"/>
  <c r="G2025" i="8" s="1"/>
  <c r="H2025" i="8" s="1"/>
  <c r="F1953" i="8"/>
  <c r="G1953" i="8" s="1"/>
  <c r="H1953" i="8" s="1"/>
  <c r="F1761" i="8"/>
  <c r="G1761" i="8" s="1"/>
  <c r="H1761" i="8" s="1"/>
  <c r="F1985" i="8"/>
  <c r="G1985" i="8" s="1"/>
  <c r="H1985" i="8" s="1"/>
  <c r="F1889" i="8"/>
  <c r="G1889" i="8" s="1"/>
  <c r="H1889" i="8" s="1"/>
  <c r="F1793" i="8"/>
  <c r="G1793" i="8" s="1"/>
  <c r="H1793" i="8" s="1"/>
  <c r="F1537" i="8"/>
  <c r="G1537" i="8" s="1"/>
  <c r="H1537" i="8" s="1"/>
  <c r="F1719" i="8"/>
  <c r="G1719" i="8" s="1"/>
  <c r="H1719" i="8" s="1"/>
  <c r="F1951" i="8"/>
  <c r="G1951" i="8" s="1"/>
  <c r="H1951" i="8" s="1"/>
  <c r="F1881" i="8"/>
  <c r="G1881" i="8" s="1"/>
  <c r="H1881" i="8" s="1"/>
  <c r="F2071" i="8"/>
  <c r="G2071" i="8" s="1"/>
  <c r="H2071" i="8" s="1"/>
  <c r="F2047" i="8"/>
  <c r="G2047" i="8" s="1"/>
  <c r="H2047" i="8" s="1"/>
  <c r="F2023" i="8"/>
  <c r="G2023" i="8" s="1"/>
  <c r="H2023" i="8" s="1"/>
  <c r="F1581" i="8"/>
  <c r="G1581" i="8" s="1"/>
  <c r="H1581" i="8" s="1"/>
  <c r="F1505" i="8"/>
  <c r="G1505" i="8" s="1"/>
  <c r="H1505" i="8" s="1"/>
  <c r="F1455" i="8"/>
  <c r="G1455" i="8" s="1"/>
  <c r="H1455" i="8" s="1"/>
  <c r="F1143" i="8"/>
  <c r="G1143" i="8" s="1"/>
  <c r="H1143" i="8" s="1"/>
  <c r="F2057" i="8"/>
  <c r="G2057" i="8" s="1"/>
  <c r="H2057" i="8" s="1"/>
  <c r="F2033" i="8"/>
  <c r="G2033" i="8" s="1"/>
  <c r="H2033" i="8" s="1"/>
  <c r="F1935" i="8"/>
  <c r="G1935" i="8" s="1"/>
  <c r="H1935" i="8" s="1"/>
  <c r="F1887" i="8"/>
  <c r="G1887" i="8" s="1"/>
  <c r="H1887" i="8" s="1"/>
  <c r="F1743" i="8"/>
  <c r="G1743" i="8" s="1"/>
  <c r="H1743" i="8" s="1"/>
  <c r="F1717" i="8"/>
  <c r="G1717" i="8" s="1"/>
  <c r="H1717" i="8" s="1"/>
  <c r="F1545" i="8"/>
  <c r="G1545" i="8" s="1"/>
  <c r="H1545" i="8" s="1"/>
  <c r="F1450" i="8"/>
  <c r="G1450" i="8" s="1"/>
  <c r="H1450" i="8" s="1"/>
  <c r="F1393" i="8"/>
  <c r="G1393" i="8" s="1"/>
  <c r="H1393" i="8" s="1"/>
  <c r="F1298" i="8"/>
  <c r="G1298" i="8" s="1"/>
  <c r="H1298" i="8" s="1"/>
  <c r="F1290" i="8"/>
  <c r="G1290" i="8" s="1"/>
  <c r="H1290" i="8" s="1"/>
  <c r="F1206" i="8"/>
  <c r="G1206" i="8" s="1"/>
  <c r="H1206" i="8" s="1"/>
  <c r="F1201" i="8"/>
  <c r="G1201" i="8" s="1"/>
  <c r="H1201" i="8" s="1"/>
  <c r="F1177" i="8"/>
  <c r="G1177" i="8" s="1"/>
  <c r="H1177" i="8" s="1"/>
  <c r="F1087" i="8"/>
  <c r="G1087" i="8" s="1"/>
  <c r="H1087" i="8" s="1"/>
  <c r="F986" i="8"/>
  <c r="G986" i="8" s="1"/>
  <c r="H986" i="8" s="1"/>
  <c r="F894" i="8"/>
  <c r="G894" i="8" s="1"/>
  <c r="H894" i="8" s="1"/>
  <c r="F1979" i="8"/>
  <c r="G1979" i="8" s="1"/>
  <c r="H1979" i="8" s="1"/>
  <c r="F1883" i="8"/>
  <c r="G1883" i="8" s="1"/>
  <c r="H1883" i="8" s="1"/>
  <c r="F1787" i="8"/>
  <c r="G1787" i="8" s="1"/>
  <c r="H1787" i="8" s="1"/>
  <c r="F1739" i="8"/>
  <c r="G1739" i="8" s="1"/>
  <c r="H1739" i="8" s="1"/>
  <c r="F1613" i="8"/>
  <c r="G1613" i="8" s="1"/>
  <c r="H1613" i="8" s="1"/>
  <c r="F1609" i="8"/>
  <c r="G1609" i="8" s="1"/>
  <c r="H1609" i="8" s="1"/>
  <c r="F1563" i="8"/>
  <c r="G1563" i="8" s="1"/>
  <c r="H1563" i="8" s="1"/>
  <c r="F1515" i="8"/>
  <c r="G1515" i="8" s="1"/>
  <c r="H1515" i="8" s="1"/>
  <c r="F1442" i="8"/>
  <c r="G1442" i="8" s="1"/>
  <c r="H1442" i="8" s="1"/>
  <c r="F1371" i="8"/>
  <c r="G1371" i="8" s="1"/>
  <c r="H1371" i="8" s="1"/>
  <c r="F1034" i="8"/>
  <c r="G1034" i="8" s="1"/>
  <c r="H1034" i="8" s="1"/>
  <c r="F863" i="8"/>
  <c r="G863" i="8" s="1"/>
  <c r="H863" i="8" s="1"/>
  <c r="F859" i="8"/>
  <c r="G859" i="8" s="1"/>
  <c r="H859" i="8" s="1"/>
  <c r="F2097" i="8"/>
  <c r="G2097" i="8" s="1"/>
  <c r="H2097" i="8" s="1"/>
  <c r="F2001" i="8"/>
  <c r="G2001" i="8" s="1"/>
  <c r="H2001" i="8" s="1"/>
  <c r="F1975" i="8"/>
  <c r="G1975" i="8" s="1"/>
  <c r="H1975" i="8" s="1"/>
  <c r="F1927" i="8"/>
  <c r="G1927" i="8" s="1"/>
  <c r="H1927" i="8" s="1"/>
  <c r="F1905" i="8"/>
  <c r="G1905" i="8" s="1"/>
  <c r="H1905" i="8" s="1"/>
  <c r="F1857" i="8"/>
  <c r="G1857" i="8" s="1"/>
  <c r="H1857" i="8" s="1"/>
  <c r="F1831" i="8"/>
  <c r="G1831" i="8" s="1"/>
  <c r="H1831" i="8" s="1"/>
  <c r="F1783" i="8"/>
  <c r="G1783" i="8" s="1"/>
  <c r="H1783" i="8" s="1"/>
  <c r="F1735" i="8"/>
  <c r="G1735" i="8" s="1"/>
  <c r="H1735" i="8" s="1"/>
  <c r="F1695" i="8"/>
  <c r="G1695" i="8" s="1"/>
  <c r="H1695" i="8" s="1"/>
  <c r="F1473" i="8"/>
  <c r="G1473" i="8" s="1"/>
  <c r="H1473" i="8" s="1"/>
  <c r="F1430" i="8"/>
  <c r="G1430" i="8" s="1"/>
  <c r="H1430" i="8" s="1"/>
  <c r="F1396" i="8"/>
  <c r="G1396" i="8" s="1"/>
  <c r="H1396" i="8" s="1"/>
  <c r="F1341" i="8"/>
  <c r="G1341" i="8" s="1"/>
  <c r="H1341" i="8" s="1"/>
  <c r="F1236" i="8"/>
  <c r="G1236" i="8" s="1"/>
  <c r="H1236" i="8" s="1"/>
  <c r="F1209" i="8"/>
  <c r="G1209" i="8" s="1"/>
  <c r="H1209" i="8" s="1"/>
  <c r="F1114" i="8"/>
  <c r="G1114" i="8" s="1"/>
  <c r="H1114" i="8" s="1"/>
  <c r="F1090" i="8"/>
  <c r="G1090" i="8" s="1"/>
  <c r="H1090" i="8" s="1"/>
  <c r="F1082" i="8"/>
  <c r="G1082" i="8" s="1"/>
  <c r="H1082" i="8" s="1"/>
  <c r="F791" i="8"/>
  <c r="G791" i="8" s="1"/>
  <c r="H791" i="8" s="1"/>
  <c r="F735" i="8"/>
  <c r="G735" i="8" s="1"/>
  <c r="H735" i="8" s="1"/>
  <c r="F2107" i="8"/>
  <c r="G2107" i="8" s="1"/>
  <c r="H2107" i="8" s="1"/>
  <c r="F2011" i="8"/>
  <c r="G2011" i="8" s="1"/>
  <c r="H2011" i="8" s="1"/>
  <c r="F1649" i="8"/>
  <c r="G1649" i="8" s="1"/>
  <c r="H1649" i="8" s="1"/>
  <c r="F1575" i="8"/>
  <c r="G1575" i="8" s="1"/>
  <c r="H1575" i="8" s="1"/>
  <c r="F1507" i="8"/>
  <c r="G1507" i="8" s="1"/>
  <c r="H1507" i="8" s="1"/>
  <c r="F1403" i="8"/>
  <c r="G1403" i="8" s="1"/>
  <c r="H1403" i="8" s="1"/>
  <c r="F1285" i="8"/>
  <c r="G1285" i="8" s="1"/>
  <c r="H1285" i="8" s="1"/>
  <c r="F1075" i="8"/>
  <c r="G1075" i="8" s="1"/>
  <c r="H1075" i="8" s="1"/>
  <c r="F771" i="8"/>
  <c r="G771" i="8" s="1"/>
  <c r="H771" i="8" s="1"/>
  <c r="F739" i="8"/>
  <c r="G739" i="8" s="1"/>
  <c r="H739" i="8" s="1"/>
  <c r="F94" i="8"/>
  <c r="G94" i="8" s="1"/>
  <c r="H94" i="8" s="1"/>
  <c r="F2045" i="8"/>
  <c r="G2045" i="8" s="1"/>
  <c r="H2045" i="8" s="1"/>
  <c r="F2021" i="8"/>
  <c r="G2021" i="8" s="1"/>
  <c r="H2021" i="8" s="1"/>
  <c r="F1911" i="8"/>
  <c r="G1911" i="8" s="1"/>
  <c r="H1911" i="8" s="1"/>
  <c r="F1715" i="8"/>
  <c r="G1715" i="8" s="1"/>
  <c r="H1715" i="8" s="1"/>
  <c r="F1627" i="8"/>
  <c r="G1627" i="8" s="1"/>
  <c r="H1627" i="8" s="1"/>
  <c r="F1579" i="8"/>
  <c r="G1579" i="8" s="1"/>
  <c r="H1579" i="8" s="1"/>
  <c r="F2037" i="8"/>
  <c r="G2037" i="8" s="1"/>
  <c r="H2037" i="8" s="1"/>
  <c r="F2013" i="8"/>
  <c r="G2013" i="8" s="1"/>
  <c r="H2013" i="8" s="1"/>
  <c r="F1999" i="8"/>
  <c r="G1999" i="8" s="1"/>
  <c r="H1999" i="8" s="1"/>
  <c r="F1977" i="8"/>
  <c r="G1977" i="8" s="1"/>
  <c r="H1977" i="8" s="1"/>
  <c r="F1929" i="8"/>
  <c r="G1929" i="8" s="1"/>
  <c r="H1929" i="8" s="1"/>
  <c r="F1855" i="8"/>
  <c r="G1855" i="8" s="1"/>
  <c r="H1855" i="8" s="1"/>
  <c r="F1833" i="8"/>
  <c r="G1833" i="8" s="1"/>
  <c r="H1833" i="8" s="1"/>
  <c r="F1807" i="8"/>
  <c r="G1807" i="8" s="1"/>
  <c r="H1807" i="8" s="1"/>
  <c r="F1785" i="8"/>
  <c r="G1785" i="8" s="1"/>
  <c r="H1785" i="8" s="1"/>
  <c r="F1737" i="8"/>
  <c r="G1737" i="8" s="1"/>
  <c r="H1737" i="8" s="1"/>
  <c r="F1693" i="8"/>
  <c r="G1693" i="8" s="1"/>
  <c r="H1693" i="8" s="1"/>
  <c r="F1611" i="8"/>
  <c r="G1611" i="8" s="1"/>
  <c r="H1611" i="8" s="1"/>
  <c r="F1546" i="8"/>
  <c r="G1546" i="8" s="1"/>
  <c r="H1546" i="8" s="1"/>
  <c r="F1535" i="8"/>
  <c r="G1535" i="8" s="1"/>
  <c r="H1535" i="8" s="1"/>
  <c r="F1525" i="8"/>
  <c r="G1525" i="8" s="1"/>
  <c r="H1525" i="8" s="1"/>
  <c r="F1405" i="8"/>
  <c r="G1405" i="8" s="1"/>
  <c r="H1405" i="8" s="1"/>
  <c r="F1373" i="8"/>
  <c r="G1373" i="8" s="1"/>
  <c r="H1373" i="8" s="1"/>
  <c r="F1332" i="8"/>
  <c r="G1332" i="8" s="1"/>
  <c r="H1332" i="8" s="1"/>
  <c r="F1234" i="8"/>
  <c r="G1234" i="8" s="1"/>
  <c r="H1234" i="8" s="1"/>
  <c r="F1215" i="8"/>
  <c r="G1215" i="8" s="1"/>
  <c r="H1215" i="8" s="1"/>
  <c r="F1191" i="8"/>
  <c r="G1191" i="8" s="1"/>
  <c r="H1191" i="8" s="1"/>
  <c r="F979" i="8"/>
  <c r="G979" i="8" s="1"/>
  <c r="H979" i="8" s="1"/>
  <c r="F923" i="8"/>
  <c r="G923" i="8" s="1"/>
  <c r="H923" i="8" s="1"/>
  <c r="F651" i="8"/>
  <c r="G651" i="8" s="1"/>
  <c r="H651" i="8" s="1"/>
  <c r="F1961" i="8"/>
  <c r="G1961" i="8" s="1"/>
  <c r="H1961" i="8" s="1"/>
  <c r="F1913" i="8"/>
  <c r="G1913" i="8" s="1"/>
  <c r="H1913" i="8" s="1"/>
  <c r="F1865" i="8"/>
  <c r="G1865" i="8" s="1"/>
  <c r="H1865" i="8" s="1"/>
  <c r="F1817" i="8"/>
  <c r="G1817" i="8" s="1"/>
  <c r="H1817" i="8" s="1"/>
  <c r="F1769" i="8"/>
  <c r="G1769" i="8" s="1"/>
  <c r="H1769" i="8" s="1"/>
  <c r="F1721" i="8"/>
  <c r="G1721" i="8" s="1"/>
  <c r="H1721" i="8" s="1"/>
  <c r="F1707" i="8"/>
  <c r="G1707" i="8" s="1"/>
  <c r="H1707" i="8" s="1"/>
  <c r="F1703" i="8"/>
  <c r="G1703" i="8" s="1"/>
  <c r="H1703" i="8" s="1"/>
  <c r="F1643" i="8"/>
  <c r="G1643" i="8" s="1"/>
  <c r="H1643" i="8" s="1"/>
  <c r="F1629" i="8"/>
  <c r="G1629" i="8" s="1"/>
  <c r="H1629" i="8" s="1"/>
  <c r="F1625" i="8"/>
  <c r="G1625" i="8" s="1"/>
  <c r="H1625" i="8" s="1"/>
  <c r="F1439" i="8"/>
  <c r="G1439" i="8" s="1"/>
  <c r="H1439" i="8" s="1"/>
  <c r="F1389" i="8"/>
  <c r="G1389" i="8" s="1"/>
  <c r="H1389" i="8" s="1"/>
  <c r="F939" i="8"/>
  <c r="G939" i="8" s="1"/>
  <c r="H939" i="8" s="1"/>
  <c r="F2105" i="8"/>
  <c r="G2105" i="8" s="1"/>
  <c r="H2105" i="8" s="1"/>
  <c r="F2081" i="8"/>
  <c r="G2081" i="8" s="1"/>
  <c r="H2081" i="8" s="1"/>
  <c r="F2009" i="8"/>
  <c r="G2009" i="8" s="1"/>
  <c r="H2009" i="8" s="1"/>
  <c r="F1983" i="8"/>
  <c r="G1983" i="8" s="1"/>
  <c r="H1983" i="8" s="1"/>
  <c r="F1839" i="8"/>
  <c r="G1839" i="8" s="1"/>
  <c r="H1839" i="8" s="1"/>
  <c r="F1791" i="8"/>
  <c r="G1791" i="8" s="1"/>
  <c r="H1791" i="8" s="1"/>
  <c r="F1661" i="8"/>
  <c r="G1661" i="8" s="1"/>
  <c r="H1661" i="8" s="1"/>
  <c r="F1647" i="8"/>
  <c r="G1647" i="8" s="1"/>
  <c r="H1647" i="8" s="1"/>
  <c r="F1603" i="8"/>
  <c r="G1603" i="8" s="1"/>
  <c r="H1603" i="8" s="1"/>
  <c r="F1556" i="8"/>
  <c r="G1556" i="8" s="1"/>
  <c r="H1556" i="8" s="1"/>
  <c r="F1485" i="8"/>
  <c r="G1485" i="8" s="1"/>
  <c r="H1485" i="8" s="1"/>
  <c r="F1481" i="8"/>
  <c r="G1481" i="8" s="1"/>
  <c r="H1481" i="8" s="1"/>
  <c r="F2115" i="8"/>
  <c r="G2115" i="8" s="1"/>
  <c r="H2115" i="8" s="1"/>
  <c r="F2091" i="8"/>
  <c r="G2091" i="8" s="1"/>
  <c r="H2091" i="8" s="1"/>
  <c r="F2067" i="8"/>
  <c r="G2067" i="8" s="1"/>
  <c r="H2067" i="8" s="1"/>
  <c r="F2043" i="8"/>
  <c r="G2043" i="8" s="1"/>
  <c r="H2043" i="8" s="1"/>
  <c r="F2019" i="8"/>
  <c r="G2019" i="8" s="1"/>
  <c r="H2019" i="8" s="1"/>
  <c r="F1995" i="8"/>
  <c r="G1995" i="8" s="1"/>
  <c r="H1995" i="8" s="1"/>
  <c r="F1947" i="8"/>
  <c r="G1947" i="8" s="1"/>
  <c r="H1947" i="8" s="1"/>
  <c r="F1899" i="8"/>
  <c r="G1899" i="8" s="1"/>
  <c r="H1899" i="8" s="1"/>
  <c r="F1851" i="8"/>
  <c r="G1851" i="8" s="1"/>
  <c r="H1851" i="8" s="1"/>
  <c r="F1803" i="8"/>
  <c r="G1803" i="8" s="1"/>
  <c r="H1803" i="8" s="1"/>
  <c r="F1755" i="8"/>
  <c r="G1755" i="8" s="1"/>
  <c r="H1755" i="8" s="1"/>
  <c r="F1716" i="8"/>
  <c r="G1716" i="8" s="1"/>
  <c r="H1716" i="8" s="1"/>
  <c r="F1657" i="8"/>
  <c r="G1657" i="8" s="1"/>
  <c r="H1657" i="8" s="1"/>
  <c r="F1617" i="8"/>
  <c r="G1617" i="8" s="1"/>
  <c r="H1617" i="8" s="1"/>
  <c r="F1602" i="8"/>
  <c r="G1602" i="8" s="1"/>
  <c r="H1602" i="8" s="1"/>
  <c r="F1591" i="8"/>
  <c r="G1591" i="8" s="1"/>
  <c r="H1591" i="8" s="1"/>
  <c r="F1570" i="8"/>
  <c r="G1570" i="8" s="1"/>
  <c r="H1570" i="8" s="1"/>
  <c r="F1559" i="8"/>
  <c r="G1559" i="8" s="1"/>
  <c r="H1559" i="8" s="1"/>
  <c r="F1504" i="8"/>
  <c r="G1504" i="8" s="1"/>
  <c r="H1504" i="8" s="1"/>
  <c r="F1470" i="8"/>
  <c r="G1470" i="8" s="1"/>
  <c r="H1470" i="8" s="1"/>
  <c r="F1463" i="8"/>
  <c r="G1463" i="8" s="1"/>
  <c r="H1463" i="8" s="1"/>
  <c r="F1377" i="8"/>
  <c r="G1377" i="8" s="1"/>
  <c r="H1377" i="8" s="1"/>
  <c r="F1350" i="8"/>
  <c r="G1350" i="8" s="1"/>
  <c r="H1350" i="8" s="1"/>
  <c r="F1320" i="8"/>
  <c r="G1320" i="8" s="1"/>
  <c r="H1320" i="8" s="1"/>
  <c r="F1316" i="8"/>
  <c r="G1316" i="8" s="1"/>
  <c r="H1316" i="8" s="1"/>
  <c r="F1123" i="8"/>
  <c r="G1123" i="8" s="1"/>
  <c r="H1123" i="8" s="1"/>
  <c r="F1119" i="8"/>
  <c r="G1119" i="8" s="1"/>
  <c r="H1119" i="8" s="1"/>
  <c r="F1103" i="8"/>
  <c r="G1103" i="8" s="1"/>
  <c r="H1103" i="8" s="1"/>
  <c r="F856" i="8"/>
  <c r="G856" i="8" s="1"/>
  <c r="H856" i="8" s="1"/>
  <c r="F668" i="8"/>
  <c r="G668" i="8" s="1"/>
  <c r="H668" i="8" s="1"/>
  <c r="F521" i="8"/>
  <c r="G521" i="8" s="1"/>
  <c r="H521" i="8" s="1"/>
  <c r="F2111" i="8"/>
  <c r="G2111" i="8" s="1"/>
  <c r="H2111" i="8" s="1"/>
  <c r="F2063" i="8"/>
  <c r="G2063" i="8" s="1"/>
  <c r="H2063" i="8" s="1"/>
  <c r="F1681" i="8"/>
  <c r="G1681" i="8" s="1"/>
  <c r="H1681" i="8" s="1"/>
  <c r="F2073" i="8"/>
  <c r="G2073" i="8" s="1"/>
  <c r="H2073" i="8" s="1"/>
  <c r="F2049" i="8"/>
  <c r="G2049" i="8" s="1"/>
  <c r="H2049" i="8" s="1"/>
  <c r="F1709" i="8"/>
  <c r="G1709" i="8" s="1"/>
  <c r="H1709" i="8" s="1"/>
  <c r="F1635" i="8"/>
  <c r="G1635" i="8" s="1"/>
  <c r="H1635" i="8" s="1"/>
  <c r="F1937" i="8"/>
  <c r="G1937" i="8" s="1"/>
  <c r="H1937" i="8" s="1"/>
  <c r="F1841" i="8"/>
  <c r="G1841" i="8" s="1"/>
  <c r="H1841" i="8" s="1"/>
  <c r="F1601" i="8"/>
  <c r="G1601" i="8" s="1"/>
  <c r="H1601" i="8" s="1"/>
  <c r="F2093" i="8"/>
  <c r="G2093" i="8" s="1"/>
  <c r="H2093" i="8" s="1"/>
  <c r="F2069" i="8"/>
  <c r="G2069" i="8" s="1"/>
  <c r="H2069" i="8" s="1"/>
  <c r="F1959" i="8"/>
  <c r="G1959" i="8" s="1"/>
  <c r="H1959" i="8" s="1"/>
  <c r="F1863" i="8"/>
  <c r="G1863" i="8" s="1"/>
  <c r="H1863" i="8" s="1"/>
  <c r="F1815" i="8"/>
  <c r="G1815" i="8" s="1"/>
  <c r="H1815" i="8" s="1"/>
  <c r="F1767" i="8"/>
  <c r="G1767" i="8" s="1"/>
  <c r="H1767" i="8" s="1"/>
  <c r="F1645" i="8"/>
  <c r="G1645" i="8" s="1"/>
  <c r="H1645" i="8" s="1"/>
  <c r="F2109" i="8"/>
  <c r="G2109" i="8" s="1"/>
  <c r="H2109" i="8" s="1"/>
  <c r="F2085" i="8"/>
  <c r="G2085" i="8" s="1"/>
  <c r="H2085" i="8" s="1"/>
  <c r="F2061" i="8"/>
  <c r="G2061" i="8" s="1"/>
  <c r="H2061" i="8" s="1"/>
  <c r="F1903" i="8"/>
  <c r="G1903" i="8" s="1"/>
  <c r="H1903" i="8" s="1"/>
  <c r="F1759" i="8"/>
  <c r="G1759" i="8" s="1"/>
  <c r="H1759" i="8" s="1"/>
  <c r="F2095" i="8"/>
  <c r="G2095" i="8" s="1"/>
  <c r="H2095" i="8" s="1"/>
  <c r="F2101" i="8"/>
  <c r="G2101" i="8" s="1"/>
  <c r="H2101" i="8" s="1"/>
  <c r="F2077" i="8"/>
  <c r="G2077" i="8" s="1"/>
  <c r="H2077" i="8" s="1"/>
  <c r="F2053" i="8"/>
  <c r="G2053" i="8" s="1"/>
  <c r="H2053" i="8" s="1"/>
  <c r="F2029" i="8"/>
  <c r="G2029" i="8" s="1"/>
  <c r="H2029" i="8" s="1"/>
  <c r="F2005" i="8"/>
  <c r="G2005" i="8" s="1"/>
  <c r="H2005" i="8" s="1"/>
  <c r="F1972" i="8"/>
  <c r="G1972" i="8" s="1"/>
  <c r="H1972" i="8" s="1"/>
  <c r="F1963" i="8"/>
  <c r="G1963" i="8" s="1"/>
  <c r="H1963" i="8" s="1"/>
  <c r="F1957" i="8"/>
  <c r="G1957" i="8" s="1"/>
  <c r="H1957" i="8" s="1"/>
  <c r="F1924" i="8"/>
  <c r="G1924" i="8" s="1"/>
  <c r="H1924" i="8" s="1"/>
  <c r="F1915" i="8"/>
  <c r="G1915" i="8" s="1"/>
  <c r="H1915" i="8" s="1"/>
  <c r="F1909" i="8"/>
  <c r="G1909" i="8" s="1"/>
  <c r="H1909" i="8" s="1"/>
  <c r="F1876" i="8"/>
  <c r="G1876" i="8" s="1"/>
  <c r="H1876" i="8" s="1"/>
  <c r="F1867" i="8"/>
  <c r="G1867" i="8" s="1"/>
  <c r="H1867" i="8" s="1"/>
  <c r="F1861" i="8"/>
  <c r="G1861" i="8" s="1"/>
  <c r="H1861" i="8" s="1"/>
  <c r="F1828" i="8"/>
  <c r="G1828" i="8" s="1"/>
  <c r="H1828" i="8" s="1"/>
  <c r="F1819" i="8"/>
  <c r="G1819" i="8" s="1"/>
  <c r="H1819" i="8" s="1"/>
  <c r="F1813" i="8"/>
  <c r="G1813" i="8" s="1"/>
  <c r="H1813" i="8" s="1"/>
  <c r="F1780" i="8"/>
  <c r="G1780" i="8" s="1"/>
  <c r="H1780" i="8" s="1"/>
  <c r="F1771" i="8"/>
  <c r="G1771" i="8" s="1"/>
  <c r="H1771" i="8" s="1"/>
  <c r="F1765" i="8"/>
  <c r="G1765" i="8" s="1"/>
  <c r="H1765" i="8" s="1"/>
  <c r="F1732" i="8"/>
  <c r="G1732" i="8" s="1"/>
  <c r="H1732" i="8" s="1"/>
  <c r="F1723" i="8"/>
  <c r="G1723" i="8" s="1"/>
  <c r="H1723" i="8" s="1"/>
  <c r="F1671" i="8"/>
  <c r="G1671" i="8" s="1"/>
  <c r="H1671" i="8" s="1"/>
  <c r="F1667" i="8"/>
  <c r="G1667" i="8" s="1"/>
  <c r="H1667" i="8" s="1"/>
  <c r="F1656" i="8"/>
  <c r="G1656" i="8" s="1"/>
  <c r="H1656" i="8" s="1"/>
  <c r="F1595" i="8"/>
  <c r="G1595" i="8" s="1"/>
  <c r="H1595" i="8" s="1"/>
  <c r="F1585" i="8"/>
  <c r="G1585" i="8" s="1"/>
  <c r="H1585" i="8" s="1"/>
  <c r="F1484" i="8"/>
  <c r="G1484" i="8" s="1"/>
  <c r="H1484" i="8" s="1"/>
  <c r="F1449" i="8"/>
  <c r="G1449" i="8" s="1"/>
  <c r="H1449" i="8" s="1"/>
  <c r="F1364" i="8"/>
  <c r="G1364" i="8" s="1"/>
  <c r="H1364" i="8" s="1"/>
  <c r="F1301" i="8"/>
  <c r="G1301" i="8" s="1"/>
  <c r="H1301" i="8" s="1"/>
  <c r="F1255" i="8"/>
  <c r="G1255" i="8" s="1"/>
  <c r="H1255" i="8" s="1"/>
  <c r="F1251" i="8"/>
  <c r="G1251" i="8" s="1"/>
  <c r="H1251" i="8" s="1"/>
  <c r="F1146" i="8"/>
  <c r="G1146" i="8" s="1"/>
  <c r="H1146" i="8" s="1"/>
  <c r="F1095" i="8"/>
  <c r="G1095" i="8" s="1"/>
  <c r="H1095" i="8" s="1"/>
  <c r="F1379" i="8"/>
  <c r="G1379" i="8" s="1"/>
  <c r="H1379" i="8" s="1"/>
  <c r="F1195" i="8"/>
  <c r="G1195" i="8" s="1"/>
  <c r="H1195" i="8" s="1"/>
  <c r="F1577" i="8"/>
  <c r="G1577" i="8" s="1"/>
  <c r="H1577" i="8" s="1"/>
  <c r="F1429" i="8"/>
  <c r="G1429" i="8" s="1"/>
  <c r="H1429" i="8" s="1"/>
  <c r="F1149" i="8"/>
  <c r="G1149" i="8" s="1"/>
  <c r="H1149" i="8" s="1"/>
  <c r="F708" i="8"/>
  <c r="G708" i="8" s="1"/>
  <c r="H708" i="8" s="1"/>
  <c r="F1555" i="8"/>
  <c r="G1555" i="8" s="1"/>
  <c r="H1555" i="8" s="1"/>
  <c r="F1145" i="8"/>
  <c r="G1145" i="8" s="1"/>
  <c r="H1145" i="8" s="1"/>
  <c r="F1598" i="8"/>
  <c r="G1598" i="8" s="1"/>
  <c r="H1598" i="8" s="1"/>
  <c r="F1336" i="8"/>
  <c r="G1336" i="8" s="1"/>
  <c r="H1336" i="8" s="1"/>
  <c r="F1330" i="8"/>
  <c r="G1330" i="8" s="1"/>
  <c r="H1330" i="8" s="1"/>
  <c r="F1308" i="8"/>
  <c r="G1308" i="8" s="1"/>
  <c r="H1308" i="8" s="1"/>
  <c r="F1283" i="8"/>
  <c r="G1283" i="8" s="1"/>
  <c r="H1283" i="8" s="1"/>
  <c r="F1213" i="8"/>
  <c r="G1213" i="8" s="1"/>
  <c r="H1213" i="8" s="1"/>
  <c r="F1165" i="8"/>
  <c r="G1165" i="8" s="1"/>
  <c r="H1165" i="8" s="1"/>
  <c r="F1134" i="8"/>
  <c r="G1134" i="8" s="1"/>
  <c r="H1134" i="8" s="1"/>
  <c r="F1117" i="8"/>
  <c r="G1117" i="8" s="1"/>
  <c r="H1117" i="8" s="1"/>
  <c r="F1096" i="8"/>
  <c r="G1096" i="8" s="1"/>
  <c r="H1096" i="8" s="1"/>
  <c r="F1064" i="8"/>
  <c r="G1064" i="8" s="1"/>
  <c r="H1064" i="8" s="1"/>
  <c r="F1025" i="8"/>
  <c r="G1025" i="8" s="1"/>
  <c r="H1025" i="8" s="1"/>
  <c r="F910" i="8"/>
  <c r="G910" i="8" s="1"/>
  <c r="H910" i="8" s="1"/>
  <c r="F906" i="8"/>
  <c r="G906" i="8" s="1"/>
  <c r="H906" i="8" s="1"/>
  <c r="F767" i="8"/>
  <c r="G767" i="8" s="1"/>
  <c r="H767" i="8" s="1"/>
  <c r="F613" i="8"/>
  <c r="G613" i="8" s="1"/>
  <c r="H613" i="8" s="1"/>
  <c r="F592" i="8"/>
  <c r="G592" i="8" s="1"/>
  <c r="H592" i="8" s="1"/>
  <c r="F1297" i="8"/>
  <c r="G1297" i="8" s="1"/>
  <c r="H1297" i="8" s="1"/>
  <c r="F1187" i="8"/>
  <c r="G1187" i="8" s="1"/>
  <c r="H1187" i="8" s="1"/>
  <c r="F1037" i="8"/>
  <c r="G1037" i="8" s="1"/>
  <c r="H1037" i="8" s="1"/>
  <c r="F743" i="8"/>
  <c r="G743" i="8" s="1"/>
  <c r="H743" i="8" s="1"/>
  <c r="F728" i="8"/>
  <c r="G728" i="8" s="1"/>
  <c r="H728" i="8" s="1"/>
  <c r="F1561" i="8"/>
  <c r="G1561" i="8" s="1"/>
  <c r="H1561" i="8" s="1"/>
  <c r="F1547" i="8"/>
  <c r="G1547" i="8" s="1"/>
  <c r="H1547" i="8" s="1"/>
  <c r="F1369" i="8"/>
  <c r="G1369" i="8" s="1"/>
  <c r="H1369" i="8" s="1"/>
  <c r="F1331" i="8"/>
  <c r="G1331" i="8" s="1"/>
  <c r="H1331" i="8" s="1"/>
  <c r="F1280" i="8"/>
  <c r="G1280" i="8" s="1"/>
  <c r="H1280" i="8" s="1"/>
  <c r="F1051" i="8"/>
  <c r="G1051" i="8" s="1"/>
  <c r="H1051" i="8" s="1"/>
  <c r="F997" i="8"/>
  <c r="G997" i="8" s="1"/>
  <c r="H997" i="8" s="1"/>
  <c r="F887" i="8"/>
  <c r="G887" i="8" s="1"/>
  <c r="H887" i="8" s="1"/>
  <c r="F874" i="8"/>
  <c r="G874" i="8" s="1"/>
  <c r="H874" i="8" s="1"/>
  <c r="F701" i="8"/>
  <c r="G701" i="8" s="1"/>
  <c r="H701" i="8" s="1"/>
  <c r="F601" i="8"/>
  <c r="G601" i="8" s="1"/>
  <c r="H601" i="8" s="1"/>
  <c r="F549" i="8"/>
  <c r="G549" i="8" s="1"/>
  <c r="H549" i="8" s="1"/>
  <c r="F527" i="8"/>
  <c r="G527" i="8" s="1"/>
  <c r="H527" i="8" s="1"/>
  <c r="F1503" i="8"/>
  <c r="G1503" i="8" s="1"/>
  <c r="H1503" i="8" s="1"/>
  <c r="F1355" i="8"/>
  <c r="G1355" i="8" s="1"/>
  <c r="H1355" i="8" s="1"/>
  <c r="F1183" i="8"/>
  <c r="G1183" i="8" s="1"/>
  <c r="H1183" i="8" s="1"/>
  <c r="F1001" i="8"/>
  <c r="G1001" i="8" s="1"/>
  <c r="H1001" i="8" s="1"/>
  <c r="F938" i="8"/>
  <c r="G938" i="8" s="1"/>
  <c r="H938" i="8" s="1"/>
  <c r="F819" i="8"/>
  <c r="G819" i="8" s="1"/>
  <c r="H819" i="8" s="1"/>
  <c r="F802" i="8"/>
  <c r="G802" i="8" s="1"/>
  <c r="H802" i="8" s="1"/>
  <c r="F531" i="8"/>
  <c r="G531" i="8" s="1"/>
  <c r="H531" i="8" s="1"/>
  <c r="F1443" i="8"/>
  <c r="G1443" i="8" s="1"/>
  <c r="H1443" i="8" s="1"/>
  <c r="F1321" i="8"/>
  <c r="G1321" i="8" s="1"/>
  <c r="H1321" i="8" s="1"/>
  <c r="F1269" i="8"/>
  <c r="G1269" i="8" s="1"/>
  <c r="H1269" i="8" s="1"/>
  <c r="F1253" i="8"/>
  <c r="G1253" i="8" s="1"/>
  <c r="H1253" i="8" s="1"/>
  <c r="F1097" i="8"/>
  <c r="G1097" i="8" s="1"/>
  <c r="H1097" i="8" s="1"/>
  <c r="F823" i="8"/>
  <c r="G823" i="8" s="1"/>
  <c r="H823" i="8" s="1"/>
  <c r="F691" i="8"/>
  <c r="G691" i="8" s="1"/>
  <c r="H691" i="8" s="1"/>
  <c r="F654" i="8"/>
  <c r="G654" i="8" s="1"/>
  <c r="H654" i="8" s="1"/>
  <c r="F574" i="8"/>
  <c r="G574" i="8" s="1"/>
  <c r="H574" i="8" s="1"/>
  <c r="F1571" i="8"/>
  <c r="G1571" i="8" s="1"/>
  <c r="H1571" i="8" s="1"/>
  <c r="F1568" i="8"/>
  <c r="G1568" i="8" s="1"/>
  <c r="H1568" i="8" s="1"/>
  <c r="F1406" i="8"/>
  <c r="G1406" i="8" s="1"/>
  <c r="H1406" i="8" s="1"/>
  <c r="F1387" i="8"/>
  <c r="G1387" i="8" s="1"/>
  <c r="H1387" i="8" s="1"/>
  <c r="F1357" i="8"/>
  <c r="G1357" i="8" s="1"/>
  <c r="H1357" i="8" s="1"/>
  <c r="F1324" i="8"/>
  <c r="G1324" i="8" s="1"/>
  <c r="H1324" i="8" s="1"/>
  <c r="F1272" i="8"/>
  <c r="G1272" i="8" s="1"/>
  <c r="H1272" i="8" s="1"/>
  <c r="F1223" i="8"/>
  <c r="G1223" i="8" s="1"/>
  <c r="H1223" i="8" s="1"/>
  <c r="F1189" i="8"/>
  <c r="G1189" i="8" s="1"/>
  <c r="H1189" i="8" s="1"/>
  <c r="F1182" i="8"/>
  <c r="G1182" i="8" s="1"/>
  <c r="H1182" i="8" s="1"/>
  <c r="F1067" i="8"/>
  <c r="G1067" i="8" s="1"/>
  <c r="H1067" i="8" s="1"/>
  <c r="F977" i="8"/>
  <c r="G977" i="8" s="1"/>
  <c r="H977" i="8" s="1"/>
  <c r="F945" i="8"/>
  <c r="G945" i="8" s="1"/>
  <c r="H945" i="8" s="1"/>
  <c r="F845" i="8"/>
  <c r="G845" i="8" s="1"/>
  <c r="H845" i="8" s="1"/>
  <c r="F841" i="8"/>
  <c r="G841" i="8" s="1"/>
  <c r="H841" i="8" s="1"/>
  <c r="F809" i="8"/>
  <c r="G809" i="8" s="1"/>
  <c r="H809" i="8" s="1"/>
  <c r="F754" i="8"/>
  <c r="G754" i="8" s="1"/>
  <c r="H754" i="8" s="1"/>
  <c r="F621" i="8"/>
  <c r="G621" i="8" s="1"/>
  <c r="H621" i="8" s="1"/>
  <c r="F617" i="8"/>
  <c r="G617" i="8" s="1"/>
  <c r="H617" i="8" s="1"/>
  <c r="F209" i="8"/>
  <c r="G209" i="8" s="1"/>
  <c r="H209" i="8" s="1"/>
  <c r="F1584" i="8"/>
  <c r="G1584" i="8" s="1"/>
  <c r="H1584" i="8" s="1"/>
  <c r="F1493" i="8"/>
  <c r="G1493" i="8" s="1"/>
  <c r="H1493" i="8" s="1"/>
  <c r="F1348" i="8"/>
  <c r="G1348" i="8" s="1"/>
  <c r="H1348" i="8" s="1"/>
  <c r="F1140" i="8"/>
  <c r="G1140" i="8" s="1"/>
  <c r="H1140" i="8" s="1"/>
  <c r="F976" i="8"/>
  <c r="G976" i="8" s="1"/>
  <c r="H976" i="8" s="1"/>
  <c r="F970" i="8"/>
  <c r="G970" i="8" s="1"/>
  <c r="H970" i="8" s="1"/>
  <c r="F949" i="8"/>
  <c r="G949" i="8" s="1"/>
  <c r="H949" i="8" s="1"/>
  <c r="F849" i="8"/>
  <c r="G849" i="8" s="1"/>
  <c r="H849" i="8" s="1"/>
  <c r="F782" i="8"/>
  <c r="G782" i="8" s="1"/>
  <c r="H782" i="8" s="1"/>
  <c r="F758" i="8"/>
  <c r="G758" i="8" s="1"/>
  <c r="H758" i="8" s="1"/>
  <c r="F699" i="8"/>
  <c r="G699" i="8" s="1"/>
  <c r="H699" i="8" s="1"/>
  <c r="F695" i="8"/>
  <c r="G695" i="8" s="1"/>
  <c r="H695" i="8" s="1"/>
  <c r="F632" i="8"/>
  <c r="G632" i="8" s="1"/>
  <c r="H632" i="8" s="1"/>
  <c r="F396" i="8"/>
  <c r="G396" i="8" s="1"/>
  <c r="H396" i="8" s="1"/>
  <c r="F1523" i="8"/>
  <c r="G1523" i="8" s="1"/>
  <c r="H1523" i="8" s="1"/>
  <c r="F1385" i="8"/>
  <c r="G1385" i="8" s="1"/>
  <c r="H1385" i="8" s="1"/>
  <c r="F815" i="8"/>
  <c r="G815" i="8" s="1"/>
  <c r="H815" i="8" s="1"/>
  <c r="F558" i="8"/>
  <c r="G558" i="8" s="1"/>
  <c r="H558" i="8" s="1"/>
  <c r="F1467" i="8"/>
  <c r="G1467" i="8" s="1"/>
  <c r="H1467" i="8" s="1"/>
  <c r="F1135" i="8"/>
  <c r="G1135" i="8" s="1"/>
  <c r="H1135" i="8" s="1"/>
  <c r="F692" i="8"/>
  <c r="G692" i="8" s="1"/>
  <c r="H692" i="8" s="1"/>
  <c r="F1349" i="8"/>
  <c r="G1349" i="8" s="1"/>
  <c r="H1349" i="8" s="1"/>
  <c r="F605" i="8"/>
  <c r="G605" i="8" s="1"/>
  <c r="H605" i="8" s="1"/>
  <c r="F1539" i="8"/>
  <c r="G1539" i="8" s="1"/>
  <c r="H1539" i="8" s="1"/>
  <c r="F1511" i="8"/>
  <c r="G1511" i="8" s="1"/>
  <c r="H1511" i="8" s="1"/>
  <c r="F1337" i="8"/>
  <c r="G1337" i="8" s="1"/>
  <c r="H1337" i="8" s="1"/>
  <c r="F1538" i="8"/>
  <c r="G1538" i="8" s="1"/>
  <c r="H1538" i="8" s="1"/>
  <c r="F1592" i="8"/>
  <c r="G1592" i="8" s="1"/>
  <c r="H1592" i="8" s="1"/>
  <c r="F1516" i="8"/>
  <c r="G1516" i="8" s="1"/>
  <c r="H1516" i="8" s="1"/>
  <c r="F1424" i="8"/>
  <c r="G1424" i="8" s="1"/>
  <c r="H1424" i="8" s="1"/>
  <c r="F1248" i="8"/>
  <c r="G1248" i="8" s="1"/>
  <c r="H1248" i="8" s="1"/>
  <c r="F1216" i="8"/>
  <c r="G1216" i="8" s="1"/>
  <c r="H1216" i="8" s="1"/>
  <c r="F1063" i="8"/>
  <c r="G1063" i="8" s="1"/>
  <c r="H1063" i="8" s="1"/>
  <c r="F1059" i="8"/>
  <c r="G1059" i="8" s="1"/>
  <c r="H1059" i="8" s="1"/>
  <c r="F983" i="8"/>
  <c r="G983" i="8" s="1"/>
  <c r="H983" i="8" s="1"/>
  <c r="F980" i="8"/>
  <c r="G980" i="8" s="1"/>
  <c r="H980" i="8" s="1"/>
  <c r="F963" i="8"/>
  <c r="G963" i="8" s="1"/>
  <c r="H963" i="8" s="1"/>
  <c r="F913" i="8"/>
  <c r="G913" i="8" s="1"/>
  <c r="H913" i="8" s="1"/>
  <c r="F901" i="8"/>
  <c r="G901" i="8" s="1"/>
  <c r="H901" i="8" s="1"/>
  <c r="F857" i="8"/>
  <c r="G857" i="8" s="1"/>
  <c r="H857" i="8" s="1"/>
  <c r="F835" i="8"/>
  <c r="G835" i="8" s="1"/>
  <c r="H835" i="8" s="1"/>
  <c r="F831" i="8"/>
  <c r="G831" i="8" s="1"/>
  <c r="H831" i="8" s="1"/>
  <c r="F813" i="8"/>
  <c r="G813" i="8" s="1"/>
  <c r="H813" i="8" s="1"/>
  <c r="F789" i="8"/>
  <c r="G789" i="8" s="1"/>
  <c r="H789" i="8" s="1"/>
  <c r="F722" i="8"/>
  <c r="G722" i="8" s="1"/>
  <c r="H722" i="8" s="1"/>
  <c r="F485" i="8"/>
  <c r="G485" i="8" s="1"/>
  <c r="H485" i="8" s="1"/>
  <c r="F1264" i="8"/>
  <c r="G1264" i="8" s="1"/>
  <c r="H1264" i="8" s="1"/>
  <c r="F1173" i="8"/>
  <c r="G1173" i="8" s="1"/>
  <c r="H1173" i="8" s="1"/>
  <c r="F989" i="8"/>
  <c r="G989" i="8" s="1"/>
  <c r="H989" i="8" s="1"/>
  <c r="F1489" i="8"/>
  <c r="G1489" i="8" s="1"/>
  <c r="H1489" i="8" s="1"/>
  <c r="F1475" i="8"/>
  <c r="G1475" i="8" s="1"/>
  <c r="H1475" i="8" s="1"/>
  <c r="F1451" i="8"/>
  <c r="G1451" i="8" s="1"/>
  <c r="H1451" i="8" s="1"/>
  <c r="F1419" i="8"/>
  <c r="G1419" i="8" s="1"/>
  <c r="H1419" i="8" s="1"/>
  <c r="F1462" i="8"/>
  <c r="G1462" i="8" s="1"/>
  <c r="H1462" i="8" s="1"/>
  <c r="F1459" i="8"/>
  <c r="G1459" i="8" s="1"/>
  <c r="H1459" i="8" s="1"/>
  <c r="F1447" i="8"/>
  <c r="G1447" i="8" s="1"/>
  <c r="H1447" i="8" s="1"/>
  <c r="F1433" i="8"/>
  <c r="G1433" i="8" s="1"/>
  <c r="H1433" i="8" s="1"/>
  <c r="F1427" i="8"/>
  <c r="G1427" i="8" s="1"/>
  <c r="H1427" i="8" s="1"/>
  <c r="F1326" i="8"/>
  <c r="G1326" i="8" s="1"/>
  <c r="H1326" i="8" s="1"/>
  <c r="F1291" i="8"/>
  <c r="G1291" i="8" s="1"/>
  <c r="H1291" i="8" s="1"/>
  <c r="F1245" i="8"/>
  <c r="G1245" i="8" s="1"/>
  <c r="H1245" i="8" s="1"/>
  <c r="F1219" i="8"/>
  <c r="G1219" i="8" s="1"/>
  <c r="H1219" i="8" s="1"/>
  <c r="F1192" i="8"/>
  <c r="G1192" i="8" s="1"/>
  <c r="H1192" i="8" s="1"/>
  <c r="F1174" i="8"/>
  <c r="G1174" i="8" s="1"/>
  <c r="H1174" i="8" s="1"/>
  <c r="F1133" i="8"/>
  <c r="G1133" i="8" s="1"/>
  <c r="H1133" i="8" s="1"/>
  <c r="F1099" i="8"/>
  <c r="G1099" i="8" s="1"/>
  <c r="H1099" i="8" s="1"/>
  <c r="F1066" i="8"/>
  <c r="G1066" i="8" s="1"/>
  <c r="H1066" i="8" s="1"/>
  <c r="F1010" i="8"/>
  <c r="G1010" i="8" s="1"/>
  <c r="H1010" i="8" s="1"/>
  <c r="F991" i="8"/>
  <c r="G991" i="8" s="1"/>
  <c r="H991" i="8" s="1"/>
  <c r="F973" i="8"/>
  <c r="G973" i="8" s="1"/>
  <c r="H973" i="8" s="1"/>
  <c r="F955" i="8"/>
  <c r="G955" i="8" s="1"/>
  <c r="H955" i="8" s="1"/>
  <c r="F893" i="8"/>
  <c r="G893" i="8" s="1"/>
  <c r="H893" i="8" s="1"/>
  <c r="F711" i="8"/>
  <c r="G711" i="8" s="1"/>
  <c r="H711" i="8" s="1"/>
  <c r="F620" i="8"/>
  <c r="G620" i="8" s="1"/>
  <c r="H620" i="8" s="1"/>
  <c r="F1231" i="8"/>
  <c r="G1231" i="8" s="1"/>
  <c r="H1231" i="8" s="1"/>
  <c r="F862" i="8"/>
  <c r="G862" i="8" s="1"/>
  <c r="H862" i="8" s="1"/>
  <c r="F1562" i="8"/>
  <c r="G1562" i="8" s="1"/>
  <c r="H1562" i="8" s="1"/>
  <c r="F1476" i="8"/>
  <c r="G1476" i="8" s="1"/>
  <c r="H1476" i="8" s="1"/>
  <c r="F1411" i="8"/>
  <c r="G1411" i="8" s="1"/>
  <c r="H1411" i="8" s="1"/>
  <c r="F1383" i="8"/>
  <c r="G1383" i="8" s="1"/>
  <c r="H1383" i="8" s="1"/>
  <c r="F1353" i="8"/>
  <c r="G1353" i="8" s="1"/>
  <c r="H1353" i="8" s="1"/>
  <c r="F1307" i="8"/>
  <c r="G1307" i="8" s="1"/>
  <c r="H1307" i="8" s="1"/>
  <c r="F1129" i="8"/>
  <c r="G1129" i="8" s="1"/>
  <c r="H1129" i="8" s="1"/>
  <c r="F1106" i="8"/>
  <c r="G1106" i="8" s="1"/>
  <c r="H1106" i="8" s="1"/>
  <c r="F1042" i="8"/>
  <c r="G1042" i="8" s="1"/>
  <c r="H1042" i="8" s="1"/>
  <c r="F1038" i="8"/>
  <c r="G1038" i="8" s="1"/>
  <c r="H1038" i="8" s="1"/>
  <c r="F1013" i="8"/>
  <c r="G1013" i="8" s="1"/>
  <c r="H1013" i="8" s="1"/>
  <c r="F935" i="8"/>
  <c r="G935" i="8" s="1"/>
  <c r="H935" i="8" s="1"/>
  <c r="F860" i="8"/>
  <c r="G860" i="8" s="1"/>
  <c r="H860" i="8" s="1"/>
  <c r="F839" i="8"/>
  <c r="G839" i="8" s="1"/>
  <c r="H839" i="8" s="1"/>
  <c r="F830" i="8"/>
  <c r="G830" i="8" s="1"/>
  <c r="H830" i="8" s="1"/>
  <c r="F785" i="8"/>
  <c r="G785" i="8" s="1"/>
  <c r="H785" i="8" s="1"/>
  <c r="F781" i="8"/>
  <c r="G781" i="8" s="1"/>
  <c r="H781" i="8" s="1"/>
  <c r="F736" i="8"/>
  <c r="G736" i="8" s="1"/>
  <c r="H736" i="8" s="1"/>
  <c r="F725" i="8"/>
  <c r="G725" i="8" s="1"/>
  <c r="H725" i="8" s="1"/>
  <c r="F639" i="8"/>
  <c r="G639" i="8" s="1"/>
  <c r="H639" i="8" s="1"/>
  <c r="F501" i="8"/>
  <c r="G501" i="8" s="1"/>
  <c r="H501" i="8" s="1"/>
  <c r="F493" i="8"/>
  <c r="G493" i="8" s="1"/>
  <c r="H493" i="8" s="1"/>
  <c r="F1454" i="8"/>
  <c r="G1454" i="8" s="1"/>
  <c r="H1454" i="8" s="1"/>
  <c r="F1438" i="8"/>
  <c r="G1438" i="8" s="1"/>
  <c r="H1438" i="8" s="1"/>
  <c r="F1360" i="8"/>
  <c r="G1360" i="8" s="1"/>
  <c r="H1360" i="8" s="1"/>
  <c r="F1241" i="8"/>
  <c r="G1241" i="8" s="1"/>
  <c r="H1241" i="8" s="1"/>
  <c r="F1199" i="8"/>
  <c r="G1199" i="8" s="1"/>
  <c r="H1199" i="8" s="1"/>
  <c r="F1122" i="8"/>
  <c r="G1122" i="8" s="1"/>
  <c r="H1122" i="8" s="1"/>
  <c r="F1110" i="8"/>
  <c r="G1110" i="8" s="1"/>
  <c r="H1110" i="8" s="1"/>
  <c r="F1040" i="8"/>
  <c r="G1040" i="8" s="1"/>
  <c r="H1040" i="8" s="1"/>
  <c r="F1016" i="8"/>
  <c r="G1016" i="8" s="1"/>
  <c r="H1016" i="8" s="1"/>
  <c r="F937" i="8"/>
  <c r="G937" i="8" s="1"/>
  <c r="H937" i="8" s="1"/>
  <c r="F897" i="8"/>
  <c r="G897" i="8" s="1"/>
  <c r="H897" i="8" s="1"/>
  <c r="F780" i="8"/>
  <c r="G780" i="8" s="1"/>
  <c r="H780" i="8" s="1"/>
  <c r="F745" i="8"/>
  <c r="G745" i="8" s="1"/>
  <c r="H745" i="8" s="1"/>
  <c r="F687" i="8"/>
  <c r="G687" i="8" s="1"/>
  <c r="H687" i="8" s="1"/>
  <c r="F646" i="8"/>
  <c r="G646" i="8" s="1"/>
  <c r="H646" i="8" s="1"/>
  <c r="F638" i="8"/>
  <c r="G638" i="8" s="1"/>
  <c r="H638" i="8" s="1"/>
  <c r="F627" i="8"/>
  <c r="G627" i="8" s="1"/>
  <c r="H627" i="8" s="1"/>
  <c r="F561" i="8"/>
  <c r="G561" i="8" s="1"/>
  <c r="H561" i="8" s="1"/>
  <c r="F361" i="8"/>
  <c r="G361" i="8" s="1"/>
  <c r="H361" i="8" s="1"/>
  <c r="F343" i="8"/>
  <c r="G343" i="8" s="1"/>
  <c r="H343" i="8" s="1"/>
  <c r="F259" i="8"/>
  <c r="G259" i="8" s="1"/>
  <c r="H259" i="8" s="1"/>
  <c r="F1314" i="8"/>
  <c r="G1314" i="8" s="1"/>
  <c r="H1314" i="8" s="1"/>
  <c r="F1281" i="8"/>
  <c r="G1281" i="8" s="1"/>
  <c r="H1281" i="8" s="1"/>
  <c r="F1229" i="8"/>
  <c r="G1229" i="8" s="1"/>
  <c r="H1229" i="8" s="1"/>
  <c r="F1217" i="8"/>
  <c r="G1217" i="8" s="1"/>
  <c r="H1217" i="8" s="1"/>
  <c r="F1178" i="8"/>
  <c r="G1178" i="8" s="1"/>
  <c r="H1178" i="8" s="1"/>
  <c r="F1169" i="8"/>
  <c r="G1169" i="8" s="1"/>
  <c r="H1169" i="8" s="1"/>
  <c r="F1151" i="8"/>
  <c r="G1151" i="8" s="1"/>
  <c r="H1151" i="8" s="1"/>
  <c r="F1071" i="8"/>
  <c r="G1071" i="8" s="1"/>
  <c r="H1071" i="8" s="1"/>
  <c r="F992" i="8"/>
  <c r="G992" i="8" s="1"/>
  <c r="H992" i="8" s="1"/>
  <c r="F829" i="8"/>
  <c r="G829" i="8" s="1"/>
  <c r="H829" i="8" s="1"/>
  <c r="F698" i="8"/>
  <c r="G698" i="8" s="1"/>
  <c r="H698" i="8" s="1"/>
  <c r="F573" i="8"/>
  <c r="G573" i="8" s="1"/>
  <c r="H573" i="8" s="1"/>
  <c r="F569" i="8"/>
  <c r="G569" i="8" s="1"/>
  <c r="H569" i="8" s="1"/>
  <c r="F403" i="8"/>
  <c r="G403" i="8" s="1"/>
  <c r="H403" i="8" s="1"/>
  <c r="F1249" i="8"/>
  <c r="G1249" i="8" s="1"/>
  <c r="H1249" i="8" s="1"/>
  <c r="F1043" i="8"/>
  <c r="G1043" i="8" s="1"/>
  <c r="H1043" i="8" s="1"/>
  <c r="F965" i="8"/>
  <c r="G965" i="8" s="1"/>
  <c r="H965" i="8" s="1"/>
  <c r="F879" i="8"/>
  <c r="G879" i="8" s="1"/>
  <c r="H879" i="8" s="1"/>
  <c r="F833" i="8"/>
  <c r="G833" i="8" s="1"/>
  <c r="H833" i="8" s="1"/>
  <c r="F761" i="8"/>
  <c r="G761" i="8" s="1"/>
  <c r="H761" i="8" s="1"/>
  <c r="F518" i="8"/>
  <c r="G518" i="8" s="1"/>
  <c r="H518" i="8" s="1"/>
  <c r="F498" i="8"/>
  <c r="G498" i="8" s="1"/>
  <c r="H498" i="8" s="1"/>
  <c r="F481" i="8"/>
  <c r="G481" i="8" s="1"/>
  <c r="H481" i="8" s="1"/>
  <c r="F469" i="8"/>
  <c r="G469" i="8" s="1"/>
  <c r="H469" i="8" s="1"/>
  <c r="F421" i="8"/>
  <c r="G421" i="8" s="1"/>
  <c r="H421" i="8" s="1"/>
  <c r="F313" i="8"/>
  <c r="G313" i="8" s="1"/>
  <c r="H313" i="8" s="1"/>
  <c r="F1582" i="8"/>
  <c r="G1582" i="8" s="1"/>
  <c r="H1582" i="8" s="1"/>
  <c r="F1496" i="8"/>
  <c r="G1496" i="8" s="1"/>
  <c r="H1496" i="8" s="1"/>
  <c r="F1486" i="8"/>
  <c r="G1486" i="8" s="1"/>
  <c r="H1486" i="8" s="1"/>
  <c r="F1311" i="8"/>
  <c r="G1311" i="8" s="1"/>
  <c r="H1311" i="8" s="1"/>
  <c r="F1228" i="8"/>
  <c r="G1228" i="8" s="1"/>
  <c r="H1228" i="8" s="1"/>
  <c r="F1225" i="8"/>
  <c r="G1225" i="8" s="1"/>
  <c r="H1225" i="8" s="1"/>
  <c r="F1150" i="8"/>
  <c r="G1150" i="8" s="1"/>
  <c r="H1150" i="8" s="1"/>
  <c r="F1147" i="8"/>
  <c r="G1147" i="8" s="1"/>
  <c r="H1147" i="8" s="1"/>
  <c r="F1132" i="8"/>
  <c r="G1132" i="8" s="1"/>
  <c r="H1132" i="8" s="1"/>
  <c r="F1121" i="8"/>
  <c r="G1121" i="8" s="1"/>
  <c r="H1121" i="8" s="1"/>
  <c r="F1091" i="8"/>
  <c r="G1091" i="8" s="1"/>
  <c r="H1091" i="8" s="1"/>
  <c r="F1015" i="8"/>
  <c r="G1015" i="8" s="1"/>
  <c r="H1015" i="8" s="1"/>
  <c r="F883" i="8"/>
  <c r="G883" i="8" s="1"/>
  <c r="H883" i="8" s="1"/>
  <c r="F865" i="8"/>
  <c r="G865" i="8" s="1"/>
  <c r="H865" i="8" s="1"/>
  <c r="F685" i="8"/>
  <c r="G685" i="8" s="1"/>
  <c r="H685" i="8" s="1"/>
  <c r="F673" i="8"/>
  <c r="G673" i="8" s="1"/>
  <c r="H673" i="8" s="1"/>
  <c r="F645" i="8"/>
  <c r="G645" i="8" s="1"/>
  <c r="H645" i="8" s="1"/>
  <c r="F606" i="8"/>
  <c r="G606" i="8" s="1"/>
  <c r="H606" i="8" s="1"/>
  <c r="F568" i="8"/>
  <c r="G568" i="8" s="1"/>
  <c r="H568" i="8" s="1"/>
  <c r="F534" i="8"/>
  <c r="G534" i="8" s="1"/>
  <c r="H534" i="8" s="1"/>
  <c r="F1466" i="8"/>
  <c r="G1466" i="8" s="1"/>
  <c r="H1466" i="8" s="1"/>
  <c r="F1294" i="8"/>
  <c r="G1294" i="8" s="1"/>
  <c r="H1294" i="8" s="1"/>
  <c r="F1288" i="8"/>
  <c r="G1288" i="8" s="1"/>
  <c r="H1288" i="8" s="1"/>
  <c r="F1274" i="8"/>
  <c r="G1274" i="8" s="1"/>
  <c r="H1274" i="8" s="1"/>
  <c r="F1261" i="8"/>
  <c r="G1261" i="8" s="1"/>
  <c r="H1261" i="8" s="1"/>
  <c r="F1073" i="8"/>
  <c r="G1073" i="8" s="1"/>
  <c r="H1073" i="8" s="1"/>
  <c r="F1039" i="8"/>
  <c r="G1039" i="8" s="1"/>
  <c r="H1039" i="8" s="1"/>
  <c r="F1029" i="8"/>
  <c r="G1029" i="8" s="1"/>
  <c r="H1029" i="8" s="1"/>
  <c r="F964" i="8"/>
  <c r="G964" i="8" s="1"/>
  <c r="H964" i="8" s="1"/>
  <c r="F903" i="8"/>
  <c r="G903" i="8" s="1"/>
  <c r="H903" i="8" s="1"/>
  <c r="F747" i="8"/>
  <c r="G747" i="8" s="1"/>
  <c r="H747" i="8" s="1"/>
  <c r="F509" i="8"/>
  <c r="G509" i="8" s="1"/>
  <c r="H509" i="8" s="1"/>
  <c r="F1027" i="8"/>
  <c r="G1027" i="8" s="1"/>
  <c r="H1027" i="8" s="1"/>
  <c r="F1024" i="8"/>
  <c r="G1024" i="8" s="1"/>
  <c r="H1024" i="8" s="1"/>
  <c r="F1018" i="8"/>
  <c r="G1018" i="8" s="1"/>
  <c r="H1018" i="8" s="1"/>
  <c r="F1006" i="8"/>
  <c r="G1006" i="8" s="1"/>
  <c r="H1006" i="8" s="1"/>
  <c r="F1003" i="8"/>
  <c r="G1003" i="8" s="1"/>
  <c r="H1003" i="8" s="1"/>
  <c r="F869" i="8"/>
  <c r="G869" i="8" s="1"/>
  <c r="H869" i="8" s="1"/>
  <c r="F855" i="8"/>
  <c r="G855" i="8" s="1"/>
  <c r="H855" i="8" s="1"/>
  <c r="F804" i="8"/>
  <c r="G804" i="8" s="1"/>
  <c r="H804" i="8" s="1"/>
  <c r="F784" i="8"/>
  <c r="G784" i="8" s="1"/>
  <c r="H784" i="8" s="1"/>
  <c r="F777" i="8"/>
  <c r="G777" i="8" s="1"/>
  <c r="H777" i="8" s="1"/>
  <c r="F690" i="8"/>
  <c r="G690" i="8" s="1"/>
  <c r="H690" i="8" s="1"/>
  <c r="F665" i="8"/>
  <c r="G665" i="8" s="1"/>
  <c r="H665" i="8" s="1"/>
  <c r="F661" i="8"/>
  <c r="G661" i="8" s="1"/>
  <c r="H661" i="8" s="1"/>
  <c r="F649" i="8"/>
  <c r="G649" i="8" s="1"/>
  <c r="H649" i="8" s="1"/>
  <c r="F540" i="8"/>
  <c r="G540" i="8" s="1"/>
  <c r="H540" i="8" s="1"/>
  <c r="F524" i="8"/>
  <c r="G524" i="8" s="1"/>
  <c r="H524" i="8" s="1"/>
  <c r="F520" i="8"/>
  <c r="G520" i="8" s="1"/>
  <c r="H520" i="8" s="1"/>
  <c r="F512" i="8"/>
  <c r="G512" i="8" s="1"/>
  <c r="H512" i="8" s="1"/>
  <c r="F492" i="8"/>
  <c r="G492" i="8" s="1"/>
  <c r="H492" i="8" s="1"/>
  <c r="F262" i="8"/>
  <c r="G262" i="8" s="1"/>
  <c r="H262" i="8" s="1"/>
  <c r="F1390" i="8"/>
  <c r="G1390" i="8" s="1"/>
  <c r="H1390" i="8" s="1"/>
  <c r="F1232" i="8"/>
  <c r="G1232" i="8" s="1"/>
  <c r="H1232" i="8" s="1"/>
  <c r="F1148" i="8"/>
  <c r="G1148" i="8" s="1"/>
  <c r="H1148" i="8" s="1"/>
  <c r="F1107" i="8"/>
  <c r="G1107" i="8" s="1"/>
  <c r="H1107" i="8" s="1"/>
  <c r="F1060" i="8"/>
  <c r="G1060" i="8" s="1"/>
  <c r="H1060" i="8" s="1"/>
  <c r="F1014" i="8"/>
  <c r="G1014" i="8" s="1"/>
  <c r="H1014" i="8" s="1"/>
  <c r="F984" i="8"/>
  <c r="G984" i="8" s="1"/>
  <c r="H984" i="8" s="1"/>
  <c r="F966" i="8"/>
  <c r="G966" i="8" s="1"/>
  <c r="H966" i="8" s="1"/>
  <c r="F959" i="8"/>
  <c r="G959" i="8" s="1"/>
  <c r="H959" i="8" s="1"/>
  <c r="F940" i="8"/>
  <c r="G940" i="8" s="1"/>
  <c r="H940" i="8" s="1"/>
  <c r="F909" i="8"/>
  <c r="G909" i="8" s="1"/>
  <c r="H909" i="8" s="1"/>
  <c r="F885" i="8"/>
  <c r="G885" i="8" s="1"/>
  <c r="H885" i="8" s="1"/>
  <c r="F881" i="8"/>
  <c r="G881" i="8" s="1"/>
  <c r="H881" i="8" s="1"/>
  <c r="F868" i="8"/>
  <c r="G868" i="8" s="1"/>
  <c r="H868" i="8" s="1"/>
  <c r="F657" i="8"/>
  <c r="G657" i="8" s="1"/>
  <c r="H657" i="8" s="1"/>
  <c r="F603" i="8"/>
  <c r="G603" i="8" s="1"/>
  <c r="H603" i="8" s="1"/>
  <c r="F596" i="8"/>
  <c r="G596" i="8" s="1"/>
  <c r="H596" i="8" s="1"/>
  <c r="F515" i="8"/>
  <c r="G515" i="8" s="1"/>
  <c r="H515" i="8" s="1"/>
  <c r="F320" i="8"/>
  <c r="G320" i="8" s="1"/>
  <c r="H320" i="8" s="1"/>
  <c r="F250" i="8"/>
  <c r="G250" i="8" s="1"/>
  <c r="H250" i="8" s="1"/>
  <c r="F953" i="8"/>
  <c r="G953" i="8" s="1"/>
  <c r="H953" i="8" s="1"/>
  <c r="F847" i="8"/>
  <c r="G847" i="8" s="1"/>
  <c r="H847" i="8" s="1"/>
  <c r="F821" i="8"/>
  <c r="G821" i="8" s="1"/>
  <c r="H821" i="8" s="1"/>
  <c r="F817" i="8"/>
  <c r="G817" i="8" s="1"/>
  <c r="H817" i="8" s="1"/>
  <c r="F797" i="8"/>
  <c r="G797" i="8" s="1"/>
  <c r="H797" i="8" s="1"/>
  <c r="F741" i="8"/>
  <c r="G741" i="8" s="1"/>
  <c r="H741" i="8" s="1"/>
  <c r="F622" i="8"/>
  <c r="G622" i="8" s="1"/>
  <c r="H622" i="8" s="1"/>
  <c r="F543" i="8"/>
  <c r="G543" i="8" s="1"/>
  <c r="H543" i="8" s="1"/>
  <c r="F511" i="8"/>
  <c r="G511" i="8" s="1"/>
  <c r="H511" i="8" s="1"/>
  <c r="F368" i="8"/>
  <c r="G368" i="8" s="1"/>
  <c r="H368" i="8" s="1"/>
  <c r="F332" i="8"/>
  <c r="G332" i="8" s="1"/>
  <c r="H332" i="8" s="1"/>
  <c r="F1049" i="8"/>
  <c r="G1049" i="8" s="1"/>
  <c r="H1049" i="8" s="1"/>
  <c r="F1023" i="8"/>
  <c r="G1023" i="8" s="1"/>
  <c r="H1023" i="8" s="1"/>
  <c r="F1005" i="8"/>
  <c r="G1005" i="8" s="1"/>
  <c r="H1005" i="8" s="1"/>
  <c r="F962" i="8"/>
  <c r="G962" i="8" s="1"/>
  <c r="H962" i="8" s="1"/>
  <c r="F943" i="8"/>
  <c r="G943" i="8" s="1"/>
  <c r="H943" i="8" s="1"/>
  <c r="F905" i="8"/>
  <c r="G905" i="8" s="1"/>
  <c r="H905" i="8" s="1"/>
  <c r="F891" i="8"/>
  <c r="G891" i="8" s="1"/>
  <c r="H891" i="8" s="1"/>
  <c r="F820" i="8"/>
  <c r="G820" i="8" s="1"/>
  <c r="H820" i="8" s="1"/>
  <c r="F783" i="8"/>
  <c r="G783" i="8" s="1"/>
  <c r="H783" i="8" s="1"/>
  <c r="F779" i="8"/>
  <c r="G779" i="8" s="1"/>
  <c r="H779" i="8" s="1"/>
  <c r="F769" i="8"/>
  <c r="G769" i="8" s="1"/>
  <c r="H769" i="8" s="1"/>
  <c r="F765" i="8"/>
  <c r="G765" i="8" s="1"/>
  <c r="H765" i="8" s="1"/>
  <c r="F713" i="8"/>
  <c r="G713" i="8" s="1"/>
  <c r="H713" i="8" s="1"/>
  <c r="F693" i="8"/>
  <c r="G693" i="8" s="1"/>
  <c r="H693" i="8" s="1"/>
  <c r="F633" i="8"/>
  <c r="G633" i="8" s="1"/>
  <c r="H633" i="8" s="1"/>
  <c r="F614" i="8"/>
  <c r="G614" i="8" s="1"/>
  <c r="H614" i="8" s="1"/>
  <c r="F595" i="8"/>
  <c r="G595" i="8" s="1"/>
  <c r="H595" i="8" s="1"/>
  <c r="F587" i="8"/>
  <c r="G587" i="8" s="1"/>
  <c r="H587" i="8" s="1"/>
  <c r="F381" i="8"/>
  <c r="G381" i="8" s="1"/>
  <c r="H381" i="8" s="1"/>
  <c r="F1318" i="8"/>
  <c r="G1318" i="8" s="1"/>
  <c r="H1318" i="8" s="1"/>
  <c r="F1258" i="8"/>
  <c r="G1258" i="8" s="1"/>
  <c r="H1258" i="8" s="1"/>
  <c r="F1180" i="8"/>
  <c r="G1180" i="8" s="1"/>
  <c r="H1180" i="8" s="1"/>
  <c r="F1046" i="8"/>
  <c r="G1046" i="8" s="1"/>
  <c r="H1046" i="8" s="1"/>
  <c r="F998" i="8"/>
  <c r="G998" i="8" s="1"/>
  <c r="H998" i="8" s="1"/>
  <c r="F920" i="8"/>
  <c r="G920" i="8" s="1"/>
  <c r="H920" i="8" s="1"/>
  <c r="F911" i="8"/>
  <c r="G911" i="8" s="1"/>
  <c r="H911" i="8" s="1"/>
  <c r="F908" i="8"/>
  <c r="G908" i="8" s="1"/>
  <c r="H908" i="8" s="1"/>
  <c r="F880" i="8"/>
  <c r="G880" i="8" s="1"/>
  <c r="H880" i="8" s="1"/>
  <c r="F850" i="8"/>
  <c r="G850" i="8" s="1"/>
  <c r="H850" i="8" s="1"/>
  <c r="F843" i="8"/>
  <c r="G843" i="8" s="1"/>
  <c r="H843" i="8" s="1"/>
  <c r="F803" i="8"/>
  <c r="G803" i="8" s="1"/>
  <c r="H803" i="8" s="1"/>
  <c r="F786" i="8"/>
  <c r="G786" i="8" s="1"/>
  <c r="H786" i="8" s="1"/>
  <c r="F678" i="8"/>
  <c r="G678" i="8" s="1"/>
  <c r="H678" i="8" s="1"/>
  <c r="F610" i="8"/>
  <c r="G610" i="8" s="1"/>
  <c r="H610" i="8" s="1"/>
  <c r="F591" i="8"/>
  <c r="G591" i="8" s="1"/>
  <c r="H591" i="8" s="1"/>
  <c r="F571" i="8"/>
  <c r="G571" i="8" s="1"/>
  <c r="H571" i="8" s="1"/>
  <c r="F482" i="8"/>
  <c r="G482" i="8" s="1"/>
  <c r="H482" i="8" s="1"/>
  <c r="F447" i="8"/>
  <c r="G447" i="8" s="1"/>
  <c r="H447" i="8" s="1"/>
  <c r="F385" i="8"/>
  <c r="G385" i="8" s="1"/>
  <c r="H385" i="8" s="1"/>
  <c r="F376" i="8"/>
  <c r="G376" i="8" s="1"/>
  <c r="H376" i="8" s="1"/>
  <c r="F1268" i="8"/>
  <c r="G1268" i="8" s="1"/>
  <c r="H1268" i="8" s="1"/>
  <c r="F1193" i="8"/>
  <c r="G1193" i="8" s="1"/>
  <c r="H1193" i="8" s="1"/>
  <c r="F1062" i="8"/>
  <c r="G1062" i="8" s="1"/>
  <c r="H1062" i="8" s="1"/>
  <c r="F990" i="8"/>
  <c r="G990" i="8" s="1"/>
  <c r="H990" i="8" s="1"/>
  <c r="F960" i="8"/>
  <c r="G960" i="8" s="1"/>
  <c r="H960" i="8" s="1"/>
  <c r="F929" i="8"/>
  <c r="G929" i="8" s="1"/>
  <c r="H929" i="8" s="1"/>
  <c r="F926" i="8"/>
  <c r="G926" i="8" s="1"/>
  <c r="H926" i="8" s="1"/>
  <c r="F912" i="8"/>
  <c r="G912" i="8" s="1"/>
  <c r="H912" i="8" s="1"/>
  <c r="F794" i="8"/>
  <c r="G794" i="8" s="1"/>
  <c r="H794" i="8" s="1"/>
  <c r="F757" i="8"/>
  <c r="G757" i="8" s="1"/>
  <c r="H757" i="8" s="1"/>
  <c r="F684" i="8"/>
  <c r="G684" i="8" s="1"/>
  <c r="H684" i="8" s="1"/>
  <c r="F648" i="8"/>
  <c r="G648" i="8" s="1"/>
  <c r="H648" i="8" s="1"/>
  <c r="F553" i="8"/>
  <c r="G553" i="8" s="1"/>
  <c r="H553" i="8" s="1"/>
  <c r="F507" i="8"/>
  <c r="G507" i="8" s="1"/>
  <c r="H507" i="8" s="1"/>
  <c r="F440" i="8"/>
  <c r="G440" i="8" s="1"/>
  <c r="H440" i="8" s="1"/>
  <c r="F271" i="8"/>
  <c r="G271" i="8" s="1"/>
  <c r="H271" i="8" s="1"/>
  <c r="F365" i="8"/>
  <c r="G365" i="8" s="1"/>
  <c r="H365" i="8" s="1"/>
  <c r="F583" i="8"/>
  <c r="G583" i="8" s="1"/>
  <c r="H583" i="8" s="1"/>
  <c r="F450" i="8"/>
  <c r="G450" i="8" s="1"/>
  <c r="H450" i="8" s="1"/>
  <c r="F369" i="8"/>
  <c r="G369" i="8" s="1"/>
  <c r="H369" i="8" s="1"/>
  <c r="F347" i="8"/>
  <c r="G347" i="8" s="1"/>
  <c r="H347" i="8" s="1"/>
  <c r="F289" i="8"/>
  <c r="G289" i="8" s="1"/>
  <c r="H289" i="8" s="1"/>
  <c r="F1204" i="8"/>
  <c r="G1204" i="8" s="1"/>
  <c r="H1204" i="8" s="1"/>
  <c r="F1126" i="8"/>
  <c r="G1126" i="8" s="1"/>
  <c r="H1126" i="8" s="1"/>
  <c r="F948" i="8"/>
  <c r="G948" i="8" s="1"/>
  <c r="H948" i="8" s="1"/>
  <c r="F872" i="8"/>
  <c r="G872" i="8" s="1"/>
  <c r="H872" i="8" s="1"/>
  <c r="F818" i="8"/>
  <c r="G818" i="8" s="1"/>
  <c r="H818" i="8" s="1"/>
  <c r="F811" i="8"/>
  <c r="G811" i="8" s="1"/>
  <c r="H811" i="8" s="1"/>
  <c r="F753" i="8"/>
  <c r="G753" i="8" s="1"/>
  <c r="H753" i="8" s="1"/>
  <c r="F737" i="8"/>
  <c r="G737" i="8" s="1"/>
  <c r="H737" i="8" s="1"/>
  <c r="F662" i="8"/>
  <c r="G662" i="8" s="1"/>
  <c r="H662" i="8" s="1"/>
  <c r="F529" i="8"/>
  <c r="G529" i="8" s="1"/>
  <c r="H529" i="8" s="1"/>
  <c r="F491" i="8"/>
  <c r="G491" i="8" s="1"/>
  <c r="H491" i="8" s="1"/>
  <c r="F483" i="8"/>
  <c r="G483" i="8" s="1"/>
  <c r="H483" i="8" s="1"/>
  <c r="F472" i="8"/>
  <c r="G472" i="8" s="1"/>
  <c r="H472" i="8" s="1"/>
  <c r="F321" i="8"/>
  <c r="G321" i="8" s="1"/>
  <c r="H321" i="8" s="1"/>
  <c r="F277" i="8"/>
  <c r="G277" i="8" s="1"/>
  <c r="H277" i="8" s="1"/>
  <c r="F257" i="8"/>
  <c r="G257" i="8" s="1"/>
  <c r="H257" i="8" s="1"/>
  <c r="F925" i="8"/>
  <c r="G925" i="8" s="1"/>
  <c r="H925" i="8" s="1"/>
  <c r="F922" i="8"/>
  <c r="G922" i="8" s="1"/>
  <c r="H922" i="8" s="1"/>
  <c r="F805" i="8"/>
  <c r="G805" i="8" s="1"/>
  <c r="H805" i="8" s="1"/>
  <c r="F762" i="8"/>
  <c r="G762" i="8" s="1"/>
  <c r="H762" i="8" s="1"/>
  <c r="F689" i="8"/>
  <c r="G689" i="8" s="1"/>
  <c r="H689" i="8" s="1"/>
  <c r="F643" i="8"/>
  <c r="G643" i="8" s="1"/>
  <c r="H643" i="8" s="1"/>
  <c r="F590" i="8"/>
  <c r="G590" i="8" s="1"/>
  <c r="H590" i="8" s="1"/>
  <c r="F551" i="8"/>
  <c r="G551" i="8" s="1"/>
  <c r="H551" i="8" s="1"/>
  <c r="F478" i="8"/>
  <c r="G478" i="8" s="1"/>
  <c r="H478" i="8" s="1"/>
  <c r="F457" i="8"/>
  <c r="G457" i="8" s="1"/>
  <c r="H457" i="8" s="1"/>
  <c r="F435" i="8"/>
  <c r="G435" i="8" s="1"/>
  <c r="H435" i="8" s="1"/>
  <c r="F393" i="8"/>
  <c r="G393" i="8" s="1"/>
  <c r="H393" i="8" s="1"/>
  <c r="F389" i="8"/>
  <c r="G389" i="8" s="1"/>
  <c r="H389" i="8" s="1"/>
  <c r="F351" i="8"/>
  <c r="G351" i="8" s="1"/>
  <c r="H351" i="8" s="1"/>
  <c r="F265" i="8"/>
  <c r="G265" i="8" s="1"/>
  <c r="H265" i="8" s="1"/>
  <c r="F576" i="8"/>
  <c r="G576" i="8" s="1"/>
  <c r="H576" i="8" s="1"/>
  <c r="F559" i="8"/>
  <c r="G559" i="8" s="1"/>
  <c r="H559" i="8" s="1"/>
  <c r="F555" i="8"/>
  <c r="G555" i="8" s="1"/>
  <c r="H555" i="8" s="1"/>
  <c r="F538" i="8"/>
  <c r="G538" i="8" s="1"/>
  <c r="H538" i="8" s="1"/>
  <c r="F399" i="8"/>
  <c r="G399" i="8" s="1"/>
  <c r="H399" i="8" s="1"/>
  <c r="F339" i="8"/>
  <c r="G339" i="8" s="1"/>
  <c r="H339" i="8" s="1"/>
  <c r="F331" i="8"/>
  <c r="G331" i="8" s="1"/>
  <c r="H331" i="8" s="1"/>
  <c r="F1156" i="8"/>
  <c r="G1156" i="8" s="1"/>
  <c r="H1156" i="8" s="1"/>
  <c r="F914" i="8"/>
  <c r="G914" i="8" s="1"/>
  <c r="H914" i="8" s="1"/>
  <c r="F772" i="8"/>
  <c r="G772" i="8" s="1"/>
  <c r="H772" i="8" s="1"/>
  <c r="F721" i="8"/>
  <c r="G721" i="8" s="1"/>
  <c r="H721" i="8" s="1"/>
  <c r="F696" i="8"/>
  <c r="G696" i="8" s="1"/>
  <c r="H696" i="8" s="1"/>
  <c r="F672" i="8"/>
  <c r="G672" i="8" s="1"/>
  <c r="H672" i="8" s="1"/>
  <c r="F579" i="8"/>
  <c r="G579" i="8" s="1"/>
  <c r="H579" i="8" s="1"/>
  <c r="F572" i="8"/>
  <c r="G572" i="8" s="1"/>
  <c r="H572" i="8" s="1"/>
  <c r="F476" i="8"/>
  <c r="G476" i="8" s="1"/>
  <c r="H476" i="8" s="1"/>
  <c r="F459" i="8"/>
  <c r="G459" i="8" s="1"/>
  <c r="H459" i="8" s="1"/>
  <c r="F391" i="8"/>
  <c r="G391" i="8" s="1"/>
  <c r="H391" i="8" s="1"/>
  <c r="F334" i="8"/>
  <c r="G334" i="8" s="1"/>
  <c r="H334" i="8" s="1"/>
  <c r="F295" i="8"/>
  <c r="G295" i="8" s="1"/>
  <c r="H295" i="8" s="1"/>
  <c r="F241" i="8"/>
  <c r="G241" i="8" s="1"/>
  <c r="H241" i="8" s="1"/>
  <c r="F844" i="8"/>
  <c r="G844" i="8" s="1"/>
  <c r="H844" i="8" s="1"/>
  <c r="F806" i="8"/>
  <c r="G806" i="8" s="1"/>
  <c r="H806" i="8" s="1"/>
  <c r="F726" i="8"/>
  <c r="G726" i="8" s="1"/>
  <c r="H726" i="8" s="1"/>
  <c r="F681" i="8"/>
  <c r="G681" i="8" s="1"/>
  <c r="H681" i="8" s="1"/>
  <c r="F582" i="8"/>
  <c r="G582" i="8" s="1"/>
  <c r="H582" i="8" s="1"/>
  <c r="F554" i="8"/>
  <c r="G554" i="8" s="1"/>
  <c r="H554" i="8" s="1"/>
  <c r="F547" i="8"/>
  <c r="G547" i="8" s="1"/>
  <c r="H547" i="8" s="1"/>
  <c r="F533" i="8"/>
  <c r="G533" i="8" s="1"/>
  <c r="H533" i="8" s="1"/>
  <c r="F429" i="8"/>
  <c r="G429" i="8" s="1"/>
  <c r="H429" i="8" s="1"/>
  <c r="F226" i="8"/>
  <c r="G226" i="8" s="1"/>
  <c r="H226" i="8" s="1"/>
  <c r="F274" i="8"/>
  <c r="G274" i="8" s="1"/>
  <c r="H274" i="8" s="1"/>
  <c r="F936" i="8"/>
  <c r="G936" i="8" s="1"/>
  <c r="H936" i="8" s="1"/>
  <c r="F892" i="8"/>
  <c r="G892" i="8" s="1"/>
  <c r="H892" i="8" s="1"/>
  <c r="F792" i="8"/>
  <c r="G792" i="8" s="1"/>
  <c r="H792" i="8" s="1"/>
  <c r="F748" i="8"/>
  <c r="G748" i="8" s="1"/>
  <c r="H748" i="8" s="1"/>
  <c r="F660" i="8"/>
  <c r="G660" i="8" s="1"/>
  <c r="H660" i="8" s="1"/>
  <c r="F655" i="8"/>
  <c r="G655" i="8" s="1"/>
  <c r="H655" i="8" s="1"/>
  <c r="F652" i="8"/>
  <c r="G652" i="8" s="1"/>
  <c r="H652" i="8" s="1"/>
  <c r="F570" i="8"/>
  <c r="G570" i="8" s="1"/>
  <c r="H570" i="8" s="1"/>
  <c r="F510" i="8"/>
  <c r="G510" i="8" s="1"/>
  <c r="H510" i="8" s="1"/>
  <c r="F468" i="8"/>
  <c r="G468" i="8" s="1"/>
  <c r="H468" i="8" s="1"/>
  <c r="F417" i="8"/>
  <c r="G417" i="8" s="1"/>
  <c r="H417" i="8" s="1"/>
  <c r="F401" i="8"/>
  <c r="G401" i="8" s="1"/>
  <c r="H401" i="8" s="1"/>
  <c r="F383" i="8"/>
  <c r="G383" i="8" s="1"/>
  <c r="H383" i="8" s="1"/>
  <c r="F315" i="8"/>
  <c r="G315" i="8" s="1"/>
  <c r="H315" i="8" s="1"/>
  <c r="F303" i="8"/>
  <c r="G303" i="8" s="1"/>
  <c r="H303" i="8" s="1"/>
  <c r="F255" i="8"/>
  <c r="G255" i="8" s="1"/>
  <c r="H255" i="8" s="1"/>
  <c r="F26" i="8"/>
  <c r="G26" i="8" s="1"/>
  <c r="H26" i="8" s="1"/>
  <c r="F899" i="8"/>
  <c r="G899" i="8" s="1"/>
  <c r="H899" i="8" s="1"/>
  <c r="F853" i="8"/>
  <c r="G853" i="8" s="1"/>
  <c r="H853" i="8" s="1"/>
  <c r="F709" i="8"/>
  <c r="G709" i="8" s="1"/>
  <c r="H709" i="8" s="1"/>
  <c r="F628" i="8"/>
  <c r="G628" i="8" s="1"/>
  <c r="H628" i="8" s="1"/>
  <c r="F557" i="8"/>
  <c r="G557" i="8" s="1"/>
  <c r="H557" i="8" s="1"/>
  <c r="F545" i="8"/>
  <c r="G545" i="8" s="1"/>
  <c r="H545" i="8" s="1"/>
  <c r="F523" i="8"/>
  <c r="G523" i="8" s="1"/>
  <c r="H523" i="8" s="1"/>
  <c r="F519" i="8"/>
  <c r="G519" i="8" s="1"/>
  <c r="H519" i="8" s="1"/>
  <c r="F434" i="8"/>
  <c r="G434" i="8" s="1"/>
  <c r="H434" i="8" s="1"/>
  <c r="F375" i="8"/>
  <c r="G375" i="8" s="1"/>
  <c r="H375" i="8" s="1"/>
  <c r="F299" i="8"/>
  <c r="G299" i="8" s="1"/>
  <c r="H299" i="8" s="1"/>
  <c r="F273" i="8"/>
  <c r="G273" i="8" s="1"/>
  <c r="H273" i="8" s="1"/>
  <c r="F641" i="8"/>
  <c r="G641" i="8" s="1"/>
  <c r="H641" i="8" s="1"/>
  <c r="F544" i="8"/>
  <c r="G544" i="8" s="1"/>
  <c r="H544" i="8" s="1"/>
  <c r="F451" i="8"/>
  <c r="G451" i="8" s="1"/>
  <c r="H451" i="8" s="1"/>
  <c r="F437" i="8"/>
  <c r="G437" i="8" s="1"/>
  <c r="H437" i="8" s="1"/>
  <c r="F414" i="8"/>
  <c r="G414" i="8" s="1"/>
  <c r="H414" i="8" s="1"/>
  <c r="F378" i="8"/>
  <c r="G378" i="8" s="1"/>
  <c r="H378" i="8" s="1"/>
  <c r="F371" i="8"/>
  <c r="G371" i="8" s="1"/>
  <c r="H371" i="8" s="1"/>
  <c r="F344" i="8"/>
  <c r="G344" i="8" s="1"/>
  <c r="H344" i="8" s="1"/>
  <c r="F243" i="8"/>
  <c r="G243" i="8" s="1"/>
  <c r="H243" i="8" s="1"/>
  <c r="F877" i="8"/>
  <c r="G877" i="8" s="1"/>
  <c r="H877" i="8" s="1"/>
  <c r="F733" i="8"/>
  <c r="G733" i="8" s="1"/>
  <c r="H733" i="8" s="1"/>
  <c r="F581" i="8"/>
  <c r="G581" i="8" s="1"/>
  <c r="H581" i="8" s="1"/>
  <c r="F566" i="8"/>
  <c r="G566" i="8" s="1"/>
  <c r="H566" i="8" s="1"/>
  <c r="F556" i="8"/>
  <c r="G556" i="8" s="1"/>
  <c r="H556" i="8" s="1"/>
  <c r="F522" i="8"/>
  <c r="G522" i="8" s="1"/>
  <c r="H522" i="8" s="1"/>
  <c r="F422" i="8"/>
  <c r="G422" i="8" s="1"/>
  <c r="H422" i="8" s="1"/>
  <c r="F407" i="8"/>
  <c r="G407" i="8" s="1"/>
  <c r="H407" i="8" s="1"/>
  <c r="F363" i="8"/>
  <c r="G363" i="8" s="1"/>
  <c r="H363" i="8" s="1"/>
  <c r="F310" i="8"/>
  <c r="G310" i="8" s="1"/>
  <c r="H310" i="8" s="1"/>
  <c r="F306" i="8"/>
  <c r="G306" i="8" s="1"/>
  <c r="H306" i="8" s="1"/>
  <c r="F291" i="8"/>
  <c r="G291" i="8" s="1"/>
  <c r="H291" i="8" s="1"/>
  <c r="F234" i="8"/>
  <c r="G234" i="8" s="1"/>
  <c r="H234" i="8" s="1"/>
  <c r="F231" i="8"/>
  <c r="G231" i="8" s="1"/>
  <c r="H231" i="8" s="1"/>
  <c r="F196" i="8"/>
  <c r="G196" i="8" s="1"/>
  <c r="H196" i="8" s="1"/>
  <c r="F600" i="8"/>
  <c r="G600" i="8" s="1"/>
  <c r="H600" i="8" s="1"/>
  <c r="F584" i="8"/>
  <c r="G584" i="8" s="1"/>
  <c r="H584" i="8" s="1"/>
  <c r="F503" i="8"/>
  <c r="G503" i="8" s="1"/>
  <c r="H503" i="8" s="1"/>
  <c r="F413" i="8"/>
  <c r="G413" i="8" s="1"/>
  <c r="H413" i="8" s="1"/>
  <c r="F327" i="8"/>
  <c r="G327" i="8" s="1"/>
  <c r="H327" i="8" s="1"/>
  <c r="F286" i="8"/>
  <c r="G286" i="8" s="1"/>
  <c r="H286" i="8" s="1"/>
  <c r="F283" i="8"/>
  <c r="G283" i="8" s="1"/>
  <c r="H283" i="8" s="1"/>
  <c r="F266" i="8"/>
  <c r="G266" i="8" s="1"/>
  <c r="H266" i="8" s="1"/>
  <c r="F525" i="8"/>
  <c r="G525" i="8" s="1"/>
  <c r="H525" i="8" s="1"/>
  <c r="F497" i="8"/>
  <c r="G497" i="8" s="1"/>
  <c r="H497" i="8" s="1"/>
  <c r="F428" i="8"/>
  <c r="G428" i="8" s="1"/>
  <c r="H428" i="8" s="1"/>
  <c r="F387" i="8"/>
  <c r="G387" i="8" s="1"/>
  <c r="H387" i="8" s="1"/>
  <c r="F337" i="8"/>
  <c r="G337" i="8" s="1"/>
  <c r="H337" i="8" s="1"/>
  <c r="F297" i="8"/>
  <c r="G297" i="8" s="1"/>
  <c r="H297" i="8" s="1"/>
  <c r="F48" i="8"/>
  <c r="G48" i="8" s="1"/>
  <c r="H48" i="8" s="1"/>
  <c r="F676" i="8"/>
  <c r="G676" i="8" s="1"/>
  <c r="H676" i="8" s="1"/>
  <c r="F604" i="8"/>
  <c r="G604" i="8" s="1"/>
  <c r="H604" i="8" s="1"/>
  <c r="F560" i="8"/>
  <c r="G560" i="8" s="1"/>
  <c r="H560" i="8" s="1"/>
  <c r="F505" i="8"/>
  <c r="G505" i="8" s="1"/>
  <c r="H505" i="8" s="1"/>
  <c r="F484" i="8"/>
  <c r="G484" i="8" s="1"/>
  <c r="H484" i="8" s="1"/>
  <c r="F466" i="8"/>
  <c r="G466" i="8" s="1"/>
  <c r="H466" i="8" s="1"/>
  <c r="F456" i="8"/>
  <c r="G456" i="8" s="1"/>
  <c r="H456" i="8" s="1"/>
  <c r="F427" i="8"/>
  <c r="G427" i="8" s="1"/>
  <c r="H427" i="8" s="1"/>
  <c r="F402" i="8"/>
  <c r="G402" i="8" s="1"/>
  <c r="H402" i="8" s="1"/>
  <c r="F382" i="8"/>
  <c r="G382" i="8" s="1"/>
  <c r="H382" i="8" s="1"/>
  <c r="F350" i="8"/>
  <c r="G350" i="8" s="1"/>
  <c r="H350" i="8" s="1"/>
  <c r="F292" i="8"/>
  <c r="G292" i="8" s="1"/>
  <c r="H292" i="8" s="1"/>
  <c r="F264" i="8"/>
  <c r="G264" i="8" s="1"/>
  <c r="H264" i="8" s="1"/>
  <c r="F207" i="8"/>
  <c r="G207" i="8" s="1"/>
  <c r="H207" i="8" s="1"/>
  <c r="F203" i="8"/>
  <c r="G203" i="8" s="1"/>
  <c r="H203" i="8" s="1"/>
  <c r="F335" i="8"/>
  <c r="G335" i="8" s="1"/>
  <c r="H335" i="8" s="1"/>
  <c r="F301" i="8"/>
  <c r="G301" i="8" s="1"/>
  <c r="H301" i="8" s="1"/>
  <c r="F158" i="8"/>
  <c r="G158" i="8" s="1"/>
  <c r="H158" i="8" s="1"/>
  <c r="F147" i="8"/>
  <c r="G147" i="8" s="1"/>
  <c r="H147" i="8" s="1"/>
  <c r="F52" i="8"/>
  <c r="G52" i="8" s="1"/>
  <c r="H52" i="8" s="1"/>
  <c r="F307" i="8"/>
  <c r="G307" i="8" s="1"/>
  <c r="H307" i="8" s="1"/>
  <c r="F282" i="8"/>
  <c r="G282" i="8" s="1"/>
  <c r="H282" i="8" s="1"/>
  <c r="F70" i="8"/>
  <c r="G70" i="8" s="1"/>
  <c r="H70" i="8" s="1"/>
  <c r="F637" i="8"/>
  <c r="G637" i="8" s="1"/>
  <c r="H637" i="8" s="1"/>
  <c r="F593" i="8"/>
  <c r="G593" i="8" s="1"/>
  <c r="H593" i="8" s="1"/>
  <c r="F536" i="8"/>
  <c r="G536" i="8" s="1"/>
  <c r="H536" i="8" s="1"/>
  <c r="F423" i="8"/>
  <c r="G423" i="8" s="1"/>
  <c r="H423" i="8" s="1"/>
  <c r="F411" i="8"/>
  <c r="G411" i="8" s="1"/>
  <c r="H411" i="8" s="1"/>
  <c r="F379" i="8"/>
  <c r="G379" i="8" s="1"/>
  <c r="H379" i="8" s="1"/>
  <c r="F352" i="8"/>
  <c r="G352" i="8" s="1"/>
  <c r="H352" i="8" s="1"/>
  <c r="F330" i="8"/>
  <c r="G330" i="8" s="1"/>
  <c r="H330" i="8" s="1"/>
  <c r="F220" i="8"/>
  <c r="G220" i="8" s="1"/>
  <c r="H220" i="8" s="1"/>
  <c r="F508" i="8"/>
  <c r="G508" i="8" s="1"/>
  <c r="H508" i="8" s="1"/>
  <c r="F490" i="8"/>
  <c r="G490" i="8" s="1"/>
  <c r="H490" i="8" s="1"/>
  <c r="F372" i="8"/>
  <c r="G372" i="8" s="1"/>
  <c r="H372" i="8" s="1"/>
  <c r="F340" i="8"/>
  <c r="G340" i="8" s="1"/>
  <c r="H340" i="8" s="1"/>
  <c r="F326" i="8"/>
  <c r="G326" i="8" s="1"/>
  <c r="H326" i="8" s="1"/>
  <c r="F308" i="8"/>
  <c r="G308" i="8" s="1"/>
  <c r="H308" i="8" s="1"/>
  <c r="F302" i="8"/>
  <c r="G302" i="8" s="1"/>
  <c r="H302" i="8" s="1"/>
  <c r="F246" i="8"/>
  <c r="G246" i="8" s="1"/>
  <c r="H246" i="8" s="1"/>
  <c r="F191" i="8"/>
  <c r="G191" i="8" s="1"/>
  <c r="H191" i="8" s="1"/>
  <c r="F150" i="8"/>
  <c r="G150" i="8" s="1"/>
  <c r="H150" i="8" s="1"/>
  <c r="F532" i="8"/>
  <c r="G532" i="8" s="1"/>
  <c r="H532" i="8" s="1"/>
  <c r="F357" i="8"/>
  <c r="G357" i="8" s="1"/>
  <c r="H357" i="8" s="1"/>
  <c r="F290" i="8"/>
  <c r="G290" i="8" s="1"/>
  <c r="H290" i="8" s="1"/>
  <c r="F287" i="8"/>
  <c r="G287" i="8" s="1"/>
  <c r="H287" i="8" s="1"/>
  <c r="F284" i="8"/>
  <c r="G284" i="8" s="1"/>
  <c r="H284" i="8" s="1"/>
  <c r="F278" i="8"/>
  <c r="G278" i="8" s="1"/>
  <c r="H278" i="8" s="1"/>
  <c r="F249" i="8"/>
  <c r="G249" i="8" s="1"/>
  <c r="H249" i="8" s="1"/>
  <c r="F142" i="8"/>
  <c r="G142" i="8" s="1"/>
  <c r="H142" i="8" s="1"/>
  <c r="F345" i="8"/>
  <c r="G345" i="8" s="1"/>
  <c r="H345" i="8" s="1"/>
  <c r="F325" i="8"/>
  <c r="G325" i="8" s="1"/>
  <c r="H325" i="8" s="1"/>
  <c r="F242" i="8"/>
  <c r="G242" i="8" s="1"/>
  <c r="H242" i="8" s="1"/>
  <c r="F221" i="8"/>
  <c r="G221" i="8" s="1"/>
  <c r="H221" i="8" s="1"/>
  <c r="F190" i="8"/>
  <c r="G190" i="8" s="1"/>
  <c r="H190" i="8" s="1"/>
  <c r="F98" i="8"/>
  <c r="G98" i="8" s="1"/>
  <c r="H98" i="8" s="1"/>
  <c r="F74" i="8"/>
  <c r="G74" i="8" s="1"/>
  <c r="H74" i="8" s="1"/>
  <c r="F42" i="8"/>
  <c r="G42" i="8" s="1"/>
  <c r="H42" i="8" s="1"/>
  <c r="F362" i="8"/>
  <c r="G362" i="8" s="1"/>
  <c r="H362" i="8" s="1"/>
  <c r="F269" i="8"/>
  <c r="G269" i="8" s="1"/>
  <c r="H269" i="8" s="1"/>
  <c r="F263" i="8"/>
  <c r="G263" i="8" s="1"/>
  <c r="H263" i="8" s="1"/>
  <c r="F260" i="8"/>
  <c r="G260" i="8" s="1"/>
  <c r="H260" i="8" s="1"/>
  <c r="F214" i="8"/>
  <c r="G214" i="8" s="1"/>
  <c r="H214" i="8" s="1"/>
  <c r="F41" i="8"/>
  <c r="G41" i="8" s="1"/>
  <c r="H41" i="8" s="1"/>
  <c r="F433" i="8"/>
  <c r="G433" i="8" s="1"/>
  <c r="H433" i="8" s="1"/>
  <c r="F359" i="8"/>
  <c r="G359" i="8" s="1"/>
  <c r="H359" i="8" s="1"/>
  <c r="F251" i="8"/>
  <c r="G251" i="8" s="1"/>
  <c r="H251" i="8" s="1"/>
  <c r="F176" i="8"/>
  <c r="G176" i="8" s="1"/>
  <c r="H176" i="8" s="1"/>
  <c r="F60" i="8"/>
  <c r="G60" i="8" s="1"/>
  <c r="H60" i="8" s="1"/>
  <c r="F431" i="8"/>
  <c r="G431" i="8" s="1"/>
  <c r="H431" i="8" s="1"/>
  <c r="F235" i="8"/>
  <c r="G235" i="8" s="1"/>
  <c r="H235" i="8" s="1"/>
  <c r="F22" i="8"/>
  <c r="G22" i="8" s="1"/>
  <c r="H22" i="8" s="1"/>
  <c r="F455" i="8"/>
  <c r="G455" i="8" s="1"/>
  <c r="H455" i="8" s="1"/>
  <c r="F311" i="8"/>
  <c r="G311" i="8" s="1"/>
  <c r="H311" i="8" s="1"/>
  <c r="F298" i="8"/>
  <c r="G298" i="8" s="1"/>
  <c r="H298" i="8" s="1"/>
  <c r="F267" i="8"/>
  <c r="G267" i="8" s="1"/>
  <c r="H267" i="8" s="1"/>
  <c r="F237" i="8"/>
  <c r="G237" i="8" s="1"/>
  <c r="H237" i="8" s="1"/>
  <c r="F224" i="8"/>
  <c r="G224" i="8" s="1"/>
  <c r="H224" i="8" s="1"/>
  <c r="F171" i="8"/>
  <c r="G171" i="8" s="1"/>
  <c r="H171" i="8" s="1"/>
  <c r="F149" i="8"/>
  <c r="G149" i="8" s="1"/>
  <c r="H149" i="8" s="1"/>
  <c r="F105" i="8"/>
  <c r="G105" i="8" s="1"/>
  <c r="H105" i="8" s="1"/>
  <c r="F90" i="8"/>
  <c r="G90" i="8" s="1"/>
  <c r="H90" i="8" s="1"/>
  <c r="F78" i="8"/>
  <c r="G78" i="8" s="1"/>
  <c r="H78" i="8" s="1"/>
  <c r="F66" i="8"/>
  <c r="G66" i="8" s="1"/>
  <c r="H66" i="8" s="1"/>
  <c r="F44" i="8"/>
  <c r="G44" i="8" s="1"/>
  <c r="H44" i="8" s="1"/>
  <c r="F479" i="8"/>
  <c r="G479" i="8" s="1"/>
  <c r="H479" i="8" s="1"/>
  <c r="F418" i="8"/>
  <c r="G418" i="8" s="1"/>
  <c r="H418" i="8" s="1"/>
  <c r="F374" i="8"/>
  <c r="G374" i="8" s="1"/>
  <c r="H374" i="8" s="1"/>
  <c r="F202" i="8"/>
  <c r="G202" i="8" s="1"/>
  <c r="H202" i="8" s="1"/>
  <c r="F180" i="8"/>
  <c r="G180" i="8" s="1"/>
  <c r="H180" i="8" s="1"/>
  <c r="F174" i="8"/>
  <c r="G174" i="8" s="1"/>
  <c r="H174" i="8" s="1"/>
  <c r="F152" i="8"/>
  <c r="G152" i="8" s="1"/>
  <c r="H152" i="8" s="1"/>
  <c r="F125" i="8"/>
  <c r="G125" i="8" s="1"/>
  <c r="H125" i="8" s="1"/>
  <c r="F47" i="8"/>
  <c r="G47" i="8" s="1"/>
  <c r="H47" i="8" s="1"/>
  <c r="F186" i="8"/>
  <c r="G186" i="8" s="1"/>
  <c r="H186" i="8" s="1"/>
  <c r="F62" i="8"/>
  <c r="G62" i="8" s="1"/>
  <c r="H62" i="8" s="1"/>
  <c r="F101" i="8"/>
  <c r="G101" i="8" s="1"/>
  <c r="H101" i="8" s="1"/>
  <c r="F86" i="8"/>
  <c r="G86" i="8" s="1"/>
  <c r="H86" i="8" s="1"/>
  <c r="F77" i="8"/>
  <c r="G77" i="8" s="1"/>
  <c r="H77" i="8" s="1"/>
  <c r="F227" i="8"/>
  <c r="G227" i="8" s="1"/>
  <c r="H227" i="8" s="1"/>
  <c r="F173" i="8"/>
  <c r="G173" i="8" s="1"/>
  <c r="H173" i="8" s="1"/>
  <c r="F165" i="8"/>
  <c r="G165" i="8" s="1"/>
  <c r="H165" i="8" s="1"/>
  <c r="F127" i="8"/>
  <c r="G127" i="8" s="1"/>
  <c r="H127" i="8" s="1"/>
  <c r="F100" i="8"/>
  <c r="G100" i="8" s="1"/>
  <c r="H100" i="8" s="1"/>
  <c r="F238" i="8"/>
  <c r="G238" i="8" s="1"/>
  <c r="H238" i="8" s="1"/>
  <c r="F210" i="8"/>
  <c r="G210" i="8" s="1"/>
  <c r="H210" i="8" s="1"/>
  <c r="F151" i="8"/>
  <c r="G151" i="8" s="1"/>
  <c r="H151" i="8" s="1"/>
  <c r="F140" i="8"/>
  <c r="G140" i="8" s="1"/>
  <c r="H140" i="8" s="1"/>
  <c r="F124" i="8"/>
  <c r="G124" i="8" s="1"/>
  <c r="H124" i="8" s="1"/>
  <c r="F33" i="8"/>
  <c r="G33" i="8" s="1"/>
  <c r="H33" i="8" s="1"/>
  <c r="F17" i="8"/>
  <c r="G17" i="8" s="1"/>
  <c r="H17" i="8" s="1"/>
  <c r="F110" i="8"/>
  <c r="G110" i="8" s="1"/>
  <c r="H110" i="8" s="1"/>
  <c r="F23" i="8"/>
  <c r="G23" i="8" s="1"/>
  <c r="H23" i="8" s="1"/>
  <c r="F20" i="8"/>
  <c r="G20" i="8" s="1"/>
  <c r="H20" i="8" s="1"/>
  <c r="F123" i="8"/>
  <c r="G123" i="8" s="1"/>
  <c r="H123" i="8" s="1"/>
  <c r="F93" i="8"/>
  <c r="G93" i="8" s="1"/>
  <c r="H93" i="8" s="1"/>
  <c r="F75" i="8"/>
  <c r="G75" i="8" s="1"/>
  <c r="H75" i="8" s="1"/>
  <c r="F35" i="8"/>
  <c r="G35" i="8" s="1"/>
  <c r="H35" i="8" s="1"/>
  <c r="F29" i="8"/>
  <c r="G29" i="8" s="1"/>
  <c r="H29" i="8" s="1"/>
  <c r="F169" i="8"/>
  <c r="G169" i="8" s="1"/>
  <c r="H169" i="8" s="1"/>
  <c r="F145" i="8"/>
  <c r="G145" i="8" s="1"/>
  <c r="H145" i="8" s="1"/>
  <c r="F128" i="8"/>
  <c r="G128" i="8" s="1"/>
  <c r="H128" i="8" s="1"/>
  <c r="F80" i="8"/>
  <c r="G80" i="8" s="1"/>
  <c r="H80" i="8" s="1"/>
  <c r="F57" i="8"/>
  <c r="G57" i="8" s="1"/>
  <c r="H57" i="8" s="1"/>
  <c r="F183" i="8"/>
  <c r="G183" i="8" s="1"/>
  <c r="H183" i="8" s="1"/>
  <c r="F159" i="8"/>
  <c r="G159" i="8" s="1"/>
  <c r="H159" i="8" s="1"/>
  <c r="F135" i="8"/>
  <c r="G135" i="8" s="1"/>
  <c r="H135" i="8" s="1"/>
  <c r="F111" i="8"/>
  <c r="G111" i="8" s="1"/>
  <c r="H111" i="8" s="1"/>
  <c r="F87" i="8"/>
  <c r="G87" i="8" s="1"/>
  <c r="H87" i="8" s="1"/>
  <c r="F63" i="8"/>
  <c r="G63" i="8" s="1"/>
  <c r="H63" i="8" s="1"/>
  <c r="F163" i="8"/>
  <c r="G163" i="8" s="1"/>
  <c r="H163" i="8" s="1"/>
  <c r="F139" i="8"/>
  <c r="G139" i="8" s="1"/>
  <c r="H139" i="8" s="1"/>
  <c r="F115" i="8"/>
  <c r="G115" i="8" s="1"/>
  <c r="H115" i="8" s="1"/>
  <c r="F91" i="8"/>
  <c r="G91" i="8" s="1"/>
  <c r="H91" i="8" s="1"/>
  <c r="F67" i="8"/>
  <c r="G67" i="8" s="1"/>
  <c r="H67" i="8" s="1"/>
  <c r="F121" i="8"/>
  <c r="G121" i="8" s="1"/>
  <c r="H121" i="8" s="1"/>
  <c r="F97" i="8"/>
  <c r="G97" i="8" s="1"/>
  <c r="H97" i="8" s="1"/>
  <c r="F73" i="8"/>
  <c r="G73" i="8" s="1"/>
  <c r="H73" i="8" s="1"/>
  <c r="F55" i="8"/>
  <c r="G55" i="8" s="1"/>
  <c r="H55" i="8" s="1"/>
  <c r="F43" i="8"/>
  <c r="G43" i="8" s="1"/>
  <c r="H43" i="8" s="1"/>
  <c r="F31" i="8"/>
  <c r="G31" i="8" s="1"/>
  <c r="H31" i="8" s="1"/>
  <c r="F19" i="8"/>
  <c r="G19" i="8" s="1"/>
  <c r="H19" i="8" s="1"/>
  <c r="F16" i="8"/>
  <c r="G16" i="8" s="1"/>
  <c r="H16" i="8" s="1"/>
  <c r="G29" i="6"/>
  <c r="Q15" i="9" l="1"/>
  <c r="U15" i="9" s="1"/>
  <c r="H23" i="7"/>
  <c r="H31" i="7"/>
  <c r="H32" i="7" s="1"/>
  <c r="H26" i="7"/>
  <c r="T11" i="9"/>
  <c r="T17" i="9" s="1"/>
  <c r="P17" i="9"/>
  <c r="I23" i="9"/>
  <c r="I24" i="9" s="1"/>
  <c r="R14" i="9"/>
  <c r="V14" i="9" s="1"/>
  <c r="H23" i="9"/>
  <c r="H24" i="9" s="1"/>
  <c r="Q14" i="9"/>
  <c r="U14" i="9" s="1"/>
  <c r="I10" i="9"/>
  <c r="Q11" i="9"/>
  <c r="I31" i="9"/>
  <c r="I32" i="9" s="1"/>
  <c r="H33" i="9"/>
  <c r="I25" i="9"/>
  <c r="I26" i="9"/>
  <c r="R15" i="9" s="1"/>
  <c r="V15" i="9" s="1"/>
  <c r="H27" i="9"/>
  <c r="H28" i="9" s="1"/>
  <c r="H19" i="9"/>
  <c r="H20" i="9" s="1"/>
  <c r="I17" i="9"/>
  <c r="I19" i="9" s="1"/>
  <c r="I20" i="9" s="1"/>
  <c r="I18" i="9"/>
  <c r="R13" i="9" s="1"/>
  <c r="V13" i="9" s="1"/>
  <c r="I13" i="9"/>
  <c r="I15" i="9" s="1"/>
  <c r="I16" i="9" s="1"/>
  <c r="I14" i="9"/>
  <c r="R12" i="9" s="1"/>
  <c r="V12" i="9" s="1"/>
  <c r="H15" i="9"/>
  <c r="H16" i="9" s="1"/>
  <c r="H11" i="9"/>
  <c r="H12" i="9" s="1"/>
  <c r="I9" i="9"/>
  <c r="I11" i="9" s="1"/>
  <c r="I12" i="9" s="1"/>
  <c r="O16" i="8"/>
  <c r="N16" i="8"/>
  <c r="M16" i="8"/>
  <c r="L16" i="8"/>
  <c r="K16" i="8"/>
  <c r="J16" i="8"/>
  <c r="J15" i="6"/>
  <c r="R11" i="9" l="1"/>
  <c r="V11" i="9"/>
  <c r="V17" i="9" s="1"/>
  <c r="R17" i="9"/>
  <c r="R23" i="9" s="1"/>
  <c r="Q17" i="9"/>
  <c r="Q23" i="9" s="1"/>
  <c r="Q24" i="9" s="1"/>
  <c r="U11" i="9"/>
  <c r="U17" i="9" s="1"/>
  <c r="I33" i="9"/>
  <c r="I27" i="9"/>
  <c r="I28" i="9" s="1"/>
  <c r="R24" i="9" l="1"/>
  <c r="S23" i="9"/>
  <c r="I7" i="7"/>
  <c r="I22" i="7" s="1"/>
  <c r="I23" i="7" s="1"/>
  <c r="Q28" i="9"/>
  <c r="R28" i="9" l="1"/>
  <c r="J7" i="7"/>
  <c r="J22" i="7" s="1"/>
  <c r="J23" i="7" s="1"/>
  <c r="T23" i="9"/>
  <c r="S24" i="9"/>
  <c r="Q30" i="9"/>
  <c r="I8" i="7" s="1"/>
  <c r="I9" i="7" s="1"/>
  <c r="I11" i="7"/>
  <c r="J11" i="7" l="1"/>
  <c r="R30" i="9"/>
  <c r="J8" i="7" s="1"/>
  <c r="J9" i="7" s="1"/>
  <c r="T24" i="9"/>
  <c r="U23" i="9"/>
  <c r="K7" i="7"/>
  <c r="K22" i="7" s="1"/>
  <c r="K23" i="7" s="1"/>
  <c r="S28" i="9"/>
  <c r="I12" i="7"/>
  <c r="I24" i="7" s="1"/>
  <c r="I13" i="7"/>
  <c r="I17" i="7" s="1"/>
  <c r="J12" i="7" l="1"/>
  <c r="J24" i="7" s="1"/>
  <c r="J13" i="7"/>
  <c r="J17" i="7" s="1"/>
  <c r="L7" i="7"/>
  <c r="L22" i="7" s="1"/>
  <c r="L23" i="7" s="1"/>
  <c r="T28" i="9"/>
  <c r="U24" i="9"/>
  <c r="V23" i="9"/>
  <c r="V24" i="9" s="1"/>
  <c r="S30" i="9"/>
  <c r="K8" i="7" s="1"/>
  <c r="K9" i="7" s="1"/>
  <c r="K11" i="7"/>
  <c r="I26" i="7"/>
  <c r="I31" i="7"/>
  <c r="I32" i="7" s="1"/>
  <c r="J26" i="7" l="1"/>
  <c r="J31" i="7"/>
  <c r="J32" i="7" s="1"/>
  <c r="T30" i="9"/>
  <c r="L8" i="7" s="1"/>
  <c r="L9" i="7" s="1"/>
  <c r="L11" i="7"/>
  <c r="M7" i="7"/>
  <c r="M22" i="7" s="1"/>
  <c r="M23" i="7" s="1"/>
  <c r="U28" i="9"/>
  <c r="N7" i="7"/>
  <c r="N22" i="7" s="1"/>
  <c r="L19" i="7" s="1"/>
  <c r="V28" i="9"/>
  <c r="K12" i="7"/>
  <c r="K24" i="7" s="1"/>
  <c r="K13" i="7"/>
  <c r="K17" i="7" s="1"/>
  <c r="L12" i="7" l="1"/>
  <c r="L24" i="7" s="1"/>
  <c r="L13" i="7"/>
  <c r="L17" i="7" s="1"/>
  <c r="U30" i="9"/>
  <c r="M8" i="7" s="1"/>
  <c r="M9" i="7" s="1"/>
  <c r="M11" i="7"/>
  <c r="V30" i="9"/>
  <c r="N8" i="7" s="1"/>
  <c r="N9" i="7" s="1"/>
  <c r="N11" i="7"/>
  <c r="K26" i="7"/>
  <c r="K31" i="7"/>
  <c r="K32" i="7" s="1"/>
  <c r="N23" i="7"/>
  <c r="L26" i="7" l="1"/>
  <c r="L31" i="7"/>
  <c r="L32" i="7" s="1"/>
  <c r="M12" i="7"/>
  <c r="M24" i="7" s="1"/>
  <c r="M13" i="7"/>
  <c r="M17" i="7" s="1"/>
  <c r="N12" i="7"/>
  <c r="N24" i="7" s="1"/>
  <c r="N13" i="7"/>
  <c r="N17" i="7" s="1"/>
  <c r="N31" i="7" l="1"/>
  <c r="N32" i="7" s="1"/>
  <c r="C34" i="7"/>
  <c r="H34" i="7" s="1"/>
  <c r="H35" i="7" s="1"/>
  <c r="N26" i="7"/>
  <c r="M26" i="7"/>
  <c r="M31" i="7"/>
  <c r="M32" i="7" s="1"/>
  <c r="H33" i="7" l="1"/>
  <c r="H36" i="7" s="1"/>
  <c r="H37" i="7" l="1"/>
  <c r="D39" i="7"/>
  <c r="D45" i="7" s="1"/>
  <c r="D46" i="7" s="1"/>
  <c r="G41" i="7" l="1"/>
  <c r="D49" i="7"/>
</calcChain>
</file>

<file path=xl/sharedStrings.xml><?xml version="1.0" encoding="utf-8"?>
<sst xmlns="http://schemas.openxmlformats.org/spreadsheetml/2006/main" count="481" uniqueCount="397">
  <si>
    <t>symbol</t>
  </si>
  <si>
    <t>currentPrice</t>
  </si>
  <si>
    <t>beta</t>
  </si>
  <si>
    <t>trailingPE</t>
  </si>
  <si>
    <t>priceToBook</t>
  </si>
  <si>
    <t>bookValue</t>
  </si>
  <si>
    <t>trailingEps</t>
  </si>
  <si>
    <t>quickRatio</t>
  </si>
  <si>
    <t>currentRatio</t>
  </si>
  <si>
    <t>returnOnEquity</t>
  </si>
  <si>
    <t>revenueGrowth</t>
  </si>
  <si>
    <t>CAPMAN.HE</t>
  </si>
  <si>
    <t>Metric</t>
  </si>
  <si>
    <t>Value</t>
  </si>
  <si>
    <t>ROE (latest FY)</t>
  </si>
  <si>
    <t>ROE (prev FY)</t>
  </si>
  <si>
    <t>ROE 2y average</t>
  </si>
  <si>
    <t>Volatility 60d (ann.)</t>
  </si>
  <si>
    <t>Volatility 252d (ann.)</t>
  </si>
  <si>
    <t>TaxEffectOfUnusualItems</t>
  </si>
  <si>
    <t>TaxRateForCalcs</t>
  </si>
  <si>
    <t>NormalizedEBITDA</t>
  </si>
  <si>
    <t>TotalUnusualItems</t>
  </si>
  <si>
    <t>TotalUnusualItemsExcludingGoodwill</t>
  </si>
  <si>
    <t>NetIncomeFromContinuingOperationNetMinorityInterest</t>
  </si>
  <si>
    <t>ReconciledDepreciation</t>
  </si>
  <si>
    <t>ReconciledCostOfRevenue</t>
  </si>
  <si>
    <t>EBITDA</t>
  </si>
  <si>
    <t>EBIT</t>
  </si>
  <si>
    <t>NetInterestIncome</t>
  </si>
  <si>
    <t>InterestExpense</t>
  </si>
  <si>
    <t>InterestIncome</t>
  </si>
  <si>
    <t>NormalizedIncome</t>
  </si>
  <si>
    <t>NetIncomeFromContinuingAndDiscontinuedOperation</t>
  </si>
  <si>
    <t>TotalExpenses</t>
  </si>
  <si>
    <t>TotalOperatingIncomeAsReported</t>
  </si>
  <si>
    <t>DilutedAverageShares</t>
  </si>
  <si>
    <t>BasicAverageShares</t>
  </si>
  <si>
    <t>DilutedEPS</t>
  </si>
  <si>
    <t>BasicEPS</t>
  </si>
  <si>
    <t>DilutedNIAvailtoComStockholders</t>
  </si>
  <si>
    <t>NetIncomeCommonStockholders</t>
  </si>
  <si>
    <t>OtherunderPreferredStockDividend</t>
  </si>
  <si>
    <t>NetIncome</t>
  </si>
  <si>
    <t>MinorityInterests</t>
  </si>
  <si>
    <t>NetIncomeIncludingNoncontrollingInterests</t>
  </si>
  <si>
    <t>NetIncomeDiscontinuousOperations</t>
  </si>
  <si>
    <t>NetIncomeContinuousOperations</t>
  </si>
  <si>
    <t>TaxProvision</t>
  </si>
  <si>
    <t>PretaxIncome</t>
  </si>
  <si>
    <t>OtherNonOperatingIncomeExpenses</t>
  </si>
  <si>
    <t>SpecialIncomeCharges</t>
  </si>
  <si>
    <t>OtherSpecialCharges</t>
  </si>
  <si>
    <t>NetNonOperatingInterestIncomeExpense</t>
  </si>
  <si>
    <t>TotalOtherFinanceCost</t>
  </si>
  <si>
    <t>InterestExpenseNonOperating</t>
  </si>
  <si>
    <t>InterestIncomeNonOperating</t>
  </si>
  <si>
    <t>OperatingIncome</t>
  </si>
  <si>
    <t>OperatingExpense</t>
  </si>
  <si>
    <t>OtherOperatingExpenses</t>
  </si>
  <si>
    <t>DepreciationAndAmortizationInIncomeStatement</t>
  </si>
  <si>
    <t>Amortization</t>
  </si>
  <si>
    <t>DepreciationIncomeStatement</t>
  </si>
  <si>
    <t>GrossProfit</t>
  </si>
  <si>
    <t>CostOfRevenue</t>
  </si>
  <si>
    <t>TotalRevenue</t>
  </si>
  <si>
    <t>OperatingRevenue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</si>
  <si>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</si>
  <si>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</si>
  <si>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</si>
  <si>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</si>
  <si>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</si>
  <si>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</si>
  <si>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</si>
  <si>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</si>
  <si>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</si>
  <si>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</si>
  <si>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</si>
  <si>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</si>
  <si>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</si>
  <si>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</si>
  <si>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</si>
  <si>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</si>
  <si>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</si>
  <si>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</si>
  <si>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</si>
  <si>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</si>
  <si>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</si>
  <si>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</si>
  <si>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</si>
  <si>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</si>
  <si>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</si>
  <si>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</si>
  <si>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</si>
  <si>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</si>
  <si>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</si>
  <si>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</si>
  <si>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</si>
  <si>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</si>
  <si>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Payables</t>
  </si>
  <si>
    <t>Total Tax Payable</t>
  </si>
  <si>
    <t>Accounts Payable</t>
  </si>
  <si>
    <t>Total Assets</t>
  </si>
  <si>
    <t>Total Non Current Assets</t>
  </si>
  <si>
    <t>Non Current Deferred Taxes Assets</t>
  </si>
  <si>
    <t>Investmentin Financial Assets</t>
  </si>
  <si>
    <t>Financial Assets Designatedas Fair Value Through Profitor Loss Total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</si>
  <si>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</si>
  <si>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</si>
  <si>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</si>
  <si>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</si>
  <si>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</si>
  <si>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</si>
  <si>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Other Properties</t>
  </si>
  <si>
    <t>Machinery Furniture Equipment</t>
  </si>
  <si>
    <t>Buildings And Improvements</t>
  </si>
  <si>
    <t>Properties</t>
  </si>
  <si>
    <t>Current Assets</t>
  </si>
  <si>
    <t>Other Current Assets</t>
  </si>
  <si>
    <t>Assets Held For Sale Current</t>
  </si>
  <si>
    <t>Restricted Cash</t>
  </si>
  <si>
    <t>Other 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</si>
  <si>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</si>
  <si>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</si>
  <si>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</si>
  <si>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</si>
  <si>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</si>
  <si>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</si>
  <si>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</si>
  <si>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</si>
  <si>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</si>
  <si>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</si>
  <si>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</si>
  <si>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</si>
  <si>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</si>
  <si>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</si>
  <si>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</si>
  <si>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</si>
  <si>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</si>
  <si>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</si>
  <si>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Net Other Financing Charges</t>
  </si>
  <si>
    <t>Cash Dividends Paid</t>
  </si>
  <si>
    <t>Common Stock Dividend Paid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</si>
  <si>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</si>
  <si>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</si>
  <si>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</si>
  <si>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</si>
  <si>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</si>
  <si>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</si>
  <si>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</si>
  <si>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Net Other Investing Changes</t>
  </si>
  <si>
    <t>Interest Received Cfi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</si>
  <si>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</si>
  <si>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</si>
  <si>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</si>
  <si>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</si>
  <si>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</si>
  <si>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</si>
  <si>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PPE Purchase And Sale</t>
  </si>
  <si>
    <t>Purchase Of PPE</t>
  </si>
  <si>
    <t>Operating Cash Flow</t>
  </si>
  <si>
    <t>Taxes Refund Paid</t>
  </si>
  <si>
    <t>Interest Paid Cfo</t>
  </si>
  <si>
    <t>Change In Working Capital</t>
  </si>
  <si>
    <t>Change In Payable</t>
  </si>
  <si>
    <t>Change In Receivables</t>
  </si>
  <si>
    <t>Other Non Cash Items</t>
  </si>
  <si>
    <t>Stock Based Compensation</t>
  </si>
  <si>
    <t>Deferred Tax</t>
  </si>
  <si>
    <t>Depreciation And Amortization</t>
  </si>
  <si>
    <t>Depreciation</t>
  </si>
  <si>
    <t>Pension And Employee Benefit Expense</t>
  </si>
  <si>
    <t>Gain Loss On Investment Securities</t>
  </si>
  <si>
    <t>Gain Loss On Sale Of Business</t>
  </si>
  <si>
    <t>Net Income From Continuing Operations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</si>
  <si>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</si>
  <si>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</si>
  <si>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</si>
  <si>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</si>
  <si>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</si>
  <si>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</si>
  <si>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</si>
  <si>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</si>
  <si>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Imported from Yahoo Finance</t>
  </si>
  <si>
    <t>WACC</t>
  </si>
  <si>
    <t>CAPM</t>
  </si>
  <si>
    <t>CAPMAN Oyj Daily Closing Price 2016 - 2026</t>
  </si>
  <si>
    <t>Capital Structure</t>
  </si>
  <si>
    <t>ROE &amp; Volatility (yfinance)</t>
  </si>
  <si>
    <t>Market Cap</t>
  </si>
  <si>
    <t>Enterprise Value</t>
  </si>
  <si>
    <t>Debt</t>
  </si>
  <si>
    <t>Shares</t>
  </si>
  <si>
    <t>Weighted Average Cost of Capital</t>
  </si>
  <si>
    <t>Capital Asset Pricing Model</t>
  </si>
  <si>
    <t>Issued Bonds</t>
  </si>
  <si>
    <t>CAPMAN Oyj</t>
  </si>
  <si>
    <t>2022-2027</t>
  </si>
  <si>
    <t>2024-2029</t>
  </si>
  <si>
    <t xml:space="preserve">Coupon </t>
  </si>
  <si>
    <t xml:space="preserve">Amount </t>
  </si>
  <si>
    <t>60 M €</t>
  </si>
  <si>
    <t>40 M €</t>
  </si>
  <si>
    <t>Debt Structure</t>
  </si>
  <si>
    <t>M€</t>
  </si>
  <si>
    <t>Coupon</t>
  </si>
  <si>
    <t>Maturity</t>
  </si>
  <si>
    <t>Bond 2022-2027</t>
  </si>
  <si>
    <t>Q2/2027</t>
  </si>
  <si>
    <t>MV</t>
  </si>
  <si>
    <t>Bond 2024-2029</t>
  </si>
  <si>
    <t>Q2/2029</t>
  </si>
  <si>
    <t>FV</t>
  </si>
  <si>
    <t>Year</t>
  </si>
  <si>
    <t>Yield</t>
  </si>
  <si>
    <t>CF</t>
  </si>
  <si>
    <t>DCF</t>
  </si>
  <si>
    <t>Total DCF</t>
  </si>
  <si>
    <t>22-27</t>
  </si>
  <si>
    <t>Kdat 2022</t>
  </si>
  <si>
    <t>Tax 20%</t>
  </si>
  <si>
    <t>Kdat 2024</t>
  </si>
  <si>
    <t>Weight</t>
  </si>
  <si>
    <t>Risk Premium (PWC)</t>
  </si>
  <si>
    <t>Risk Free Rate</t>
  </si>
  <si>
    <t>WACC Calculation</t>
  </si>
  <si>
    <t xml:space="preserve">Debt </t>
  </si>
  <si>
    <t>Rd (Kdat)</t>
  </si>
  <si>
    <t>Kdat</t>
  </si>
  <si>
    <t>Beta (Python Calc.)</t>
  </si>
  <si>
    <t>MC</t>
  </si>
  <si>
    <t>Discounted Cashflow Model</t>
  </si>
  <si>
    <t>NSDQ: HEL</t>
  </si>
  <si>
    <t>Revenue</t>
  </si>
  <si>
    <t>NOPAT</t>
  </si>
  <si>
    <t>D&amp;A</t>
  </si>
  <si>
    <t>CAPEX</t>
  </si>
  <si>
    <t>Δ NWC</t>
  </si>
  <si>
    <t>FCFF</t>
  </si>
  <si>
    <t>2026e</t>
  </si>
  <si>
    <t>2027e</t>
  </si>
  <si>
    <t>2028e</t>
  </si>
  <si>
    <t>2029e</t>
  </si>
  <si>
    <t>2030e</t>
  </si>
  <si>
    <t>2031e</t>
  </si>
  <si>
    <t>2032e</t>
  </si>
  <si>
    <t>Growth</t>
  </si>
  <si>
    <t>DCF Valuation</t>
  </si>
  <si>
    <t>TG</t>
  </si>
  <si>
    <t>DCF 2033</t>
  </si>
  <si>
    <t>Terminal</t>
  </si>
  <si>
    <t>Present TV</t>
  </si>
  <si>
    <t>Equity Value</t>
  </si>
  <si>
    <t>Osake / Fair value</t>
  </si>
  <si>
    <t>Current Share Value</t>
  </si>
  <si>
    <t>Implied Upside</t>
  </si>
  <si>
    <t>Monte Carlo Simulation</t>
  </si>
  <si>
    <t>2026-2032</t>
  </si>
  <si>
    <t>Time</t>
  </si>
  <si>
    <t>Income Statement</t>
  </si>
  <si>
    <t>Balance Sheet</t>
  </si>
  <si>
    <t>Cash Flow Statement</t>
  </si>
  <si>
    <t>Fair Value</t>
  </si>
  <si>
    <t>G</t>
  </si>
  <si>
    <t>Rand</t>
  </si>
  <si>
    <t>FV Median</t>
  </si>
  <si>
    <t>FV Average</t>
  </si>
  <si>
    <t>FV 0,05</t>
  </si>
  <si>
    <t>FV 0,95</t>
  </si>
  <si>
    <t>Min</t>
  </si>
  <si>
    <t>Max</t>
  </si>
  <si>
    <t>Sensitivity  Analysis</t>
  </si>
  <si>
    <t xml:space="preserve">TG </t>
  </si>
  <si>
    <t>Model Updated</t>
  </si>
  <si>
    <t>CapMan close</t>
  </si>
  <si>
    <t>Market close</t>
  </si>
  <si>
    <t>CapMan Return</t>
  </si>
  <si>
    <t>Market Return</t>
  </si>
  <si>
    <t>Beta</t>
  </si>
  <si>
    <t>R2</t>
  </si>
  <si>
    <t>Cash</t>
  </si>
  <si>
    <t>24-29</t>
  </si>
  <si>
    <t xml:space="preserve">Assets Under Management </t>
  </si>
  <si>
    <t>Modeling CapMan Oyj</t>
  </si>
  <si>
    <t>M (EUR)</t>
  </si>
  <si>
    <t>Kiinteistösijoitukset</t>
  </si>
  <si>
    <t>Private Equity &amp; Credit</t>
  </si>
  <si>
    <t>Luontopääomasijoitukset</t>
  </si>
  <si>
    <t>Real Asset Debt - sijoitukset</t>
  </si>
  <si>
    <t>Infrasijoitukset</t>
  </si>
  <si>
    <t>Varainhoito</t>
  </si>
  <si>
    <t>Hallinoitavat pääomat yhteensä</t>
  </si>
  <si>
    <t>31.3.26 A</t>
  </si>
  <si>
    <t>31.12.25 A</t>
  </si>
  <si>
    <t>31.12.24 A</t>
  </si>
  <si>
    <t>N/A</t>
  </si>
  <si>
    <t>2026 E</t>
  </si>
  <si>
    <t>2027 E</t>
  </si>
  <si>
    <t>2028 E</t>
  </si>
  <si>
    <t>Beginning AUM</t>
  </si>
  <si>
    <t>Net change</t>
  </si>
  <si>
    <r>
      <t xml:space="preserve">Management target: </t>
    </r>
    <r>
      <rPr>
        <b/>
        <sz val="11"/>
        <color theme="1"/>
        <rFont val="Calibri"/>
        <family val="2"/>
        <scheme val="minor"/>
      </rPr>
      <t>10 000</t>
    </r>
    <r>
      <rPr>
        <sz val="11"/>
        <color theme="1"/>
        <rFont val="Calibri"/>
        <family val="2"/>
        <scheme val="minor"/>
      </rPr>
      <t xml:space="preserve"> M€</t>
    </r>
  </si>
  <si>
    <t>Management Fee Model</t>
  </si>
  <si>
    <t>PE &amp; Credit</t>
  </si>
  <si>
    <t>Natural Capital</t>
  </si>
  <si>
    <t>Real Asset Debt</t>
  </si>
  <si>
    <t>Omaisuusluokka</t>
  </si>
  <si>
    <t>Infrastruktuuri</t>
  </si>
  <si>
    <t>Fee rate</t>
  </si>
  <si>
    <t>AUM avg. 26E</t>
  </si>
  <si>
    <t>27E</t>
  </si>
  <si>
    <t>28E</t>
  </si>
  <si>
    <t>Fee 26</t>
  </si>
  <si>
    <t>Fee 27</t>
  </si>
  <si>
    <t>Fee 28</t>
  </si>
  <si>
    <t>-</t>
  </si>
  <si>
    <t>Total fees</t>
  </si>
  <si>
    <t>Valuation</t>
  </si>
  <si>
    <t>2026E</t>
  </si>
  <si>
    <t>2027E</t>
  </si>
  <si>
    <t>2028E</t>
  </si>
  <si>
    <t>Voitonjako-osuustuotot</t>
  </si>
  <si>
    <t>Liikevaihto</t>
  </si>
  <si>
    <t>Total M€</t>
  </si>
  <si>
    <t>Catch -up fees</t>
  </si>
  <si>
    <t>Henkilöstökulut</t>
  </si>
  <si>
    <t>Muut kulut</t>
  </si>
  <si>
    <t>Poistot</t>
  </si>
  <si>
    <t>Käyvän arvon muutokset</t>
  </si>
  <si>
    <t>Reported Ebit</t>
  </si>
  <si>
    <t>Tax rate</t>
  </si>
  <si>
    <t>Beta 2y - OMX Helsinki</t>
  </si>
  <si>
    <t>CapMan Oyj</t>
  </si>
  <si>
    <t>2029E</t>
  </si>
  <si>
    <t>2030E</t>
  </si>
  <si>
    <t>2031E</t>
  </si>
  <si>
    <t>2032E</t>
  </si>
  <si>
    <t>Palkkiotuotot</t>
  </si>
  <si>
    <t>Reported EBIT</t>
  </si>
  <si>
    <t>Operative EBIT</t>
  </si>
  <si>
    <t>(R) EBIT-%</t>
  </si>
  <si>
    <t>(O) EBIT-%</t>
  </si>
  <si>
    <t>Fair value adj.</t>
  </si>
  <si>
    <t>Op. EBIT-%</t>
  </si>
  <si>
    <t>Margin change</t>
  </si>
  <si>
    <t>FCFF Margin</t>
  </si>
  <si>
    <t>Operating KPIs</t>
  </si>
  <si>
    <t>Fee Enterprise Value</t>
  </si>
  <si>
    <t>Rahastot NAV</t>
  </si>
  <si>
    <t>Muut rahoitusvarat</t>
  </si>
  <si>
    <t>Lyhytaikaiset rahoitusvarat</t>
  </si>
  <si>
    <t>Market valuation &amp; Information 2026</t>
  </si>
  <si>
    <t>Vähemmistöosuus</t>
  </si>
  <si>
    <t>DF</t>
  </si>
  <si>
    <t>Revenue CAGR (21-25)</t>
  </si>
  <si>
    <t>Rvn. CAGR (26-32)</t>
  </si>
  <si>
    <t>2021A</t>
  </si>
  <si>
    <t>2022A</t>
  </si>
  <si>
    <t>2023A</t>
  </si>
  <si>
    <t>2025A</t>
  </si>
  <si>
    <t>2024A</t>
  </si>
  <si>
    <t>Fee EV</t>
  </si>
  <si>
    <t>TV / Fee EV</t>
  </si>
  <si>
    <t>Financial figures</t>
  </si>
  <si>
    <t>EV/EBIT</t>
  </si>
  <si>
    <t>EV/EBITDA</t>
  </si>
  <si>
    <t>P/E</t>
  </si>
  <si>
    <t>FCF Yield</t>
  </si>
  <si>
    <t>Dividend Yield</t>
  </si>
  <si>
    <t>P/B Q2'26</t>
  </si>
  <si>
    <t>EV/Revenue</t>
  </si>
  <si>
    <t xml:space="preserve">Company </t>
  </si>
  <si>
    <t>EV</t>
  </si>
  <si>
    <t>Share price</t>
  </si>
  <si>
    <t xml:space="preserve">Market cap </t>
  </si>
  <si>
    <t xml:space="preserve">Net Debt </t>
  </si>
  <si>
    <t>(M€)</t>
  </si>
  <si>
    <t>CapMan</t>
  </si>
  <si>
    <t>eQ</t>
  </si>
  <si>
    <t>Evli</t>
  </si>
  <si>
    <t>Taaleri</t>
  </si>
  <si>
    <t>United Bankers</t>
  </si>
  <si>
    <t>Net profit</t>
  </si>
  <si>
    <t>Titanium</t>
  </si>
  <si>
    <t>Figures: 2025 A</t>
  </si>
  <si>
    <t>Comparable Company Analysis</t>
  </si>
  <si>
    <t>Shares (M)</t>
  </si>
  <si>
    <t>75th %</t>
  </si>
  <si>
    <t>Average</t>
  </si>
  <si>
    <t>Median</t>
  </si>
  <si>
    <t>25th %</t>
  </si>
  <si>
    <t>Implied EV</t>
  </si>
  <si>
    <t>CapMan Implied trading valuation (2025A results)</t>
  </si>
  <si>
    <t>Implied MV</t>
  </si>
  <si>
    <t>Shares outstanding</t>
  </si>
  <si>
    <t>Implied value</t>
  </si>
  <si>
    <t>FCFF 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</si>
</sst>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164" formatCode="yyyy\-mm\-dd\ hh:mm:ss"/>
    <numFmt numFmtId="165" formatCode="0.0\ %"/>
    <numFmt numFmtId="166" formatCode="0.0"/>
    <numFmt numFmtId="167" formatCode="0.000"/>
    <numFmt numFmtId="168" formatCode="#,##0.00\ &quot;€&quot;"/>
    <numFmt numFmtId="175" formatCode="0.0\x"/>
    <numFmt numFmtId="177" formatCode="0.00\x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00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FFCC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FFCC"/>
      </bottom>
      <diagonal/>
    </border>
    <border>
      <left/>
      <right/>
      <top style="thin">
        <color indexed="64"/>
      </top>
      <bottom style="thin">
        <color rgb="FF00FFCC"/>
      </bottom>
      <diagonal/>
    </border>
    <border>
      <left style="thin">
        <color indexed="64"/>
      </left>
      <right/>
      <top style="thin">
        <color indexed="64"/>
      </top>
      <bottom style="thin">
        <color rgb="FF00FF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FFCC"/>
      </top>
      <bottom style="thin">
        <color rgb="FF00FFCC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FFCC"/>
      </bottom>
      <diagonal/>
    </border>
    <border>
      <left/>
      <right style="thin">
        <color indexed="64"/>
      </right>
      <top/>
      <bottom style="thin">
        <color rgb="FF00FF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FFCC"/>
      </top>
      <bottom style="thin">
        <color rgb="FF00FFCC"/>
      </bottom>
      <diagonal/>
    </border>
    <border>
      <left/>
      <right/>
      <top style="double">
        <color indexed="64"/>
      </top>
      <bottom style="thin">
        <color rgb="FF00FFCC"/>
      </bottom>
      <diagonal/>
    </border>
    <border>
      <left/>
      <right/>
      <top style="thin">
        <color rgb="FF00FFCC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6" fillId="4" borderId="5" applyNumberFormat="0" applyAlignment="0" applyProtection="0"/>
  </cellStyleXfs>
  <cellXfs count="15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0" xfId="0" applyFont="1"/>
    <xf numFmtId="9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0" fontId="3" fillId="0" borderId="3" xfId="0" applyFont="1" applyBorder="1"/>
    <xf numFmtId="0" fontId="0" fillId="0" borderId="3" xfId="0" applyBorder="1"/>
    <xf numFmtId="0" fontId="4" fillId="0" borderId="0" xfId="0" applyFont="1"/>
    <xf numFmtId="9" fontId="5" fillId="3" borderId="1" xfId="1" applyNumberFormat="1" applyFont="1" applyFill="1" applyBorder="1"/>
    <xf numFmtId="2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0" xfId="0" applyBorder="1"/>
    <xf numFmtId="10" fontId="3" fillId="0" borderId="3" xfId="0" applyNumberFormat="1" applyFont="1" applyBorder="1"/>
    <xf numFmtId="10" fontId="3" fillId="0" borderId="1" xfId="0" applyNumberFormat="1" applyFont="1" applyBorder="1"/>
    <xf numFmtId="10" fontId="6" fillId="4" borderId="5" xfId="2" applyNumberFormat="1"/>
    <xf numFmtId="10" fontId="6" fillId="4" borderId="5" xfId="2" applyNumberFormat="1" applyAlignment="1">
      <alignment horizontal="center"/>
    </xf>
    <xf numFmtId="0" fontId="3" fillId="0" borderId="4" xfId="0" applyFont="1" applyBorder="1"/>
    <xf numFmtId="10" fontId="6" fillId="4" borderId="12" xfId="2" applyNumberFormat="1" applyBorder="1"/>
    <xf numFmtId="10" fontId="6" fillId="4" borderId="11" xfId="2" applyNumberFormat="1" applyBorder="1"/>
    <xf numFmtId="0" fontId="3" fillId="0" borderId="6" xfId="0" applyFont="1" applyBorder="1"/>
    <xf numFmtId="10" fontId="6" fillId="4" borderId="13" xfId="2" applyNumberFormat="1" applyBorder="1"/>
    <xf numFmtId="166" fontId="0" fillId="0" borderId="1" xfId="0" applyNumberFormat="1" applyBorder="1"/>
    <xf numFmtId="0" fontId="0" fillId="0" borderId="0" xfId="0" applyAlignment="1">
      <alignment horizontal="center"/>
    </xf>
    <xf numFmtId="165" fontId="0" fillId="0" borderId="1" xfId="0" applyNumberFormat="1" applyBorder="1"/>
    <xf numFmtId="2" fontId="0" fillId="0" borderId="4" xfId="0" applyNumberFormat="1" applyBorder="1"/>
    <xf numFmtId="165" fontId="0" fillId="0" borderId="0" xfId="0" applyNumberFormat="1"/>
    <xf numFmtId="10" fontId="0" fillId="0" borderId="1" xfId="0" applyNumberFormat="1" applyBorder="1" applyAlignment="1">
      <alignment horizontal="center"/>
    </xf>
    <xf numFmtId="167" fontId="0" fillId="0" borderId="1" xfId="0" applyNumberFormat="1" applyBorder="1"/>
    <xf numFmtId="2" fontId="3" fillId="0" borderId="0" xfId="0" applyNumberFormat="1" applyFont="1"/>
    <xf numFmtId="9" fontId="2" fillId="2" borderId="3" xfId="1" applyNumberFormat="1" applyBorder="1"/>
    <xf numFmtId="2" fontId="0" fillId="0" borderId="10" xfId="0" applyNumberFormat="1" applyBorder="1"/>
    <xf numFmtId="0" fontId="1" fillId="0" borderId="6" xfId="0" applyFont="1" applyBorder="1" applyAlignment="1">
      <alignment horizontal="center" vertical="top"/>
    </xf>
    <xf numFmtId="167" fontId="0" fillId="0" borderId="4" xfId="0" applyNumberFormat="1" applyBorder="1"/>
    <xf numFmtId="168" fontId="0" fillId="0" borderId="1" xfId="0" applyNumberFormat="1" applyBorder="1"/>
    <xf numFmtId="168" fontId="0" fillId="0" borderId="6" xfId="0" applyNumberFormat="1" applyBorder="1"/>
    <xf numFmtId="168" fontId="0" fillId="0" borderId="18" xfId="0" applyNumberFormat="1" applyBorder="1"/>
    <xf numFmtId="168" fontId="0" fillId="0" borderId="19" xfId="0" applyNumberFormat="1" applyBorder="1"/>
    <xf numFmtId="9" fontId="0" fillId="0" borderId="20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0" fontId="3" fillId="0" borderId="22" xfId="0" applyFont="1" applyBorder="1"/>
    <xf numFmtId="14" fontId="0" fillId="0" borderId="1" xfId="0" applyNumberFormat="1" applyBorder="1"/>
    <xf numFmtId="0" fontId="0" fillId="5" borderId="0" xfId="0" applyFill="1"/>
    <xf numFmtId="0" fontId="0" fillId="5" borderId="3" xfId="0" applyFill="1" applyBorder="1"/>
    <xf numFmtId="0" fontId="3" fillId="5" borderId="3" xfId="0" applyFont="1" applyFill="1" applyBorder="1"/>
    <xf numFmtId="0" fontId="1" fillId="5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3" fillId="5" borderId="4" xfId="0" applyFont="1" applyFill="1" applyBorder="1"/>
    <xf numFmtId="0" fontId="1" fillId="5" borderId="4" xfId="0" applyFont="1" applyFill="1" applyBorder="1" applyAlignment="1">
      <alignment horizontal="center" vertical="top"/>
    </xf>
    <xf numFmtId="0" fontId="3" fillId="5" borderId="2" xfId="0" applyFont="1" applyFill="1" applyBorder="1"/>
    <xf numFmtId="0" fontId="0" fillId="5" borderId="7" xfId="0" applyFill="1" applyBorder="1"/>
    <xf numFmtId="0" fontId="3" fillId="5" borderId="1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0" borderId="22" xfId="0" applyBorder="1"/>
    <xf numFmtId="0" fontId="3" fillId="5" borderId="22" xfId="0" applyFont="1" applyFill="1" applyBorder="1"/>
    <xf numFmtId="0" fontId="0" fillId="5" borderId="22" xfId="0" applyFill="1" applyBorder="1"/>
    <xf numFmtId="0" fontId="0" fillId="0" borderId="7" xfId="0" applyBorder="1"/>
    <xf numFmtId="0" fontId="0" fillId="0" borderId="24" xfId="0" applyBorder="1"/>
    <xf numFmtId="0" fontId="0" fillId="0" borderId="25" xfId="0" applyBorder="1"/>
    <xf numFmtId="0" fontId="0" fillId="0" borderId="24" xfId="0" applyBorder="1" applyAlignment="1">
      <alignment horizontal="center"/>
    </xf>
    <xf numFmtId="14" fontId="3" fillId="0" borderId="0" xfId="0" applyNumberFormat="1" applyFon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22" xfId="0" applyNumberFormat="1" applyBorder="1"/>
    <xf numFmtId="165" fontId="0" fillId="0" borderId="18" xfId="0" applyNumberFormat="1" applyBorder="1"/>
    <xf numFmtId="0" fontId="3" fillId="5" borderId="26" xfId="0" applyFont="1" applyFill="1" applyBorder="1"/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10" fontId="0" fillId="0" borderId="22" xfId="0" applyNumberFormat="1" applyBorder="1"/>
    <xf numFmtId="10" fontId="0" fillId="0" borderId="18" xfId="0" applyNumberFormat="1" applyBorder="1"/>
    <xf numFmtId="0" fontId="7" fillId="6" borderId="22" xfId="0" applyFont="1" applyFill="1" applyBorder="1"/>
    <xf numFmtId="0" fontId="8" fillId="0" borderId="0" xfId="0" applyFont="1"/>
    <xf numFmtId="0" fontId="0" fillId="0" borderId="33" xfId="0" applyBorder="1"/>
    <xf numFmtId="165" fontId="0" fillId="0" borderId="29" xfId="0" applyNumberFormat="1" applyBorder="1"/>
    <xf numFmtId="0" fontId="3" fillId="0" borderId="23" xfId="0" applyFont="1" applyBorder="1"/>
    <xf numFmtId="0" fontId="3" fillId="0" borderId="19" xfId="0" applyFont="1" applyBorder="1"/>
    <xf numFmtId="0" fontId="3" fillId="0" borderId="2" xfId="0" applyFont="1" applyBorder="1"/>
    <xf numFmtId="1" fontId="3" fillId="0" borderId="0" xfId="0" applyNumberFormat="1" applyFont="1"/>
    <xf numFmtId="1" fontId="3" fillId="0" borderId="22" xfId="0" applyNumberFormat="1" applyFont="1" applyBorder="1"/>
    <xf numFmtId="1" fontId="3" fillId="0" borderId="18" xfId="0" applyNumberFormat="1" applyFont="1" applyBorder="1"/>
    <xf numFmtId="0" fontId="3" fillId="5" borderId="0" xfId="0" applyFont="1" applyFill="1"/>
    <xf numFmtId="166" fontId="3" fillId="0" borderId="22" xfId="0" applyNumberFormat="1" applyFont="1" applyBorder="1"/>
    <xf numFmtId="166" fontId="0" fillId="0" borderId="6" xfId="0" applyNumberFormat="1" applyBorder="1"/>
    <xf numFmtId="166" fontId="9" fillId="3" borderId="23" xfId="1" applyNumberFormat="1" applyFont="1" applyFill="1" applyBorder="1"/>
    <xf numFmtId="166" fontId="10" fillId="0" borderId="6" xfId="0" applyNumberFormat="1" applyFont="1" applyBorder="1"/>
    <xf numFmtId="0" fontId="11" fillId="6" borderId="0" xfId="0" applyFont="1" applyFill="1"/>
    <xf numFmtId="0" fontId="0" fillId="0" borderId="2" xfId="0" applyBorder="1"/>
    <xf numFmtId="167" fontId="3" fillId="0" borderId="1" xfId="0" applyNumberFormat="1" applyFont="1" applyBorder="1"/>
    <xf numFmtId="166" fontId="3" fillId="0" borderId="23" xfId="0" applyNumberFormat="1" applyFont="1" applyBorder="1"/>
    <xf numFmtId="0" fontId="0" fillId="0" borderId="23" xfId="0" applyBorder="1"/>
    <xf numFmtId="2" fontId="0" fillId="0" borderId="23" xfId="0" applyNumberFormat="1" applyBorder="1"/>
    <xf numFmtId="2" fontId="3" fillId="0" borderId="23" xfId="0" applyNumberFormat="1" applyFont="1" applyBorder="1"/>
    <xf numFmtId="10" fontId="0" fillId="0" borderId="0" xfId="0" applyNumberFormat="1"/>
    <xf numFmtId="0" fontId="3" fillId="0" borderId="0" xfId="0" applyFont="1" applyAlignment="1">
      <alignment horizontal="center"/>
    </xf>
    <xf numFmtId="2" fontId="3" fillId="5" borderId="34" xfId="0" applyNumberFormat="1" applyFont="1" applyFill="1" applyBorder="1"/>
    <xf numFmtId="165" fontId="3" fillId="0" borderId="1" xfId="0" applyNumberFormat="1" applyFont="1" applyBorder="1"/>
    <xf numFmtId="0" fontId="0" fillId="0" borderId="23" xfId="0" applyBorder="1" applyAlignment="1">
      <alignment horizontal="center"/>
    </xf>
    <xf numFmtId="0" fontId="0" fillId="0" borderId="35" xfId="0" applyBorder="1"/>
    <xf numFmtId="2" fontId="3" fillId="0" borderId="1" xfId="0" applyNumberFormat="1" applyFont="1" applyBorder="1"/>
    <xf numFmtId="10" fontId="12" fillId="0" borderId="1" xfId="0" applyNumberFormat="1" applyFont="1" applyBorder="1"/>
    <xf numFmtId="9" fontId="10" fillId="0" borderId="1" xfId="0" applyNumberFormat="1" applyFont="1" applyBorder="1"/>
    <xf numFmtId="2" fontId="12" fillId="0" borderId="1" xfId="0" applyNumberFormat="1" applyFont="1" applyBorder="1"/>
    <xf numFmtId="2" fontId="0" fillId="5" borderId="1" xfId="0" applyNumberFormat="1" applyFill="1" applyBorder="1"/>
    <xf numFmtId="0" fontId="0" fillId="5" borderId="1" xfId="0" applyFill="1" applyBorder="1"/>
    <xf numFmtId="0" fontId="3" fillId="0" borderId="7" xfId="0" applyFont="1" applyBorder="1"/>
    <xf numFmtId="2" fontId="3" fillId="7" borderId="3" xfId="0" applyNumberFormat="1" applyFont="1" applyFill="1" applyBorder="1"/>
    <xf numFmtId="2" fontId="0" fillId="0" borderId="1" xfId="0" applyNumberFormat="1" applyFont="1" applyBorder="1"/>
    <xf numFmtId="2" fontId="0" fillId="0" borderId="10" xfId="0" applyNumberFormat="1" applyFont="1" applyBorder="1"/>
    <xf numFmtId="2" fontId="14" fillId="0" borderId="3" xfId="0" applyNumberFormat="1" applyFont="1" applyFill="1" applyBorder="1"/>
    <xf numFmtId="166" fontId="3" fillId="0" borderId="7" xfId="0" applyNumberFormat="1" applyFont="1" applyBorder="1"/>
    <xf numFmtId="166" fontId="13" fillId="0" borderId="0" xfId="0" applyNumberFormat="1" applyFont="1"/>
    <xf numFmtId="166" fontId="5" fillId="0" borderId="0" xfId="0" applyNumberFormat="1" applyFont="1"/>
    <xf numFmtId="0" fontId="0" fillId="0" borderId="0" xfId="0" applyFill="1" applyBorder="1"/>
    <xf numFmtId="0" fontId="3" fillId="0" borderId="0" xfId="0" applyFont="1" applyFill="1" applyBorder="1"/>
    <xf numFmtId="9" fontId="3" fillId="0" borderId="1" xfId="0" applyNumberFormat="1" applyFont="1" applyBorder="1"/>
    <xf numFmtId="9" fontId="13" fillId="0" borderId="1" xfId="0" applyNumberFormat="1" applyFont="1" applyBorder="1"/>
    <xf numFmtId="1" fontId="3" fillId="0" borderId="23" xfId="0" applyNumberFormat="1" applyFont="1" applyBorder="1"/>
    <xf numFmtId="0" fontId="0" fillId="0" borderId="0" xfId="0" applyFont="1" applyFill="1" applyBorder="1"/>
    <xf numFmtId="166" fontId="0" fillId="0" borderId="0" xfId="0" applyNumberFormat="1"/>
    <xf numFmtId="2" fontId="0" fillId="5" borderId="1" xfId="0" applyNumberFormat="1" applyFont="1" applyFill="1" applyBorder="1"/>
    <xf numFmtId="175" fontId="0" fillId="0" borderId="1" xfId="0" applyNumberFormat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166" fontId="0" fillId="0" borderId="1" xfId="0" applyNumberForma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36" xfId="0" applyBorder="1"/>
    <xf numFmtId="0" fontId="0" fillId="0" borderId="35" xfId="0" applyFill="1" applyBorder="1"/>
    <xf numFmtId="166" fontId="0" fillId="0" borderId="36" xfId="0" applyNumberFormat="1" applyBorder="1"/>
    <xf numFmtId="166" fontId="0" fillId="0" borderId="35" xfId="0" applyNumberFormat="1" applyBorder="1"/>
    <xf numFmtId="177" fontId="0" fillId="0" borderId="24" xfId="0" applyNumberFormat="1" applyBorder="1"/>
    <xf numFmtId="177" fontId="0" fillId="0" borderId="36" xfId="0" applyNumberFormat="1" applyBorder="1"/>
    <xf numFmtId="177" fontId="0" fillId="0" borderId="35" xfId="0" applyNumberFormat="1" applyBorder="1"/>
    <xf numFmtId="0" fontId="3" fillId="5" borderId="23" xfId="0" applyFont="1" applyFill="1" applyBorder="1"/>
    <xf numFmtId="0" fontId="0" fillId="5" borderId="23" xfId="0" applyFill="1" applyBorder="1"/>
    <xf numFmtId="177" fontId="0" fillId="0" borderId="37" xfId="0" applyNumberFormat="1" applyBorder="1"/>
    <xf numFmtId="0" fontId="3" fillId="5" borderId="7" xfId="0" applyFont="1" applyFill="1" applyBorder="1"/>
    <xf numFmtId="2" fontId="3" fillId="5" borderId="3" xfId="0" applyNumberFormat="1" applyFont="1" applyFill="1" applyBorder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00FFCC"/>
      <color rgb="FF99FFCC"/>
      <color rgb="FF00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AUM!$C$33</c:f>
              <c:strCache>
                <c:ptCount val="1"/>
                <c:pt idx="0">
                  <c:v>Hallinoitavat pääomat yhteensä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AUM!$D$33:$I$33</c:f>
              <c:numCache>
                <c:formatCode>General</c:formatCode>
                <c:ptCount val="6"/>
                <c:pt idx="0">
                  <c:v>6062</c:v>
                </c:pt>
                <c:pt idx="1">
                  <c:v>7210</c:v>
                </c:pt>
                <c:pt idx="2">
                  <c:v>7222</c:v>
                </c:pt>
                <c:pt idx="3">
                  <c:v>7903</c:v>
                </c:pt>
                <c:pt idx="4">
                  <c:v>8693</c:v>
                </c:pt>
                <c:pt idx="5">
                  <c:v>9143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1-4441-B991-6E6E3566B3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80185200"/>
        <c:axId val="1442864336"/>
      </c:lineChart>
      <c:catAx>
        <c:axId val="1580185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42864336"/>
        <c:crosses val="autoZero"/>
        <c:auto val="1"/>
        <c:lblAlgn val="ctr"/>
        <c:lblOffset val="100"/>
        <c:noMultiLvlLbl val="0"/>
      </c:catAx>
      <c:valAx>
        <c:axId val="1442864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0185200"/>
        <c:crosses val="autoZero"/>
        <c:crossBetween val="between"/>
      </c:valAx>
      <c:spPr>
        <a:solidFill>
          <a:srgbClr val="00FFC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FFCC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fAIR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500" b="1" i="0" u="none" strike="noStrike" cap="all" spc="100" baseline="0">
              <a:solidFill>
                <a:sysClr val="window" lastClr="FFFFFF"/>
              </a:solidFill>
              <a:latin typeface="Calibri"/>
            </a:rPr>
            <a:t>fAIR VALUE</a:t>
          </a:r>
        </a:p>
      </cx:txPr>
    </cx:title>
    <cx:plotArea>
      <cx:plotAreaRegion>
        <cx:series layoutId="clusteredColumn" uniqueId="{6BE7DEF2-2B13-4853-B91B-78190F49BA55}">
          <cx:dataId val="0"/>
          <cx:layoutPr>
            <cx:binning intervalClosed="r">
              <cx:binCount val="1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solidFill>
      <a:srgbClr val="00FFCC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71904</xdr:colOff>
      <xdr:row>7</xdr:row>
      <xdr:rowOff>149411</xdr:rowOff>
    </xdr:from>
    <xdr:to>
      <xdr:col>12</xdr:col>
      <xdr:colOff>297329</xdr:colOff>
      <xdr:row>12</xdr:row>
      <xdr:rowOff>22413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1AB9CA-3ED4-CFA9-5092-2A2F81559C9C}"/>
            </a:ext>
          </a:extLst>
        </xdr:cNvPr>
        <xdr:cNvSpPr txBox="1"/>
      </xdr:nvSpPr>
      <xdr:spPr>
        <a:xfrm>
          <a:off x="7064375" y="1456764"/>
          <a:ext cx="2093072" cy="80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Maltillinen kasvu</a:t>
          </a:r>
          <a:r>
            <a:rPr lang="fi-FI" sz="1100" baseline="0"/>
            <a:t> v. 26 markkinaturbulenssin vuoksi. Kasvun oletetaan kiihtyvän v. 27, normalisoituu v. 28</a:t>
          </a:r>
          <a:endParaRPr lang="fi-FI" sz="1100"/>
        </a:p>
      </xdr:txBody>
    </xdr:sp>
    <xdr:clientData/>
  </xdr:twoCellAnchor>
  <xdr:twoCellAnchor>
    <xdr:from>
      <xdr:col>2</xdr:col>
      <xdr:colOff>0</xdr:colOff>
      <xdr:row>33</xdr:row>
      <xdr:rowOff>47438</xdr:rowOff>
    </xdr:from>
    <xdr:to>
      <xdr:col>9</xdr:col>
      <xdr:colOff>10459</xdr:colOff>
      <xdr:row>50</xdr:row>
      <xdr:rowOff>136338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ED7C5-AD0B-26C8-3C53-5C7753DD8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98612</xdr:colOff>
      <xdr:row>12</xdr:row>
      <xdr:rowOff>147172</xdr:rowOff>
    </xdr:from>
    <xdr:to>
      <xdr:col>12</xdr:col>
      <xdr:colOff>324037</xdr:colOff>
      <xdr:row>15</xdr:row>
      <xdr:rowOff>44825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B4F490-F343-4004-A34E-71DB9D0DFF11}"/>
            </a:ext>
          </a:extLst>
        </xdr:cNvPr>
        <xdr:cNvSpPr txBox="1"/>
      </xdr:nvSpPr>
      <xdr:spPr>
        <a:xfrm>
          <a:off x="7091083" y="2388348"/>
          <a:ext cx="2093072" cy="4579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PE kasvussa</a:t>
          </a:r>
          <a:r>
            <a:rPr lang="fi-FI" sz="1100" baseline="0"/>
            <a:t> maltillisesti, base case.</a:t>
          </a:r>
          <a:endParaRPr lang="fi-FI" sz="1100"/>
        </a:p>
      </xdr:txBody>
    </xdr:sp>
    <xdr:clientData/>
  </xdr:twoCellAnchor>
  <xdr:twoCellAnchor>
    <xdr:from>
      <xdr:col>9</xdr:col>
      <xdr:colOff>107950</xdr:colOff>
      <xdr:row>16</xdr:row>
      <xdr:rowOff>31750</xdr:rowOff>
    </xdr:from>
    <xdr:to>
      <xdr:col>12</xdr:col>
      <xdr:colOff>333375</xdr:colOff>
      <xdr:row>19</xdr:row>
      <xdr:rowOff>139700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698A19-8062-4611-B48B-E4D9E6F87B3A}"/>
            </a:ext>
          </a:extLst>
        </xdr:cNvPr>
        <xdr:cNvSpPr txBox="1"/>
      </xdr:nvSpPr>
      <xdr:spPr>
        <a:xfrm>
          <a:off x="7092950" y="2978150"/>
          <a:ext cx="2085975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Natural</a:t>
          </a:r>
          <a:r>
            <a:rPr lang="fi-FI" sz="1100" baseline="0"/>
            <a:t> Capital kasvussa ja merkittävä tekijä CapManille tulevaisuudessa.</a:t>
          </a:r>
          <a:endParaRPr lang="fi-FI" sz="1100"/>
        </a:p>
      </xdr:txBody>
    </xdr:sp>
    <xdr:clientData/>
  </xdr:twoCellAnchor>
  <xdr:twoCellAnchor>
    <xdr:from>
      <xdr:col>9</xdr:col>
      <xdr:colOff>121770</xdr:colOff>
      <xdr:row>20</xdr:row>
      <xdr:rowOff>45571</xdr:rowOff>
    </xdr:from>
    <xdr:to>
      <xdr:col>12</xdr:col>
      <xdr:colOff>347195</xdr:colOff>
      <xdr:row>23</xdr:row>
      <xdr:rowOff>97118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82D4B7-45B1-4582-8854-588A2F35E1B4}"/>
            </a:ext>
          </a:extLst>
        </xdr:cNvPr>
        <xdr:cNvSpPr txBox="1"/>
      </xdr:nvSpPr>
      <xdr:spPr>
        <a:xfrm>
          <a:off x="7114241" y="3780865"/>
          <a:ext cx="2093072" cy="6118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CAERUS varainkeruu ja laajentuminen tukevat kasvua. Maltillinen base-case.</a:t>
          </a:r>
        </a:p>
      </xdr:txBody>
    </xdr:sp>
    <xdr:clientData/>
  </xdr:twoCellAnchor>
  <xdr:twoCellAnchor>
    <xdr:from>
      <xdr:col>9</xdr:col>
      <xdr:colOff>115420</xdr:colOff>
      <xdr:row>24</xdr:row>
      <xdr:rowOff>53040</xdr:rowOff>
    </xdr:from>
    <xdr:to>
      <xdr:col>12</xdr:col>
      <xdr:colOff>340845</xdr:colOff>
      <xdr:row>27</xdr:row>
      <xdr:rowOff>160990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0314ED-D1EF-4B73-BFA6-C1180C022B51}"/>
            </a:ext>
          </a:extLst>
        </xdr:cNvPr>
        <xdr:cNvSpPr txBox="1"/>
      </xdr:nvSpPr>
      <xdr:spPr>
        <a:xfrm>
          <a:off x="7107891" y="4535393"/>
          <a:ext cx="2093072" cy="6682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Infra</a:t>
          </a:r>
          <a:r>
            <a:rPr lang="fi-FI" sz="1100" baseline="0"/>
            <a:t> III:n 750 M€ tavoitekoko keskeinen kasvuajuri. Infrasta merkittävä tekijä CapManille.</a:t>
          </a:r>
          <a:endParaRPr lang="fi-FI" sz="1100"/>
        </a:p>
      </xdr:txBody>
    </xdr:sp>
    <xdr:clientData/>
  </xdr:twoCellAnchor>
  <xdr:twoCellAnchor>
    <xdr:from>
      <xdr:col>9</xdr:col>
      <xdr:colOff>106829</xdr:colOff>
      <xdr:row>28</xdr:row>
      <xdr:rowOff>79935</xdr:rowOff>
    </xdr:from>
    <xdr:to>
      <xdr:col>12</xdr:col>
      <xdr:colOff>332254</xdr:colOff>
      <xdr:row>32</xdr:row>
      <xdr:rowOff>1121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C00758-1DF0-49D8-A93B-900E45BEE632}"/>
            </a:ext>
          </a:extLst>
        </xdr:cNvPr>
        <xdr:cNvSpPr txBox="1"/>
      </xdr:nvSpPr>
      <xdr:spPr>
        <a:xfrm>
          <a:off x="7099300" y="5309347"/>
          <a:ext cx="2093072" cy="668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Tasainen</a:t>
          </a:r>
          <a:r>
            <a:rPr lang="fi-FI" sz="1100" baseline="0"/>
            <a:t> base-case varainhoidon kasvussa. </a:t>
          </a:r>
          <a:endParaRPr lang="fi-FI" sz="1100"/>
        </a:p>
      </xdr:txBody>
    </xdr:sp>
    <xdr:clientData/>
  </xdr:twoCellAnchor>
  <xdr:twoCellAnchor>
    <xdr:from>
      <xdr:col>13</xdr:col>
      <xdr:colOff>612587</xdr:colOff>
      <xdr:row>31</xdr:row>
      <xdr:rowOff>7472</xdr:rowOff>
    </xdr:from>
    <xdr:to>
      <xdr:col>22</xdr:col>
      <xdr:colOff>156881</xdr:colOff>
      <xdr:row>39</xdr:row>
      <xdr:rowOff>44824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48E89A-AF32-4802-87C7-1DB8AA935A89}"/>
            </a:ext>
          </a:extLst>
        </xdr:cNvPr>
        <xdr:cNvSpPr txBox="1"/>
      </xdr:nvSpPr>
      <xdr:spPr>
        <a:xfrm>
          <a:off x="10085293" y="5797178"/>
          <a:ext cx="6237941" cy="15314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Kommentit</a:t>
          </a:r>
          <a:r>
            <a:rPr lang="fi-FI" sz="1100" b="1" baseline="0"/>
            <a:t> oletuksiin</a:t>
          </a:r>
          <a:r>
            <a:rPr lang="fi-FI" sz="1100" baseline="0"/>
            <a:t>:</a:t>
          </a:r>
          <a:endParaRPr lang="fi-FI" sz="1100"/>
        </a:p>
        <a:p>
          <a:r>
            <a:rPr lang="fi-FI" sz="1100"/>
            <a:t>- </a:t>
          </a:r>
          <a:r>
            <a:rPr lang="fi-FI"/>
            <a:t>2026E voitonjako-osuustuotot perustuvat analyytikon rahastokohtaiseen ennusteeseen. Muille rahastoille oletetaan 0,1 % AUM:sta kuvaamaan maltillista carry-tuottopotentiaalia.</a:t>
          </a:r>
        </a:p>
        <a:p>
          <a:r>
            <a:rPr lang="fi-FI" sz="1100"/>
            <a:t>- </a:t>
          </a:r>
          <a:r>
            <a:rPr lang="fi-FI"/>
            <a:t>PE &amp; Credit -palkkiotuotto perustuu historialliseen keskimääräiseen palkkiotasoon.</a:t>
          </a:r>
        </a:p>
        <a:p>
          <a:r>
            <a:rPr lang="fi-FI" sz="1100"/>
            <a:t>- </a:t>
          </a:r>
          <a:r>
            <a:rPr lang="fi-FI"/>
            <a:t>Varainhoidon palkkiotuotto-% perustuu Inderesin arvioon.</a:t>
          </a:r>
        </a:p>
        <a:p>
          <a:r>
            <a:rPr lang="fi-FI" sz="1100"/>
            <a:t>- </a:t>
          </a:r>
          <a:r>
            <a:rPr lang="fi-FI"/>
            <a:t>2027E sisältää 2,7 M€ catch-up fees -tuottoja flagship-rahastojen sulkemisista.</a:t>
          </a:r>
        </a:p>
        <a:p>
          <a:r>
            <a:rPr lang="fi-FI" sz="1100"/>
            <a:t>-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Henkilöstö kulut laskettu</a:t>
          </a:r>
          <a:r>
            <a:rPr lang="fi-FI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183 T EUR * Henkilöstöennuste.</a:t>
          </a:r>
        </a:p>
        <a:p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i-FI"/>
            <a:t>Muut kulut ennustetaan historiallisen keskimääräisen kasvuvauhdin perusteella.</a:t>
          </a:r>
          <a:endParaRPr lang="fi-F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25402</xdr:colOff>
      <xdr:row>5</xdr:row>
      <xdr:rowOff>38100</xdr:rowOff>
    </xdr:from>
    <xdr:to>
      <xdr:col>10</xdr:col>
      <xdr:colOff>609600</xdr:colOff>
      <xdr:row>18</xdr:row>
      <xdr:rowOff>158749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305C1B-5BC3-B21F-12A4-6034AE4F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2" y="965200"/>
          <a:ext cx="5067298" cy="2533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158750</xdr:colOff>
      <xdr:row>15</xdr:row>
      <xdr:rowOff>6350</xdr:rowOff>
    </xdr:from>
    <xdr:to>
      <xdr:col>10</xdr:col>
      <xdr:colOff>381000</xdr:colOff>
      <xdr:row>21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3F6538-D93A-46E0-8C19-7532AE950653}"/>
            </a:ext>
          </a:extLst>
        </xdr:cNvPr>
        <xdr:cNvSpPr txBox="1"/>
      </xdr:nvSpPr>
      <xdr:spPr>
        <a:xfrm>
          <a:off x="4438650" y="2794000"/>
          <a:ext cx="3092450" cy="111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Vuoden</a:t>
          </a:r>
          <a:r>
            <a:rPr lang="fi-FI" sz="1100" baseline="0"/>
            <a:t> 2025A tuloksilla suoritettu Comparable Analysis osoittaa, että CapMan treidaa selvällä preemiolla suhteessa verrokeihin. Nykyinen arvostus nojaa vahvasti odotuksiin tulevasta tuloskasvusta ja kannatavuuden skaalautumisesta. </a:t>
          </a:r>
          <a:endParaRPr lang="fi-FI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88900</xdr:colOff>
      <xdr:row>0</xdr:row>
      <xdr:rowOff>88900</xdr:rowOff>
    </xdr:from>
    <xdr:to>
      <xdr:col>14</xdr:col>
      <xdr:colOff>609601</xdr:colOff>
      <xdr:row>13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B493BE-8572-82A3-2980-EAAF960C9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1500" y="88900"/>
              <a:ext cx="5530851" cy="231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i-F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6E8D-7631-405A-B1C2-174ED3F9B4B9}">
  <dimension ref="B3:P50"/>
  <sheetViews>
    <sheetView workbookViewId="0">
      <selection activeCell="L14" sqref="L14"/>
    </sheetView>
  </sheetViews>
  <sheetFormatPr defaultRowHeight="14.5" x14ac:dyDescent="0.35"/>
  <cols>
    <col min="2" max="2" width="13.36328125" customWidth="1"/>
    <col min="3" max="3" width="8.90625" bestFit="1" customWidth="1"/>
    <col min="4" max="4" width="9.1796875" customWidth="1"/>
    <col min="7" max="7" width="10.54296875" customWidth="1"/>
    <col min="8" max="8" width="9.1796875" customWidth="1"/>
  </cols>
  <sheetData>
    <row r="3" spans="2:16" ht="15" thickBot="1" x14ac:dyDescent="0.4">
      <c r="B3" s="56" t="s">
        <v>231</v>
      </c>
      <c r="C3" s="55"/>
      <c r="D3" s="55"/>
      <c r="F3" s="129"/>
    </row>
    <row r="4" spans="2:16" ht="15" thickTop="1" x14ac:dyDescent="0.35">
      <c r="B4" s="5" t="s">
        <v>332</v>
      </c>
      <c r="D4" s="5" t="s">
        <v>232</v>
      </c>
      <c r="F4" s="5"/>
    </row>
    <row r="6" spans="2:16" x14ac:dyDescent="0.35">
      <c r="B6" s="5" t="s">
        <v>213</v>
      </c>
      <c r="C6" s="29" t="s">
        <v>356</v>
      </c>
      <c r="D6" s="29" t="s">
        <v>357</v>
      </c>
      <c r="E6" s="29" t="s">
        <v>358</v>
      </c>
      <c r="F6" s="29" t="s">
        <v>360</v>
      </c>
      <c r="G6" s="29" t="s">
        <v>359</v>
      </c>
      <c r="H6" s="29" t="s">
        <v>318</v>
      </c>
      <c r="I6" s="29" t="s">
        <v>319</v>
      </c>
      <c r="J6" s="29" t="s">
        <v>320</v>
      </c>
      <c r="K6" s="29" t="s">
        <v>333</v>
      </c>
      <c r="L6" s="29" t="s">
        <v>334</v>
      </c>
      <c r="M6" s="29" t="s">
        <v>335</v>
      </c>
      <c r="N6" s="29" t="s">
        <v>336</v>
      </c>
      <c r="O6" s="29"/>
      <c r="P6" s="29"/>
    </row>
    <row r="7" spans="2:16" x14ac:dyDescent="0.35">
      <c r="B7" t="s">
        <v>233</v>
      </c>
      <c r="C7" s="13">
        <v>46</v>
      </c>
      <c r="D7" s="13">
        <v>58.9</v>
      </c>
      <c r="E7" s="13">
        <v>49.305</v>
      </c>
      <c r="F7" s="13">
        <v>57.621000000000002</v>
      </c>
      <c r="G7" s="13">
        <v>63</v>
      </c>
      <c r="H7" s="118">
        <f>AUM!P24</f>
        <v>67.542749999999998</v>
      </c>
      <c r="I7" s="118">
        <f>AUM!Q24</f>
        <v>78.206000000000003</v>
      </c>
      <c r="J7" s="118">
        <f>AUM!R24</f>
        <v>80.976000000000013</v>
      </c>
      <c r="K7" s="118">
        <f>AUM!S24</f>
        <v>84.757260000000016</v>
      </c>
      <c r="L7" s="118">
        <f>AUM!T24</f>
        <v>87.96562320000001</v>
      </c>
      <c r="M7" s="118">
        <f>AUM!U24</f>
        <v>90.511809024000016</v>
      </c>
      <c r="N7" s="118">
        <f>AUM!V24</f>
        <v>92.727284984880015</v>
      </c>
    </row>
    <row r="8" spans="2:16" x14ac:dyDescent="0.35">
      <c r="B8" t="s">
        <v>338</v>
      </c>
      <c r="C8" s="13">
        <v>39.700000000000003</v>
      </c>
      <c r="D8" s="13">
        <v>47.6</v>
      </c>
      <c r="E8" s="13">
        <v>-1.2</v>
      </c>
      <c r="F8" s="13">
        <v>16.7</v>
      </c>
      <c r="G8" s="28">
        <v>23.2</v>
      </c>
      <c r="H8" s="118">
        <f>AUM!P30</f>
        <v>25.552749999999996</v>
      </c>
      <c r="I8" s="118">
        <f>AUM!Q30</f>
        <v>33.686</v>
      </c>
      <c r="J8" s="118">
        <f>AUM!R30</f>
        <v>33.891000000000012</v>
      </c>
      <c r="K8" s="118">
        <f>AUM!S30</f>
        <v>35.913885000000015</v>
      </c>
      <c r="L8" s="118">
        <f>AUM!T30</f>
        <v>37.407296325000004</v>
      </c>
      <c r="M8" s="118">
        <f>AUM!U30</f>
        <v>38.385673167750014</v>
      </c>
      <c r="N8" s="118">
        <f>AUM!V30</f>
        <v>39.028361520255018</v>
      </c>
    </row>
    <row r="9" spans="2:16" x14ac:dyDescent="0.35">
      <c r="B9" t="s">
        <v>340</v>
      </c>
      <c r="C9" s="6">
        <f>C8/C7</f>
        <v>0.86304347826086958</v>
      </c>
      <c r="D9" s="6">
        <f t="shared" ref="D9:N9" si="0">D8/D7</f>
        <v>0.80814940577249583</v>
      </c>
      <c r="E9" s="6">
        <f t="shared" si="0"/>
        <v>-2.4338302403407362E-2</v>
      </c>
      <c r="F9" s="6">
        <f t="shared" si="0"/>
        <v>0.28982489023099217</v>
      </c>
      <c r="G9" s="6">
        <f t="shared" si="0"/>
        <v>0.36825396825396822</v>
      </c>
      <c r="H9" s="6">
        <f t="shared" si="0"/>
        <v>0.37831965680994623</v>
      </c>
      <c r="I9" s="6">
        <f t="shared" si="0"/>
        <v>0.43073421476613044</v>
      </c>
      <c r="J9" s="6">
        <f t="shared" si="0"/>
        <v>0.41853141671606409</v>
      </c>
      <c r="K9" s="6">
        <f t="shared" si="0"/>
        <v>0.42372635689261318</v>
      </c>
      <c r="L9" s="6">
        <f t="shared" si="0"/>
        <v>0.42524903438642381</v>
      </c>
      <c r="M9" s="6">
        <f t="shared" si="0"/>
        <v>0.4240957459768781</v>
      </c>
      <c r="N9" s="6">
        <f t="shared" si="0"/>
        <v>0.420894039188346</v>
      </c>
    </row>
    <row r="10" spans="2:16" x14ac:dyDescent="0.35">
      <c r="B10" t="s">
        <v>342</v>
      </c>
      <c r="C10" s="7">
        <v>33.9</v>
      </c>
      <c r="D10" s="7">
        <v>36.5</v>
      </c>
      <c r="E10" s="7">
        <v>-6.1</v>
      </c>
      <c r="F10" s="7">
        <v>7.8</v>
      </c>
      <c r="G10" s="7">
        <v>15.5</v>
      </c>
      <c r="H10" s="118">
        <f>AUM!P29</f>
        <v>17.3</v>
      </c>
      <c r="I10" s="118">
        <f>AUM!Q29</f>
        <v>17.3</v>
      </c>
      <c r="J10" s="118">
        <f>AUM!R29</f>
        <v>17.3</v>
      </c>
      <c r="K10" s="118">
        <f>AUM!S29</f>
        <v>17.3</v>
      </c>
      <c r="L10" s="118">
        <f>AUM!T29</f>
        <v>17.3</v>
      </c>
      <c r="M10" s="118">
        <f>AUM!U29</f>
        <v>17.3</v>
      </c>
      <c r="N10" s="118">
        <f>AUM!V29</f>
        <v>17.3</v>
      </c>
    </row>
    <row r="11" spans="2:16" x14ac:dyDescent="0.35">
      <c r="B11" t="s">
        <v>339</v>
      </c>
      <c r="C11" s="13">
        <f>C8-C10</f>
        <v>5.8000000000000043</v>
      </c>
      <c r="D11" s="13">
        <f t="shared" ref="D11:G11" si="1">D8-D10</f>
        <v>11.100000000000001</v>
      </c>
      <c r="E11" s="13">
        <f t="shared" si="1"/>
        <v>4.8999999999999995</v>
      </c>
      <c r="F11" s="13">
        <f t="shared" si="1"/>
        <v>8.8999999999999986</v>
      </c>
      <c r="G11" s="13">
        <f t="shared" si="1"/>
        <v>7.6999999999999993</v>
      </c>
      <c r="H11" s="118">
        <f>AUM!P28</f>
        <v>8.2527499999999954</v>
      </c>
      <c r="I11" s="118">
        <f>AUM!Q28</f>
        <v>16.385999999999999</v>
      </c>
      <c r="J11" s="118">
        <f>AUM!R28</f>
        <v>16.591000000000012</v>
      </c>
      <c r="K11" s="118">
        <f>AUM!S28</f>
        <v>18.613885000000014</v>
      </c>
      <c r="L11" s="118">
        <f>AUM!T28</f>
        <v>20.107296325000004</v>
      </c>
      <c r="M11" s="118">
        <f>AUM!U28</f>
        <v>21.085673167750013</v>
      </c>
      <c r="N11" s="118">
        <f>AUM!V28</f>
        <v>21.728361520255014</v>
      </c>
    </row>
    <row r="12" spans="2:16" x14ac:dyDescent="0.35">
      <c r="B12" t="s">
        <v>341</v>
      </c>
      <c r="C12" s="6">
        <f t="shared" ref="C12:G12" si="2">C11/C7</f>
        <v>0.12608695652173924</v>
      </c>
      <c r="D12" s="6">
        <f t="shared" si="2"/>
        <v>0.18845500848896438</v>
      </c>
      <c r="E12" s="6">
        <f t="shared" si="2"/>
        <v>9.9381401480580056E-2</v>
      </c>
      <c r="F12" s="6">
        <f t="shared" si="2"/>
        <v>0.15445757623088802</v>
      </c>
      <c r="G12" s="6">
        <f t="shared" si="2"/>
        <v>0.1222222222222222</v>
      </c>
      <c r="H12" s="6">
        <f>H11/H7</f>
        <v>0.12218557876307962</v>
      </c>
      <c r="I12" s="6">
        <f t="shared" ref="I12:N12" si="3">I11/I7</f>
        <v>0.2095235659668056</v>
      </c>
      <c r="J12" s="6">
        <f t="shared" si="3"/>
        <v>0.20488786801027475</v>
      </c>
      <c r="K12" s="6">
        <f t="shared" si="3"/>
        <v>0.21961404840128163</v>
      </c>
      <c r="L12" s="6">
        <f t="shared" si="3"/>
        <v>0.22858129793821549</v>
      </c>
      <c r="M12" s="6">
        <f t="shared" si="3"/>
        <v>0.23296046554719682</v>
      </c>
      <c r="N12" s="6">
        <f t="shared" si="3"/>
        <v>0.23432543639984726</v>
      </c>
    </row>
    <row r="13" spans="2:16" x14ac:dyDescent="0.35">
      <c r="B13" t="s">
        <v>234</v>
      </c>
      <c r="C13" s="13">
        <f>C11*(1-$C$31)</f>
        <v>4.6400000000000032</v>
      </c>
      <c r="D13" s="13">
        <f>D11*(1-$C$31)</f>
        <v>8.8800000000000008</v>
      </c>
      <c r="E13" s="13">
        <f>E11*(1-$C$31)</f>
        <v>3.92</v>
      </c>
      <c r="F13" s="13">
        <f>F11*(1-$C$31)</f>
        <v>7.1199999999999992</v>
      </c>
      <c r="G13" s="13">
        <f>G11*(1-$C$31)</f>
        <v>6.16</v>
      </c>
      <c r="H13" s="13">
        <f>H11*(1-$C$31)</f>
        <v>6.6021999999999963</v>
      </c>
      <c r="I13" s="13">
        <f>I11*(1-$C$31)</f>
        <v>13.1088</v>
      </c>
      <c r="J13" s="13">
        <f>J11*(1-$C$31)</f>
        <v>13.272800000000011</v>
      </c>
      <c r="K13" s="13">
        <f>K11*(1-$C$31)</f>
        <v>14.891108000000012</v>
      </c>
      <c r="L13" s="13">
        <f>L11*(1-$C$31)</f>
        <v>16.085837060000003</v>
      </c>
      <c r="M13" s="13">
        <f>M11*(1-$C$31)</f>
        <v>16.86853853420001</v>
      </c>
      <c r="N13" s="13">
        <f>N11*(1-$C$31)</f>
        <v>17.38268921620401</v>
      </c>
    </row>
    <row r="14" spans="2:16" x14ac:dyDescent="0.35">
      <c r="B14" t="s">
        <v>235</v>
      </c>
      <c r="C14" s="13">
        <v>1.476</v>
      </c>
      <c r="D14" s="13">
        <v>1.58</v>
      </c>
      <c r="E14" s="13">
        <v>1.393</v>
      </c>
      <c r="F14" s="13">
        <v>2.4449999999999998</v>
      </c>
      <c r="G14" s="13">
        <v>3</v>
      </c>
      <c r="H14" s="13">
        <v>3.2</v>
      </c>
      <c r="I14" s="13">
        <v>3.2</v>
      </c>
      <c r="J14" s="13">
        <v>3.2</v>
      </c>
      <c r="K14" s="13">
        <v>3.2</v>
      </c>
      <c r="L14" s="13">
        <v>3.2</v>
      </c>
      <c r="M14" s="13">
        <v>3.2</v>
      </c>
      <c r="N14" s="13">
        <v>3.2</v>
      </c>
    </row>
    <row r="15" spans="2:16" x14ac:dyDescent="0.35">
      <c r="B15" t="s">
        <v>236</v>
      </c>
      <c r="C15" s="13">
        <v>-0.14000000000000001</v>
      </c>
      <c r="D15" s="13">
        <v>-0.33300000000000002</v>
      </c>
      <c r="E15" s="13">
        <v>-2.5999999999999999E-2</v>
      </c>
      <c r="F15" s="13">
        <v>-4.7E-2</v>
      </c>
      <c r="G15" s="7">
        <v>-0.01</v>
      </c>
      <c r="H15" s="34">
        <f>-0.013*2</f>
        <v>-2.5999999999999999E-2</v>
      </c>
      <c r="I15" s="34">
        <f t="shared" ref="I15:N15" si="4">H15*1.05</f>
        <v>-2.7300000000000001E-2</v>
      </c>
      <c r="J15" s="34">
        <f t="shared" si="4"/>
        <v>-2.8665000000000003E-2</v>
      </c>
      <c r="K15" s="34">
        <f t="shared" si="4"/>
        <v>-3.0098250000000003E-2</v>
      </c>
      <c r="L15" s="34">
        <f t="shared" si="4"/>
        <v>-3.1603162500000004E-2</v>
      </c>
      <c r="M15" s="34">
        <f t="shared" si="4"/>
        <v>-3.3183320625000005E-2</v>
      </c>
      <c r="N15" s="34">
        <f t="shared" si="4"/>
        <v>-3.4842486656250005E-2</v>
      </c>
    </row>
    <row r="16" spans="2:16" x14ac:dyDescent="0.35">
      <c r="B16" t="s">
        <v>237</v>
      </c>
      <c r="C16" s="7"/>
      <c r="D16" s="7">
        <v>3.77</v>
      </c>
      <c r="E16" s="7">
        <f>-3.773-2.271</f>
        <v>-6.0440000000000005</v>
      </c>
      <c r="F16" s="7">
        <f>7.982-(-3.773)</f>
        <v>11.755000000000001</v>
      </c>
      <c r="G16" s="7">
        <f>6.777-7.982</f>
        <v>-1.2050000000000001</v>
      </c>
      <c r="H16" s="13">
        <v>0.52</v>
      </c>
      <c r="I16" s="13">
        <f>67.2*52%-58.62*44%-7.3</f>
        <v>1.8512000000000031</v>
      </c>
      <c r="J16" s="13">
        <f>72.1*52%-61.19*44%-9.15</f>
        <v>1.4183999999999966</v>
      </c>
      <c r="K16" s="13">
        <v>1.1000000000000001</v>
      </c>
      <c r="L16" s="13">
        <v>0.8</v>
      </c>
      <c r="M16" s="13">
        <v>0.51</v>
      </c>
      <c r="N16" s="13">
        <v>0.4</v>
      </c>
    </row>
    <row r="17" spans="2:16" ht="15" thickBot="1" x14ac:dyDescent="0.4">
      <c r="B17" s="5" t="s">
        <v>238</v>
      </c>
      <c r="C17" s="31">
        <f>C13+C14+C15-C16</f>
        <v>5.9760000000000035</v>
      </c>
      <c r="D17" s="31">
        <f t="shared" ref="D17:F17" si="5">D13+D14+D15-D16</f>
        <v>6.3570000000000011</v>
      </c>
      <c r="E17" s="31">
        <f t="shared" si="5"/>
        <v>11.331</v>
      </c>
      <c r="F17" s="31">
        <f t="shared" si="5"/>
        <v>-2.2370000000000019</v>
      </c>
      <c r="G17" s="31">
        <f>G13+G14+G15-G16</f>
        <v>10.355</v>
      </c>
      <c r="H17" s="31">
        <f t="shared" ref="H17:N17" si="6">H13+H14+H15-H16</f>
        <v>9.2561999999999962</v>
      </c>
      <c r="I17" s="31">
        <f t="shared" si="6"/>
        <v>14.430299999999999</v>
      </c>
      <c r="J17" s="31">
        <f t="shared" si="6"/>
        <v>15.025735000000013</v>
      </c>
      <c r="K17" s="31">
        <f t="shared" si="6"/>
        <v>16.961009750000009</v>
      </c>
      <c r="L17" s="31">
        <f t="shared" si="6"/>
        <v>18.4542338975</v>
      </c>
      <c r="M17" s="31">
        <f t="shared" si="6"/>
        <v>19.525355213575008</v>
      </c>
      <c r="N17" s="31">
        <f t="shared" si="6"/>
        <v>20.147846729547762</v>
      </c>
    </row>
    <row r="18" spans="2:16" ht="15" thickTop="1" x14ac:dyDescent="0.35"/>
    <row r="19" spans="2:16" ht="15" thickBot="1" x14ac:dyDescent="0.4">
      <c r="B19" s="56" t="s">
        <v>346</v>
      </c>
      <c r="C19" s="55"/>
      <c r="D19" s="55"/>
      <c r="F19" s="8" t="s">
        <v>354</v>
      </c>
      <c r="G19" s="7"/>
      <c r="H19" s="112">
        <f>((G22/C22)^(1/4))-1</f>
        <v>8.1796767608519394E-2</v>
      </c>
      <c r="J19" s="8" t="s">
        <v>355</v>
      </c>
      <c r="K19" s="7"/>
      <c r="L19" s="112">
        <f>((N22/H22)^(1/6))-1</f>
        <v>5.4236708286344193E-2</v>
      </c>
    </row>
    <row r="20" spans="2:16" ht="15" thickTop="1" x14ac:dyDescent="0.35"/>
    <row r="21" spans="2:16" x14ac:dyDescent="0.35">
      <c r="B21" s="5" t="s">
        <v>213</v>
      </c>
      <c r="C21" s="29">
        <v>2021</v>
      </c>
      <c r="D21" s="29">
        <v>2022</v>
      </c>
      <c r="E21" s="29">
        <v>2023</v>
      </c>
      <c r="F21" s="29">
        <v>2024</v>
      </c>
      <c r="G21" s="29">
        <v>2025</v>
      </c>
      <c r="H21" s="29" t="s">
        <v>239</v>
      </c>
      <c r="I21" s="29" t="s">
        <v>240</v>
      </c>
      <c r="J21" s="29" t="s">
        <v>241</v>
      </c>
      <c r="K21" s="29" t="s">
        <v>242</v>
      </c>
      <c r="L21" s="29" t="s">
        <v>243</v>
      </c>
      <c r="M21" s="29" t="s">
        <v>244</v>
      </c>
      <c r="N21" s="29" t="s">
        <v>245</v>
      </c>
      <c r="O21" s="29"/>
      <c r="P21" s="29"/>
    </row>
    <row r="22" spans="2:16" x14ac:dyDescent="0.35">
      <c r="B22" t="s">
        <v>233</v>
      </c>
      <c r="C22" s="13">
        <f>C7</f>
        <v>46</v>
      </c>
      <c r="D22" s="13">
        <f t="shared" ref="D22:N22" si="7">D7</f>
        <v>58.9</v>
      </c>
      <c r="E22" s="13">
        <f t="shared" si="7"/>
        <v>49.305</v>
      </c>
      <c r="F22" s="13">
        <f t="shared" si="7"/>
        <v>57.621000000000002</v>
      </c>
      <c r="G22" s="13">
        <f t="shared" si="7"/>
        <v>63</v>
      </c>
      <c r="H22" s="13">
        <f t="shared" si="7"/>
        <v>67.542749999999998</v>
      </c>
      <c r="I22" s="13">
        <f t="shared" si="7"/>
        <v>78.206000000000003</v>
      </c>
      <c r="J22" s="13">
        <f t="shared" si="7"/>
        <v>80.976000000000013</v>
      </c>
      <c r="K22" s="13">
        <f t="shared" si="7"/>
        <v>84.757260000000016</v>
      </c>
      <c r="L22" s="13">
        <f t="shared" si="7"/>
        <v>87.96562320000001</v>
      </c>
      <c r="M22" s="13">
        <f t="shared" si="7"/>
        <v>90.511809024000016</v>
      </c>
      <c r="N22" s="13">
        <f t="shared" si="7"/>
        <v>92.727284984880015</v>
      </c>
    </row>
    <row r="23" spans="2:16" x14ac:dyDescent="0.35">
      <c r="B23" t="s">
        <v>246</v>
      </c>
      <c r="C23" s="16" t="s">
        <v>315</v>
      </c>
      <c r="D23" s="30">
        <f>D22/C22-1</f>
        <v>0.2804347826086957</v>
      </c>
      <c r="E23" s="30">
        <f t="shared" ref="E23:G23" si="8">E22/D22-1</f>
        <v>-0.16290322580645156</v>
      </c>
      <c r="F23" s="30">
        <f t="shared" si="8"/>
        <v>0.16866443565561307</v>
      </c>
      <c r="G23" s="30">
        <f t="shared" si="8"/>
        <v>9.3351382308533237E-2</v>
      </c>
      <c r="H23" s="30">
        <f t="shared" ref="H23" si="9">H22/G22-1</f>
        <v>7.2107142857142925E-2</v>
      </c>
      <c r="I23" s="30">
        <f t="shared" ref="I23" si="10">I22/H22-1</f>
        <v>0.15787408715221107</v>
      </c>
      <c r="J23" s="30">
        <f t="shared" ref="J23" si="11">J22/I22-1</f>
        <v>3.5419277293302409E-2</v>
      </c>
      <c r="K23" s="30">
        <f t="shared" ref="K23" si="12">K22/J22-1</f>
        <v>4.6696058091286297E-2</v>
      </c>
      <c r="L23" s="30">
        <f t="shared" ref="L23" si="13">L22/K22-1</f>
        <v>3.7853550244545398E-2</v>
      </c>
      <c r="M23" s="30">
        <f t="shared" ref="M23" si="14">M22/L22-1</f>
        <v>2.8945237143502833E-2</v>
      </c>
      <c r="N23" s="30">
        <f t="shared" ref="N23" si="15">N22/M22-1</f>
        <v>2.4477203414336124E-2</v>
      </c>
    </row>
    <row r="24" spans="2:16" x14ac:dyDescent="0.35">
      <c r="B24" t="s">
        <v>343</v>
      </c>
      <c r="C24" s="30">
        <f>C12</f>
        <v>0.12608695652173924</v>
      </c>
      <c r="D24" s="30">
        <f t="shared" ref="D24:N24" si="16">D12</f>
        <v>0.18845500848896438</v>
      </c>
      <c r="E24" s="30">
        <f t="shared" si="16"/>
        <v>9.9381401480580056E-2</v>
      </c>
      <c r="F24" s="30">
        <f t="shared" si="16"/>
        <v>0.15445757623088802</v>
      </c>
      <c r="G24" s="30">
        <f t="shared" si="16"/>
        <v>0.1222222222222222</v>
      </c>
      <c r="H24" s="30">
        <f t="shared" si="16"/>
        <v>0.12218557876307962</v>
      </c>
      <c r="I24" s="30">
        <f t="shared" si="16"/>
        <v>0.2095235659668056</v>
      </c>
      <c r="J24" s="30">
        <f t="shared" si="16"/>
        <v>0.20488786801027475</v>
      </c>
      <c r="K24" s="30">
        <f t="shared" si="16"/>
        <v>0.21961404840128163</v>
      </c>
      <c r="L24" s="30">
        <f t="shared" si="16"/>
        <v>0.22858129793821549</v>
      </c>
      <c r="M24" s="30">
        <f t="shared" si="16"/>
        <v>0.23296046554719682</v>
      </c>
      <c r="N24" s="30">
        <f t="shared" si="16"/>
        <v>0.23432543639984726</v>
      </c>
    </row>
    <row r="25" spans="2:16" x14ac:dyDescent="0.35">
      <c r="B25" t="s">
        <v>344</v>
      </c>
      <c r="C25" s="16" t="s">
        <v>315</v>
      </c>
      <c r="D25" s="7">
        <v>6.2</v>
      </c>
      <c r="E25" s="7">
        <v>-8.9</v>
      </c>
      <c r="F25" s="7">
        <v>5.5</v>
      </c>
      <c r="G25" s="7">
        <v>-3.2</v>
      </c>
      <c r="H25" s="7">
        <v>0</v>
      </c>
      <c r="I25" s="7">
        <v>8.5</v>
      </c>
      <c r="J25" s="7">
        <v>-0.5</v>
      </c>
      <c r="K25" s="7">
        <v>1.5</v>
      </c>
      <c r="L25" s="7">
        <v>0.9</v>
      </c>
      <c r="M25" s="7">
        <v>0.4</v>
      </c>
      <c r="N25" s="7">
        <v>0.1</v>
      </c>
    </row>
    <row r="26" spans="2:16" x14ac:dyDescent="0.35">
      <c r="B26" t="s">
        <v>345</v>
      </c>
      <c r="C26" s="30">
        <f t="shared" ref="C26" si="17">C17/C7</f>
        <v>0.12991304347826094</v>
      </c>
      <c r="D26" s="30">
        <f>D17/D7</f>
        <v>0.10792869269949068</v>
      </c>
      <c r="E26" s="30">
        <f t="shared" ref="E26:N26" si="18">E17/E7</f>
        <v>0.22981442044417402</v>
      </c>
      <c r="F26" s="30">
        <f t="shared" si="18"/>
        <v>-3.8822651463876048E-2</v>
      </c>
      <c r="G26" s="30">
        <f t="shared" si="18"/>
        <v>0.16436507936507938</v>
      </c>
      <c r="H26" s="30">
        <f t="shared" si="18"/>
        <v>0.13704209556169977</v>
      </c>
      <c r="I26" s="30">
        <f t="shared" si="18"/>
        <v>0.18451653325831777</v>
      </c>
      <c r="J26" s="30">
        <f t="shared" si="18"/>
        <v>0.18555788134755991</v>
      </c>
      <c r="K26" s="30">
        <f t="shared" si="18"/>
        <v>0.20011276615124188</v>
      </c>
      <c r="L26" s="30">
        <f t="shared" si="18"/>
        <v>0.20978915656110531</v>
      </c>
      <c r="M26" s="30">
        <f t="shared" si="18"/>
        <v>0.21572163261478605</v>
      </c>
      <c r="N26" s="30">
        <f t="shared" si="18"/>
        <v>0.21728067130222828</v>
      </c>
    </row>
    <row r="27" spans="2:16" x14ac:dyDescent="0.35">
      <c r="C27" s="32"/>
      <c r="D27" s="32"/>
      <c r="E27" s="32"/>
      <c r="F27" s="32"/>
      <c r="G27" s="32"/>
      <c r="H27" s="109"/>
      <c r="I27" s="109"/>
      <c r="J27" s="109"/>
      <c r="K27" s="109"/>
      <c r="L27" s="109"/>
      <c r="M27" s="109"/>
      <c r="N27" s="109"/>
    </row>
    <row r="29" spans="2:16" ht="15" thickBot="1" x14ac:dyDescent="0.4">
      <c r="B29" s="56" t="s">
        <v>247</v>
      </c>
      <c r="C29" s="55"/>
      <c r="D29" s="55"/>
      <c r="G29" t="s">
        <v>353</v>
      </c>
      <c r="H29" s="113">
        <v>1</v>
      </c>
      <c r="I29" s="113">
        <v>2</v>
      </c>
      <c r="J29" s="113">
        <v>3</v>
      </c>
      <c r="K29" s="113">
        <v>4</v>
      </c>
      <c r="L29" s="113">
        <v>5</v>
      </c>
      <c r="M29" s="113">
        <v>6</v>
      </c>
      <c r="N29" s="113">
        <v>7</v>
      </c>
    </row>
    <row r="30" spans="2:16" ht="15" thickTop="1" x14ac:dyDescent="0.35">
      <c r="G30" t="s">
        <v>213</v>
      </c>
      <c r="H30" s="29" t="s">
        <v>239</v>
      </c>
      <c r="I30" s="29" t="s">
        <v>240</v>
      </c>
      <c r="J30" s="29" t="s">
        <v>241</v>
      </c>
      <c r="K30" s="29" t="s">
        <v>242</v>
      </c>
      <c r="L30" s="29" t="s">
        <v>243</v>
      </c>
      <c r="M30" s="29" t="s">
        <v>244</v>
      </c>
      <c r="N30" s="29" t="s">
        <v>245</v>
      </c>
    </row>
    <row r="31" spans="2:16" x14ac:dyDescent="0.35">
      <c r="B31" s="8" t="s">
        <v>330</v>
      </c>
      <c r="C31" s="132">
        <v>0.2</v>
      </c>
      <c r="G31" t="s">
        <v>238</v>
      </c>
      <c r="H31" s="13">
        <f>H17</f>
        <v>9.2561999999999962</v>
      </c>
      <c r="I31" s="13">
        <f>I17</f>
        <v>14.430299999999999</v>
      </c>
      <c r="J31" s="13">
        <f>J17</f>
        <v>15.025735000000013</v>
      </c>
      <c r="K31" s="13">
        <f>K17</f>
        <v>16.961009750000009</v>
      </c>
      <c r="L31" s="13">
        <f>L17</f>
        <v>18.4542338975</v>
      </c>
      <c r="M31" s="13">
        <f>M17</f>
        <v>19.525355213575008</v>
      </c>
      <c r="N31" s="13">
        <f>N17</f>
        <v>20.147846729547762</v>
      </c>
    </row>
    <row r="32" spans="2:16" x14ac:dyDescent="0.35">
      <c r="B32" s="8" t="s">
        <v>248</v>
      </c>
      <c r="C32" s="117">
        <v>0.02</v>
      </c>
      <c r="D32" s="35"/>
      <c r="E32" s="35"/>
      <c r="G32" t="s">
        <v>216</v>
      </c>
      <c r="H32" s="124">
        <f>H31/(1+$C$33)^H29</f>
        <v>8.5538741907039508</v>
      </c>
      <c r="I32" s="123">
        <f>I31/(1+$C$33)^I29</f>
        <v>12.323543914551577</v>
      </c>
      <c r="J32" s="123">
        <f>J31/(1+$C$33)^J29</f>
        <v>11.858400412724798</v>
      </c>
      <c r="K32" s="123">
        <f>K31/(1+$C$33)^K29</f>
        <v>12.370071726876253</v>
      </c>
      <c r="L32" s="123">
        <f>L31/(1+$C$33)^L29</f>
        <v>12.437888616934993</v>
      </c>
      <c r="M32" s="123">
        <f>M31/(1+$C$33)^M29</f>
        <v>12.161291952314727</v>
      </c>
      <c r="N32" s="123">
        <f>N31/(1+$C$33)^N29</f>
        <v>11.596836600378969</v>
      </c>
    </row>
    <row r="33" spans="2:13" x14ac:dyDescent="0.35">
      <c r="B33" s="8" t="s">
        <v>184</v>
      </c>
      <c r="C33" s="116">
        <f>'Capital structure'!J15</f>
        <v>8.2106165421430788E-2</v>
      </c>
      <c r="G33" s="5" t="s">
        <v>217</v>
      </c>
      <c r="H33" s="115">
        <f>H32+I32+J32+K32+L32+M32+N32</f>
        <v>81.301907414485271</v>
      </c>
    </row>
    <row r="34" spans="2:13" x14ac:dyDescent="0.35">
      <c r="B34" s="8" t="s">
        <v>249</v>
      </c>
      <c r="C34" s="13">
        <f>N17*(1+C32)</f>
        <v>20.550803664138719</v>
      </c>
      <c r="G34" s="5" t="s">
        <v>250</v>
      </c>
      <c r="H34" s="115">
        <f>C34/(C33-C32)</f>
        <v>330.89796358683765</v>
      </c>
    </row>
    <row r="35" spans="2:13" x14ac:dyDescent="0.35">
      <c r="B35" s="8" t="s">
        <v>192</v>
      </c>
      <c r="C35" s="118">
        <f>Overview!B19</f>
        <v>177.18</v>
      </c>
      <c r="G35" s="5" t="s">
        <v>251</v>
      </c>
      <c r="H35" s="115">
        <f>H34/(1+C33)^N29</f>
        <v>190.46053241446509</v>
      </c>
    </row>
    <row r="36" spans="2:13" x14ac:dyDescent="0.35">
      <c r="B36" s="8" t="s">
        <v>70</v>
      </c>
      <c r="C36" s="118">
        <f>Overview!B18</f>
        <v>60.389999999999993</v>
      </c>
      <c r="G36" s="5" t="s">
        <v>361</v>
      </c>
      <c r="H36" s="115">
        <f>H35+H33</f>
        <v>271.76243982895039</v>
      </c>
    </row>
    <row r="37" spans="2:13" x14ac:dyDescent="0.35">
      <c r="G37" s="130" t="s">
        <v>362</v>
      </c>
      <c r="H37" s="131">
        <f>H35/H36</f>
        <v>0.70083464269139839</v>
      </c>
    </row>
    <row r="39" spans="2:13" ht="15" thickBot="1" x14ac:dyDescent="0.4">
      <c r="B39" s="121" t="s">
        <v>347</v>
      </c>
      <c r="C39" s="69"/>
      <c r="D39" s="126">
        <f>H33+H35</f>
        <v>271.76243982895039</v>
      </c>
      <c r="G39" s="56" t="s">
        <v>271</v>
      </c>
      <c r="H39" s="55"/>
    </row>
    <row r="40" spans="2:13" ht="15.5" thickTop="1" thickBot="1" x14ac:dyDescent="0.4">
      <c r="B40" s="5" t="s">
        <v>348</v>
      </c>
      <c r="C40" s="73">
        <v>46203</v>
      </c>
      <c r="D40" s="127">
        <v>173</v>
      </c>
      <c r="G40" s="5"/>
    </row>
    <row r="41" spans="2:13" ht="15" thickBot="1" x14ac:dyDescent="0.4">
      <c r="B41" s="5" t="s">
        <v>350</v>
      </c>
      <c r="D41" s="127">
        <v>5.6</v>
      </c>
      <c r="G41" s="111">
        <f>D46</f>
        <v>2.175919628789651</v>
      </c>
      <c r="H41" s="47">
        <v>0.01</v>
      </c>
      <c r="I41" s="49">
        <v>1.4999999999999999E-2</v>
      </c>
      <c r="J41" s="48">
        <v>0.02</v>
      </c>
      <c r="K41" s="49">
        <v>2.5000000000000001E-2</v>
      </c>
      <c r="L41" s="50">
        <v>0.03</v>
      </c>
      <c r="M41" s="110" t="s">
        <v>272</v>
      </c>
    </row>
    <row r="42" spans="2:13" x14ac:dyDescent="0.35">
      <c r="B42" s="5" t="s">
        <v>349</v>
      </c>
      <c r="D42" s="127">
        <v>0.71</v>
      </c>
      <c r="G42" s="44">
        <v>7.0000000000000007E-2</v>
      </c>
      <c r="H42" s="42">
        <f t="dataTable" ref="H42:L46" dt2D="1" dtr="1" r1="C32" r2="C33"/>
        <v>2.3148819545786687</v>
      </c>
      <c r="I42" s="41">
        <v>2.4296886824985813</v>
      </c>
      <c r="J42" s="41">
        <v>2.5674567560024775</v>
      </c>
      <c r="K42" s="41">
        <v>2.7358399569516827</v>
      </c>
      <c r="L42" s="41">
        <v>2.9463189581381894</v>
      </c>
    </row>
    <row r="43" spans="2:13" x14ac:dyDescent="0.35">
      <c r="B43" s="5" t="s">
        <v>352</v>
      </c>
      <c r="D43" s="127">
        <v>5.1529999999999996</v>
      </c>
      <c r="G43" s="45">
        <v>0.08</v>
      </c>
      <c r="H43" s="43">
        <v>2.0620123281094345</v>
      </c>
      <c r="I43" s="40">
        <v>2.1407586025013861</v>
      </c>
      <c r="J43" s="40">
        <v>2.2326292559586634</v>
      </c>
      <c r="K43" s="40">
        <v>2.3412036645899912</v>
      </c>
      <c r="L43" s="40">
        <v>2.4714929549475837</v>
      </c>
    </row>
    <row r="44" spans="2:13" x14ac:dyDescent="0.35">
      <c r="B44" s="5" t="s">
        <v>70</v>
      </c>
      <c r="D44" s="128">
        <f>Overview!B18</f>
        <v>60.389999999999993</v>
      </c>
      <c r="G44" s="45">
        <v>0.09</v>
      </c>
      <c r="H44" s="43">
        <v>1.8728296294405324</v>
      </c>
      <c r="I44" s="40">
        <v>1.9293329157021477</v>
      </c>
      <c r="J44" s="40">
        <v>1.9939081000011369</v>
      </c>
      <c r="K44" s="40">
        <v>2.0684179280384312</v>
      </c>
      <c r="L44" s="40">
        <v>2.155346060748609</v>
      </c>
    </row>
    <row r="45" spans="2:13" x14ac:dyDescent="0.35">
      <c r="B45" s="91" t="s">
        <v>252</v>
      </c>
      <c r="C45" s="106"/>
      <c r="D45" s="105">
        <f>D39+D40+D41+D42-C36-D43</f>
        <v>385.52943982895039</v>
      </c>
      <c r="G45" s="45">
        <v>0.1</v>
      </c>
      <c r="H45" s="43">
        <v>1.7260828941036785</v>
      </c>
      <c r="I45" s="40">
        <v>1.7680362203453313</v>
      </c>
      <c r="J45" s="40">
        <v>1.8152337123671909</v>
      </c>
      <c r="K45" s="40">
        <v>1.8687242033252982</v>
      </c>
      <c r="L45" s="40">
        <v>1.9298561929917069</v>
      </c>
    </row>
    <row r="46" spans="2:13" ht="15" thickBot="1" x14ac:dyDescent="0.4">
      <c r="B46" s="9" t="s">
        <v>253</v>
      </c>
      <c r="C46" s="10"/>
      <c r="D46" s="122">
        <f>D45/C35</f>
        <v>2.175919628789651</v>
      </c>
      <c r="G46" s="46">
        <v>0.11</v>
      </c>
      <c r="H46" s="43">
        <v>1.6090228162434044</v>
      </c>
      <c r="I46" s="40">
        <v>1.6410207892261999</v>
      </c>
      <c r="J46" s="40">
        <v>1.6765740925404171</v>
      </c>
      <c r="K46" s="40">
        <v>1.7163101374210128</v>
      </c>
      <c r="L46" s="40">
        <v>1.7610131879116828</v>
      </c>
    </row>
    <row r="47" spans="2:13" ht="15" thickTop="1" x14ac:dyDescent="0.35">
      <c r="G47" s="110" t="s">
        <v>184</v>
      </c>
    </row>
    <row r="48" spans="2:13" ht="15" thickBot="1" x14ac:dyDescent="0.4">
      <c r="B48" s="9" t="s">
        <v>254</v>
      </c>
      <c r="C48" s="10"/>
      <c r="D48" s="125">
        <f>Overview!B2</f>
        <v>1.75</v>
      </c>
    </row>
    <row r="49" spans="2:4" ht="15.5" thickTop="1" thickBot="1" x14ac:dyDescent="0.4">
      <c r="B49" s="10" t="s">
        <v>255</v>
      </c>
      <c r="C49" s="10"/>
      <c r="D49" s="36">
        <f>(D46/D48)-1</f>
        <v>0.24338264502265772</v>
      </c>
    </row>
    <row r="50" spans="2:4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DDB6-9251-47A2-9C19-8270BE08CD90}">
  <dimension ref="C4:V33"/>
  <sheetViews>
    <sheetView topLeftCell="B7" zoomScale="85" zoomScaleNormal="85" workbookViewId="0">
      <selection activeCell="E8" sqref="E8"/>
    </sheetView>
  </sheetViews>
  <sheetFormatPr defaultRowHeight="14.5" x14ac:dyDescent="0.35"/>
  <cols>
    <col min="3" max="3" width="28.26953125" customWidth="1"/>
    <col min="4" max="5" width="9.54296875" bestFit="1" customWidth="1"/>
    <col min="6" max="6" width="8.54296875" bestFit="1" customWidth="1"/>
    <col min="8" max="8" width="9.1796875" customWidth="1"/>
    <col min="12" max="12" width="9.1796875" customWidth="1"/>
    <col min="15" max="15" width="21.453125" customWidth="1"/>
    <col min="16" max="16" width="12.7265625" bestFit="1" customWidth="1"/>
    <col min="19" max="19" width="9" customWidth="1"/>
  </cols>
  <sheetData>
    <row r="4" spans="3:22" x14ac:dyDescent="0.35">
      <c r="C4" s="87" t="s">
        <v>283</v>
      </c>
    </row>
    <row r="6" spans="3:22" x14ac:dyDescent="0.35">
      <c r="C6" s="67" t="s">
        <v>282</v>
      </c>
      <c r="D6" s="68"/>
      <c r="E6" s="68"/>
      <c r="F6" s="68" t="s">
        <v>301</v>
      </c>
      <c r="G6" s="67"/>
      <c r="H6" s="68"/>
      <c r="I6" s="68"/>
      <c r="J6" s="68"/>
      <c r="K6" s="68"/>
      <c r="L6" s="68"/>
    </row>
    <row r="8" spans="3:22" x14ac:dyDescent="0.35">
      <c r="C8" s="5" t="s">
        <v>284</v>
      </c>
      <c r="D8" s="88" t="s">
        <v>294</v>
      </c>
      <c r="E8" s="73" t="s">
        <v>293</v>
      </c>
      <c r="F8" s="5" t="s">
        <v>292</v>
      </c>
      <c r="G8" s="5" t="s">
        <v>296</v>
      </c>
      <c r="H8" s="5" t="s">
        <v>297</v>
      </c>
      <c r="I8" s="5" t="s">
        <v>298</v>
      </c>
    </row>
    <row r="9" spans="3:22" x14ac:dyDescent="0.35">
      <c r="C9" s="82" t="s">
        <v>285</v>
      </c>
      <c r="D9" s="71">
        <v>3090</v>
      </c>
      <c r="E9" s="71">
        <v>3754</v>
      </c>
      <c r="F9" s="71">
        <v>3794</v>
      </c>
      <c r="G9" s="69">
        <f>G10+200</f>
        <v>3994</v>
      </c>
      <c r="H9" s="69">
        <f>G9+350</f>
        <v>4344</v>
      </c>
      <c r="I9" s="74">
        <f>H9+150</f>
        <v>4494</v>
      </c>
      <c r="O9" s="67" t="s">
        <v>302</v>
      </c>
      <c r="P9" s="68"/>
      <c r="Q9" s="68"/>
      <c r="R9" s="68"/>
      <c r="S9" s="54"/>
    </row>
    <row r="10" spans="3:22" x14ac:dyDescent="0.35">
      <c r="C10" s="75" t="s">
        <v>299</v>
      </c>
      <c r="E10">
        <f t="shared" ref="E10:F10" si="0">D9</f>
        <v>3090</v>
      </c>
      <c r="F10">
        <f t="shared" si="0"/>
        <v>3754</v>
      </c>
      <c r="G10">
        <f>F9</f>
        <v>3794</v>
      </c>
      <c r="H10">
        <f>G9</f>
        <v>3994</v>
      </c>
      <c r="I10" s="76">
        <f>H10+350</f>
        <v>4344</v>
      </c>
      <c r="O10" s="91" t="s">
        <v>306</v>
      </c>
      <c r="P10" s="91" t="s">
        <v>309</v>
      </c>
      <c r="Q10" s="91" t="s">
        <v>310</v>
      </c>
      <c r="R10" s="91" t="s">
        <v>311</v>
      </c>
      <c r="S10" s="91" t="s">
        <v>308</v>
      </c>
      <c r="T10" s="91" t="s">
        <v>312</v>
      </c>
      <c r="U10" s="91" t="s">
        <v>313</v>
      </c>
      <c r="V10" s="91" t="s">
        <v>314</v>
      </c>
    </row>
    <row r="11" spans="3:22" x14ac:dyDescent="0.35">
      <c r="C11" s="77" t="s">
        <v>300</v>
      </c>
      <c r="D11" s="70"/>
      <c r="E11" s="70">
        <f>E9-D9</f>
        <v>664</v>
      </c>
      <c r="F11" s="70">
        <f t="shared" ref="F11:I11" si="1">F9-E9</f>
        <v>40</v>
      </c>
      <c r="G11" s="70">
        <f t="shared" si="1"/>
        <v>200</v>
      </c>
      <c r="H11" s="70">
        <f t="shared" si="1"/>
        <v>350</v>
      </c>
      <c r="I11" s="78">
        <f t="shared" si="1"/>
        <v>150</v>
      </c>
      <c r="O11" t="s">
        <v>285</v>
      </c>
      <c r="P11" s="5">
        <f>3/12*AVERAGE(E9,F9)+9/12*AVERAGE(F9,G9)</f>
        <v>3864</v>
      </c>
      <c r="Q11" s="5">
        <f>AVERAGE(H10,H9)</f>
        <v>4169</v>
      </c>
      <c r="R11" s="5">
        <f>AVERAGE(I10,I9)</f>
        <v>4419</v>
      </c>
      <c r="S11" s="14">
        <v>7.0000000000000001E-3</v>
      </c>
      <c r="T11" s="13">
        <f>$S$11*P11</f>
        <v>27.048000000000002</v>
      </c>
      <c r="U11" s="13">
        <f>$S$11*Q11</f>
        <v>29.183</v>
      </c>
      <c r="V11" s="13">
        <f>$S$11*R11</f>
        <v>30.933</v>
      </c>
    </row>
    <row r="12" spans="3:22" x14ac:dyDescent="0.35">
      <c r="C12" s="79" t="s">
        <v>246</v>
      </c>
      <c r="D12" s="66"/>
      <c r="E12" s="80">
        <f>E11/D9</f>
        <v>0.21488673139158576</v>
      </c>
      <c r="F12" s="80">
        <f t="shared" ref="F12" si="2">F11/E9</f>
        <v>1.0655301012253596E-2</v>
      </c>
      <c r="G12" s="80">
        <f t="shared" ref="G12" si="3">G11/F9</f>
        <v>5.2714812862414341E-2</v>
      </c>
      <c r="H12" s="80">
        <f t="shared" ref="H12" si="4">H11/G9</f>
        <v>8.7631447170756133E-2</v>
      </c>
      <c r="I12" s="81">
        <f t="shared" ref="I12" si="5">I11/H9</f>
        <v>3.4530386740331494E-2</v>
      </c>
      <c r="O12" t="s">
        <v>303</v>
      </c>
      <c r="P12" s="94">
        <f>3/12*AVERAGE(E13,F13)+9/12*AVERAGE(F13,G13)</f>
        <v>940.375</v>
      </c>
      <c r="Q12" s="94">
        <f>AVERAGE(H14,H13)</f>
        <v>965</v>
      </c>
      <c r="R12" s="94">
        <f>AVERAGE(I14,I13)</f>
        <v>985</v>
      </c>
      <c r="S12" s="6">
        <v>0.01</v>
      </c>
      <c r="T12" s="13">
        <f>$S$12*P12</f>
        <v>9.4037500000000005</v>
      </c>
      <c r="U12" s="7">
        <f>$S$12*Q12</f>
        <v>9.65</v>
      </c>
      <c r="V12" s="7">
        <f>$S$12*R12</f>
        <v>9.85</v>
      </c>
    </row>
    <row r="13" spans="3:22" x14ac:dyDescent="0.35">
      <c r="C13" s="82" t="s">
        <v>286</v>
      </c>
      <c r="D13" s="71">
        <v>1080</v>
      </c>
      <c r="E13" s="71">
        <v>918</v>
      </c>
      <c r="F13" s="71">
        <v>935</v>
      </c>
      <c r="G13" s="69">
        <f>F13+20</f>
        <v>955</v>
      </c>
      <c r="H13" s="69">
        <f>G13+20</f>
        <v>975</v>
      </c>
      <c r="I13" s="74">
        <f t="shared" ref="I13" si="6">H13+20</f>
        <v>995</v>
      </c>
      <c r="O13" t="s">
        <v>304</v>
      </c>
      <c r="P13" s="94">
        <f>3/12*AVERAGE(E17,F17)+9/12*AVERAGE(F17,G17)</f>
        <v>788.25</v>
      </c>
      <c r="Q13" s="94">
        <f>AVERAGE(H18,H17)</f>
        <v>870</v>
      </c>
      <c r="R13" s="94">
        <f>AVERAGE(I18,I17)</f>
        <v>950</v>
      </c>
      <c r="S13" s="14">
        <v>8.0000000000000002E-3</v>
      </c>
      <c r="T13" s="13">
        <f>$S$13*P13</f>
        <v>6.306</v>
      </c>
      <c r="U13" s="7">
        <f>$S$13*Q13</f>
        <v>6.96</v>
      </c>
      <c r="V13" s="13">
        <f>$S$13*R13</f>
        <v>7.6000000000000005</v>
      </c>
    </row>
    <row r="14" spans="3:22" x14ac:dyDescent="0.35">
      <c r="C14" s="77" t="s">
        <v>299</v>
      </c>
      <c r="D14" s="70"/>
      <c r="E14" s="70">
        <f>D13</f>
        <v>1080</v>
      </c>
      <c r="F14" s="70">
        <f t="shared" ref="F14:I14" si="7">E13</f>
        <v>918</v>
      </c>
      <c r="G14" s="70">
        <f t="shared" si="7"/>
        <v>935</v>
      </c>
      <c r="H14" s="70">
        <f t="shared" si="7"/>
        <v>955</v>
      </c>
      <c r="I14" s="78">
        <f t="shared" si="7"/>
        <v>975</v>
      </c>
      <c r="O14" t="s">
        <v>305</v>
      </c>
      <c r="P14" s="94">
        <f>3/12*AVERAGE(E21,F21)+9/12*AVERAGE(F21,G21)</f>
        <v>598.125</v>
      </c>
      <c r="Q14" s="94">
        <f>AVERAGE(H22,H21)</f>
        <v>660</v>
      </c>
      <c r="R14" s="94">
        <f>AVERAGE(I22,I21)</f>
        <v>740</v>
      </c>
      <c r="S14" s="14">
        <v>7.0000000000000001E-3</v>
      </c>
      <c r="T14" s="13">
        <f>$S$14*P14</f>
        <v>4.1868749999999997</v>
      </c>
      <c r="U14" s="13">
        <f>$S$14*Q14</f>
        <v>4.62</v>
      </c>
      <c r="V14" s="13">
        <f>$S$14*R14</f>
        <v>5.18</v>
      </c>
    </row>
    <row r="15" spans="3:22" x14ac:dyDescent="0.35">
      <c r="C15" s="77" t="s">
        <v>300</v>
      </c>
      <c r="D15" s="70"/>
      <c r="E15" s="70">
        <f>E13-D13</f>
        <v>-162</v>
      </c>
      <c r="F15" s="70">
        <f t="shared" ref="F15:I15" si="8">F13-E13</f>
        <v>17</v>
      </c>
      <c r="G15" s="70">
        <f t="shared" si="8"/>
        <v>20</v>
      </c>
      <c r="H15" s="70">
        <f t="shared" si="8"/>
        <v>20</v>
      </c>
      <c r="I15" s="78">
        <f t="shared" si="8"/>
        <v>20</v>
      </c>
      <c r="O15" t="s">
        <v>307</v>
      </c>
      <c r="P15" s="94">
        <f>3/12*AVERAGE(E25,F25)+9/12*AVERAGE(F25,G25)</f>
        <v>651.625</v>
      </c>
      <c r="Q15" s="94">
        <f>AVERAGE(H26,H25)</f>
        <v>931</v>
      </c>
      <c r="R15" s="94">
        <f>AVERAGE(I26,I25)</f>
        <v>1091</v>
      </c>
      <c r="S15" s="14">
        <v>0.01</v>
      </c>
      <c r="T15" s="13">
        <f>$S$15*P15</f>
        <v>6.5162500000000003</v>
      </c>
      <c r="U15" s="7">
        <f>$S$15*Q15</f>
        <v>9.31</v>
      </c>
      <c r="V15" s="7">
        <f>$S$15*R15</f>
        <v>10.91</v>
      </c>
    </row>
    <row r="16" spans="3:22" x14ac:dyDescent="0.35">
      <c r="C16" s="79" t="s">
        <v>246</v>
      </c>
      <c r="D16" s="66"/>
      <c r="E16" s="80">
        <f>E15/D13</f>
        <v>-0.15</v>
      </c>
      <c r="F16" s="80">
        <f t="shared" ref="F16" si="9">F15/E13</f>
        <v>1.8518518518518517E-2</v>
      </c>
      <c r="G16" s="80">
        <f t="shared" ref="G16" si="10">G15/F13</f>
        <v>2.1390374331550801E-2</v>
      </c>
      <c r="H16" s="80">
        <f t="shared" ref="H16" si="11">H15/G13</f>
        <v>2.0942408376963352E-2</v>
      </c>
      <c r="I16" s="81">
        <f t="shared" ref="I16" si="12">I15/H13</f>
        <v>2.0512820512820513E-2</v>
      </c>
      <c r="O16" s="66" t="s">
        <v>290</v>
      </c>
      <c r="P16" s="95">
        <f>3/12*AVERAGE(E29,F29)+9/12*AVERAGE(F29,G29)</f>
        <v>633.5</v>
      </c>
      <c r="Q16" s="95">
        <f>AVERAGE(H30,H29)</f>
        <v>703</v>
      </c>
      <c r="R16" s="96">
        <f>AVERAGE(I30,I29)</f>
        <v>733</v>
      </c>
      <c r="S16" s="7" t="s">
        <v>315</v>
      </c>
      <c r="T16" s="13">
        <v>8.5</v>
      </c>
      <c r="U16" s="13">
        <v>8.6999999999999993</v>
      </c>
      <c r="V16" s="13">
        <v>8.9</v>
      </c>
    </row>
    <row r="17" spans="3:22" x14ac:dyDescent="0.35">
      <c r="C17" s="82" t="s">
        <v>287</v>
      </c>
      <c r="D17" s="71">
        <v>726</v>
      </c>
      <c r="E17" s="71">
        <v>816</v>
      </c>
      <c r="F17" s="71">
        <v>750</v>
      </c>
      <c r="G17" s="69">
        <f>F17+80</f>
        <v>830</v>
      </c>
      <c r="H17" s="69">
        <f>G17+80</f>
        <v>910</v>
      </c>
      <c r="I17" s="74">
        <f>H17+80</f>
        <v>990</v>
      </c>
      <c r="O17" s="91" t="s">
        <v>323</v>
      </c>
      <c r="P17" s="133">
        <f>SUM(P11:P16)</f>
        <v>7475.875</v>
      </c>
      <c r="Q17" s="91">
        <f t="shared" ref="Q17:R17" si="13">SUM(Q11:Q16)</f>
        <v>8298</v>
      </c>
      <c r="R17" s="92">
        <f t="shared" si="13"/>
        <v>8918</v>
      </c>
      <c r="S17" s="93" t="s">
        <v>316</v>
      </c>
      <c r="T17" s="100">
        <f>SUM(T11:T16)</f>
        <v>61.960875000000001</v>
      </c>
      <c r="U17" s="100">
        <f>SUM(U11:U16)</f>
        <v>68.423000000000002</v>
      </c>
      <c r="V17" s="100">
        <f>SUM(V11:V16)</f>
        <v>73.373000000000005</v>
      </c>
    </row>
    <row r="18" spans="3:22" x14ac:dyDescent="0.35">
      <c r="C18" s="77" t="s">
        <v>299</v>
      </c>
      <c r="D18" s="70"/>
      <c r="E18">
        <f t="shared" ref="E18:F18" si="14">D17</f>
        <v>726</v>
      </c>
      <c r="F18">
        <f t="shared" si="14"/>
        <v>816</v>
      </c>
      <c r="G18">
        <f>F17</f>
        <v>750</v>
      </c>
      <c r="H18">
        <f t="shared" ref="H18:I18" si="15">G17</f>
        <v>830</v>
      </c>
      <c r="I18" s="76">
        <f t="shared" si="15"/>
        <v>910</v>
      </c>
    </row>
    <row r="19" spans="3:22" x14ac:dyDescent="0.35">
      <c r="C19" s="77" t="s">
        <v>300</v>
      </c>
      <c r="D19" s="70"/>
      <c r="E19" s="70">
        <f>E17-D17</f>
        <v>90</v>
      </c>
      <c r="F19" s="70">
        <f t="shared" ref="F19:I19" si="16">F17-E17</f>
        <v>-66</v>
      </c>
      <c r="G19" s="70">
        <f t="shared" si="16"/>
        <v>80</v>
      </c>
      <c r="H19" s="70">
        <f t="shared" si="16"/>
        <v>80</v>
      </c>
      <c r="I19" s="78">
        <f t="shared" si="16"/>
        <v>80</v>
      </c>
      <c r="O19" s="67" t="s">
        <v>317</v>
      </c>
      <c r="P19" s="66"/>
      <c r="Q19" s="66"/>
      <c r="R19" s="66"/>
      <c r="S19" s="66"/>
      <c r="T19" s="66"/>
      <c r="U19" s="66"/>
      <c r="V19" s="66"/>
    </row>
    <row r="20" spans="3:22" x14ac:dyDescent="0.35">
      <c r="C20" s="79" t="s">
        <v>246</v>
      </c>
      <c r="D20" s="66"/>
      <c r="E20" s="80">
        <f>E19/D17</f>
        <v>0.12396694214876033</v>
      </c>
      <c r="F20" s="80">
        <f t="shared" ref="F20" si="17">F19/E17</f>
        <v>-8.0882352941176475E-2</v>
      </c>
      <c r="G20" s="80">
        <f t="shared" ref="G20" si="18">G19/F17</f>
        <v>0.10666666666666667</v>
      </c>
      <c r="H20" s="80">
        <f t="shared" ref="H20" si="19">H19/G17</f>
        <v>9.6385542168674704E-2</v>
      </c>
      <c r="I20" s="81">
        <f t="shared" ref="I20" si="20">I19/H17</f>
        <v>8.7912087912087919E-2</v>
      </c>
      <c r="O20" s="91" t="s">
        <v>204</v>
      </c>
      <c r="P20" s="91" t="s">
        <v>318</v>
      </c>
      <c r="Q20" s="91" t="s">
        <v>319</v>
      </c>
      <c r="R20" s="91" t="s">
        <v>320</v>
      </c>
      <c r="S20" s="5" t="s">
        <v>333</v>
      </c>
      <c r="T20" s="5" t="s">
        <v>334</v>
      </c>
      <c r="U20" s="5" t="s">
        <v>335</v>
      </c>
      <c r="V20" s="5" t="s">
        <v>336</v>
      </c>
    </row>
    <row r="21" spans="3:22" x14ac:dyDescent="0.35">
      <c r="C21" s="82" t="s">
        <v>288</v>
      </c>
      <c r="D21" s="83" t="s">
        <v>295</v>
      </c>
      <c r="E21" s="71">
        <v>585</v>
      </c>
      <c r="F21" s="71">
        <v>585</v>
      </c>
      <c r="G21" s="69">
        <f>F21+35</f>
        <v>620</v>
      </c>
      <c r="H21" s="69">
        <f>G21+80</f>
        <v>700</v>
      </c>
      <c r="I21" s="74">
        <f t="shared" ref="I21" si="21">H21+80</f>
        <v>780</v>
      </c>
      <c r="O21" t="s">
        <v>337</v>
      </c>
      <c r="P21" s="99">
        <v>61.542749999999998</v>
      </c>
      <c r="Q21" s="99">
        <v>67.207999999999998</v>
      </c>
      <c r="R21" s="99">
        <v>72.058000000000007</v>
      </c>
      <c r="S21" s="28">
        <f>R21*1.05</f>
        <v>75.660900000000012</v>
      </c>
      <c r="T21" s="28">
        <f>S21*1.04</f>
        <v>78.687336000000016</v>
      </c>
      <c r="U21" s="28">
        <f>T21*1.03</f>
        <v>81.04795608000002</v>
      </c>
      <c r="V21" s="28">
        <f>U21*1.025</f>
        <v>83.07415498200001</v>
      </c>
    </row>
    <row r="22" spans="3:22" x14ac:dyDescent="0.35">
      <c r="C22" s="77" t="s">
        <v>299</v>
      </c>
      <c r="D22" s="72"/>
      <c r="E22" s="70"/>
      <c r="F22" s="70">
        <f>E21</f>
        <v>585</v>
      </c>
      <c r="G22" s="70">
        <f>F21</f>
        <v>585</v>
      </c>
      <c r="H22" s="70">
        <f>G21</f>
        <v>620</v>
      </c>
      <c r="I22" s="78">
        <f>H21</f>
        <v>700</v>
      </c>
      <c r="O22" t="s">
        <v>324</v>
      </c>
      <c r="P22" s="99">
        <v>0</v>
      </c>
      <c r="Q22" s="101">
        <v>2.7</v>
      </c>
      <c r="R22" s="99">
        <v>0</v>
      </c>
      <c r="S22" s="7">
        <v>0</v>
      </c>
      <c r="T22" s="7">
        <v>0</v>
      </c>
      <c r="U22" s="7">
        <v>0</v>
      </c>
      <c r="V22" s="7">
        <v>0</v>
      </c>
    </row>
    <row r="23" spans="3:22" x14ac:dyDescent="0.35">
      <c r="C23" s="77" t="s">
        <v>300</v>
      </c>
      <c r="D23" s="72"/>
      <c r="E23" s="70"/>
      <c r="F23" s="70">
        <f>F21-F22</f>
        <v>0</v>
      </c>
      <c r="G23" s="70">
        <f>G21-G22</f>
        <v>35</v>
      </c>
      <c r="H23" s="70">
        <f>H21-H22</f>
        <v>80</v>
      </c>
      <c r="I23" s="78">
        <f>I21-I22</f>
        <v>80</v>
      </c>
      <c r="O23" s="66" t="s">
        <v>321</v>
      </c>
      <c r="P23" s="28">
        <v>6</v>
      </c>
      <c r="Q23" s="28">
        <f>0.1%*Q17</f>
        <v>8.298</v>
      </c>
      <c r="R23" s="28">
        <f>0.1%*R17</f>
        <v>8.918000000000001</v>
      </c>
      <c r="S23" s="28">
        <f>R23*1.02</f>
        <v>9.0963600000000007</v>
      </c>
      <c r="T23" s="28">
        <f t="shared" ref="T23:V23" si="22">S23*1.02</f>
        <v>9.2782872000000012</v>
      </c>
      <c r="U23" s="28">
        <f t="shared" si="22"/>
        <v>9.463852944000001</v>
      </c>
      <c r="V23" s="28">
        <f t="shared" si="22"/>
        <v>9.6531300028800011</v>
      </c>
    </row>
    <row r="24" spans="3:22" x14ac:dyDescent="0.35">
      <c r="C24" s="79" t="s">
        <v>246</v>
      </c>
      <c r="D24" s="84"/>
      <c r="E24" s="66"/>
      <c r="F24" s="66">
        <f>F23/E21</f>
        <v>0</v>
      </c>
      <c r="G24" s="80">
        <f>G23/F21</f>
        <v>5.9829059829059832E-2</v>
      </c>
      <c r="H24" s="80">
        <f>H23/G21</f>
        <v>0.12903225806451613</v>
      </c>
      <c r="I24" s="81">
        <f>I23/H21</f>
        <v>0.11428571428571428</v>
      </c>
      <c r="O24" s="52" t="s">
        <v>322</v>
      </c>
      <c r="P24" s="98">
        <f>SUM(P21:P23)</f>
        <v>67.542749999999998</v>
      </c>
      <c r="Q24" s="98">
        <f t="shared" ref="Q24:V24" si="23">SUM(Q21:Q23)</f>
        <v>78.206000000000003</v>
      </c>
      <c r="R24" s="98">
        <f t="shared" si="23"/>
        <v>80.976000000000013</v>
      </c>
      <c r="S24" s="98">
        <f t="shared" si="23"/>
        <v>84.757260000000016</v>
      </c>
      <c r="T24" s="98">
        <f t="shared" si="23"/>
        <v>87.96562320000001</v>
      </c>
      <c r="U24" s="98">
        <f t="shared" si="23"/>
        <v>90.511809024000016</v>
      </c>
      <c r="V24" s="98">
        <f t="shared" si="23"/>
        <v>92.727284984880015</v>
      </c>
    </row>
    <row r="25" spans="3:22" x14ac:dyDescent="0.35">
      <c r="C25" s="82" t="s">
        <v>289</v>
      </c>
      <c r="D25" s="71">
        <v>648</v>
      </c>
      <c r="E25" s="71">
        <v>554</v>
      </c>
      <c r="F25" s="71">
        <v>549</v>
      </c>
      <c r="G25" s="69">
        <f>F25+272</f>
        <v>821</v>
      </c>
      <c r="H25" s="69">
        <f>G25+220</f>
        <v>1041</v>
      </c>
      <c r="I25" s="74">
        <f>H25+100</f>
        <v>1141</v>
      </c>
      <c r="O25" t="s">
        <v>325</v>
      </c>
      <c r="P25">
        <f>(183*230)/1000</f>
        <v>42.09</v>
      </c>
      <c r="Q25">
        <f>(183*240)/1000</f>
        <v>43.92</v>
      </c>
      <c r="R25">
        <f>(183*250)/1000</f>
        <v>45.75</v>
      </c>
      <c r="S25" s="3">
        <f>R25*1.03</f>
        <v>47.122500000000002</v>
      </c>
      <c r="T25" s="3">
        <f>S25*1.028</f>
        <v>48.441930000000006</v>
      </c>
      <c r="U25" s="3">
        <f>T25*1.025</f>
        <v>49.652978250000004</v>
      </c>
      <c r="V25" s="3">
        <f>U25*1.025</f>
        <v>50.894302706250002</v>
      </c>
    </row>
    <row r="26" spans="3:22" x14ac:dyDescent="0.35">
      <c r="C26" s="77" t="s">
        <v>299</v>
      </c>
      <c r="D26" s="70"/>
      <c r="E26" s="70">
        <f>D25</f>
        <v>648</v>
      </c>
      <c r="F26" s="70">
        <f t="shared" ref="F26:I26" si="24">E25</f>
        <v>554</v>
      </c>
      <c r="G26" s="70">
        <f t="shared" si="24"/>
        <v>549</v>
      </c>
      <c r="H26" s="70">
        <f t="shared" si="24"/>
        <v>821</v>
      </c>
      <c r="I26" s="78">
        <f t="shared" si="24"/>
        <v>1041</v>
      </c>
      <c r="O26" t="s">
        <v>326</v>
      </c>
      <c r="P26">
        <f>3.5*4</f>
        <v>14</v>
      </c>
      <c r="Q26">
        <f>P26*1.05</f>
        <v>14.700000000000001</v>
      </c>
      <c r="R26" s="3">
        <f t="shared" ref="R26" si="25">Q26*1.05</f>
        <v>15.435000000000002</v>
      </c>
      <c r="S26" s="3">
        <f>R26*1.025</f>
        <v>15.820875000000001</v>
      </c>
      <c r="T26" s="3">
        <f t="shared" ref="T26" si="26">S26*1.025</f>
        <v>16.216396875000001</v>
      </c>
      <c r="U26" s="3">
        <f>T26*1.022</f>
        <v>16.57315760625</v>
      </c>
      <c r="V26" s="3">
        <f>U26*1.02</f>
        <v>16.904620758375</v>
      </c>
    </row>
    <row r="27" spans="3:22" x14ac:dyDescent="0.35">
      <c r="C27" s="77" t="s">
        <v>300</v>
      </c>
      <c r="D27" s="70"/>
      <c r="E27" s="70">
        <f>E25-E26</f>
        <v>-94</v>
      </c>
      <c r="F27" s="70">
        <f t="shared" ref="F27" si="27">F25-F26</f>
        <v>-5</v>
      </c>
      <c r="G27" s="70">
        <f t="shared" ref="G27" si="28">G25-G26</f>
        <v>272</v>
      </c>
      <c r="H27" s="70">
        <f t="shared" ref="H27" si="29">H25-H26</f>
        <v>220</v>
      </c>
      <c r="I27" s="78">
        <f t="shared" ref="I27" si="30">I25-I26</f>
        <v>100</v>
      </c>
      <c r="O27" s="66" t="s">
        <v>327</v>
      </c>
      <c r="P27" s="66">
        <v>3.2</v>
      </c>
      <c r="Q27" s="66">
        <v>3.2</v>
      </c>
      <c r="R27" s="66">
        <v>3.2</v>
      </c>
      <c r="S27" s="66">
        <v>3.2</v>
      </c>
      <c r="T27" s="66">
        <v>3.2</v>
      </c>
      <c r="U27" s="66">
        <v>3.2</v>
      </c>
      <c r="V27" s="66">
        <v>3.2</v>
      </c>
    </row>
    <row r="28" spans="3:22" x14ac:dyDescent="0.35">
      <c r="C28" s="79" t="s">
        <v>246</v>
      </c>
      <c r="D28" s="66"/>
      <c r="E28" s="85">
        <f>E27/D25</f>
        <v>-0.14506172839506173</v>
      </c>
      <c r="F28" s="85">
        <f t="shared" ref="F28:I28" si="31">F27/E25</f>
        <v>-9.0252707581227436E-3</v>
      </c>
      <c r="G28" s="85">
        <f t="shared" si="31"/>
        <v>0.49544626593806923</v>
      </c>
      <c r="H28" s="85">
        <f t="shared" si="31"/>
        <v>0.2679658952496955</v>
      </c>
      <c r="I28" s="86">
        <f t="shared" si="31"/>
        <v>9.6061479346781942E-2</v>
      </c>
      <c r="O28" s="91" t="s">
        <v>28</v>
      </c>
      <c r="P28" s="105">
        <f>P24-P25-P26-P27</f>
        <v>8.2527499999999954</v>
      </c>
      <c r="Q28" s="105">
        <f t="shared" ref="Q28:V28" si="32">Q24-Q25-Q26-Q27</f>
        <v>16.385999999999999</v>
      </c>
      <c r="R28" s="105">
        <f t="shared" si="32"/>
        <v>16.591000000000012</v>
      </c>
      <c r="S28" s="105">
        <f t="shared" si="32"/>
        <v>18.613885000000014</v>
      </c>
      <c r="T28" s="105">
        <f t="shared" si="32"/>
        <v>20.107296325000004</v>
      </c>
      <c r="U28" s="105">
        <f t="shared" si="32"/>
        <v>21.085673167750013</v>
      </c>
      <c r="V28" s="105">
        <f t="shared" si="32"/>
        <v>21.728361520255014</v>
      </c>
    </row>
    <row r="29" spans="3:22" x14ac:dyDescent="0.35">
      <c r="C29" s="82" t="s">
        <v>290</v>
      </c>
      <c r="D29" s="71">
        <v>518</v>
      </c>
      <c r="E29" s="71">
        <v>583</v>
      </c>
      <c r="F29" s="71">
        <v>609</v>
      </c>
      <c r="G29" s="69">
        <f>E29+100</f>
        <v>683</v>
      </c>
      <c r="H29" s="69">
        <f>G29+40</f>
        <v>723</v>
      </c>
      <c r="I29" s="74">
        <f>H29+20</f>
        <v>743</v>
      </c>
      <c r="O29" s="106" t="s">
        <v>328</v>
      </c>
      <c r="P29" s="107">
        <f>173*0.1</f>
        <v>17.3</v>
      </c>
      <c r="Q29" s="107">
        <f t="shared" ref="Q29:V29" si="33">173*0.1</f>
        <v>17.3</v>
      </c>
      <c r="R29" s="107">
        <f t="shared" si="33"/>
        <v>17.3</v>
      </c>
      <c r="S29" s="107">
        <f t="shared" si="33"/>
        <v>17.3</v>
      </c>
      <c r="T29" s="107">
        <f t="shared" si="33"/>
        <v>17.3</v>
      </c>
      <c r="U29" s="107">
        <f t="shared" si="33"/>
        <v>17.3</v>
      </c>
      <c r="V29" s="107">
        <f t="shared" si="33"/>
        <v>17.3</v>
      </c>
    </row>
    <row r="30" spans="3:22" x14ac:dyDescent="0.35">
      <c r="C30" s="77" t="s">
        <v>299</v>
      </c>
      <c r="D30" s="70"/>
      <c r="E30" s="70">
        <f>D29</f>
        <v>518</v>
      </c>
      <c r="F30" s="70">
        <f t="shared" ref="F30:I30" si="34">E29</f>
        <v>583</v>
      </c>
      <c r="G30" s="70">
        <f t="shared" si="34"/>
        <v>609</v>
      </c>
      <c r="H30" s="70">
        <f t="shared" si="34"/>
        <v>683</v>
      </c>
      <c r="I30" s="78">
        <f t="shared" si="34"/>
        <v>723</v>
      </c>
      <c r="O30" s="91" t="s">
        <v>329</v>
      </c>
      <c r="P30" s="108">
        <f>P29+P28</f>
        <v>25.552749999999996</v>
      </c>
      <c r="Q30" s="108">
        <f t="shared" ref="Q30:V30" si="35">Q29+Q28</f>
        <v>33.686</v>
      </c>
      <c r="R30" s="108">
        <f t="shared" si="35"/>
        <v>33.891000000000012</v>
      </c>
      <c r="S30" s="108">
        <f t="shared" si="35"/>
        <v>35.913885000000015</v>
      </c>
      <c r="T30" s="108">
        <f t="shared" si="35"/>
        <v>37.407296325000004</v>
      </c>
      <c r="U30" s="108">
        <f t="shared" si="35"/>
        <v>38.385673167750014</v>
      </c>
      <c r="V30" s="108">
        <f t="shared" si="35"/>
        <v>39.028361520255018</v>
      </c>
    </row>
    <row r="31" spans="3:22" x14ac:dyDescent="0.35">
      <c r="C31" s="77" t="s">
        <v>300</v>
      </c>
      <c r="D31" s="70"/>
      <c r="E31" s="70">
        <f>E29-E30</f>
        <v>65</v>
      </c>
      <c r="F31" s="70">
        <f t="shared" ref="F31" si="36">F29-F30</f>
        <v>26</v>
      </c>
      <c r="G31" s="70">
        <f t="shared" ref="G31" si="37">G29-G30</f>
        <v>74</v>
      </c>
      <c r="H31" s="70">
        <f t="shared" ref="H31" si="38">H29-H30</f>
        <v>40</v>
      </c>
      <c r="I31" s="78">
        <f t="shared" ref="I31" si="39">I29-I30</f>
        <v>20</v>
      </c>
    </row>
    <row r="32" spans="3:22" x14ac:dyDescent="0.35">
      <c r="C32" s="89" t="s">
        <v>246</v>
      </c>
      <c r="E32" s="32">
        <f>E31/D29</f>
        <v>0.12548262548262548</v>
      </c>
      <c r="F32" s="32">
        <f t="shared" ref="F32" si="40">F31/E29</f>
        <v>4.4596912521440824E-2</v>
      </c>
      <c r="G32" s="32">
        <f t="shared" ref="G32" si="41">G31/F29</f>
        <v>0.12151067323481117</v>
      </c>
      <c r="H32" s="32">
        <f t="shared" ref="H32" si="42">H31/G29</f>
        <v>5.8565153733528552E-2</v>
      </c>
      <c r="I32" s="90">
        <f t="shared" ref="I32" si="43">I31/H29</f>
        <v>2.7662517289073305E-2</v>
      </c>
    </row>
    <row r="33" spans="3:9" x14ac:dyDescent="0.35">
      <c r="C33" s="61" t="s">
        <v>291</v>
      </c>
      <c r="D33" s="91">
        <f>SUM(D9:D29)</f>
        <v>6062</v>
      </c>
      <c r="E33" s="91">
        <f>E29+E25+E21+E17+E13+E9</f>
        <v>7210</v>
      </c>
      <c r="F33" s="91">
        <f>F29+F25+F21+F17+F13+F9</f>
        <v>7222</v>
      </c>
      <c r="G33" s="91">
        <f>G29+G25+G21+G17+G13+G9</f>
        <v>7903</v>
      </c>
      <c r="H33" s="91">
        <f>H29+H25+H21+H17+H13+H9</f>
        <v>8693</v>
      </c>
      <c r="I33" s="92">
        <f>I29+I25+I21+I17+I13+I9</f>
        <v>9143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workbookViewId="0"/>
  </sheetViews>
  <sheetFormatPr defaultRowHeight="14.5" x14ac:dyDescent="0.35"/>
  <cols>
    <col min="1" max="1" width="14.6328125" customWidth="1"/>
    <col min="2" max="2" width="18.08984375" customWidth="1"/>
    <col min="3" max="3" width="15.90625" customWidth="1"/>
    <col min="4" max="4" width="16.36328125" bestFit="1" customWidth="1"/>
    <col min="5" max="5" width="17" customWidth="1"/>
    <col min="6" max="6" width="16.54296875" customWidth="1"/>
    <col min="7" max="7" width="17.81640625" customWidth="1"/>
    <col min="8" max="8" width="14.54296875" customWidth="1"/>
    <col min="9" max="9" width="14" customWidth="1"/>
    <col min="10" max="10" width="17.81640625" customWidth="1"/>
    <col min="11" max="11" width="14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3" t="s">
        <v>11</v>
      </c>
      <c r="B2" s="119">
        <v>1.75</v>
      </c>
      <c r="C2" s="120">
        <v>0.78400000000000003</v>
      </c>
      <c r="D2" s="136">
        <v>25.34</v>
      </c>
      <c r="E2" s="119">
        <v>1.73</v>
      </c>
      <c r="F2" s="120">
        <v>1023</v>
      </c>
      <c r="G2" s="120">
        <v>7.0000000000000007E-2</v>
      </c>
      <c r="H2" s="120">
        <v>2.5009999999999999</v>
      </c>
      <c r="I2" s="120">
        <v>2.5009999999999999</v>
      </c>
      <c r="J2" s="120">
        <v>0.08</v>
      </c>
      <c r="K2" s="120">
        <v>0.252</v>
      </c>
    </row>
    <row r="3" spans="1:11" x14ac:dyDescent="0.35">
      <c r="A3" s="11" t="s">
        <v>183</v>
      </c>
      <c r="C3" s="5"/>
    </row>
    <row r="5" spans="1:11" ht="15" thickBot="1" x14ac:dyDescent="0.4">
      <c r="A5" t="s">
        <v>188</v>
      </c>
      <c r="C5" s="4"/>
      <c r="D5" s="5" t="s">
        <v>187</v>
      </c>
      <c r="G5" s="9" t="s">
        <v>186</v>
      </c>
      <c r="H5" s="10"/>
      <c r="I5" s="10"/>
    </row>
    <row r="6" spans="1:11" ht="15.5" thickTop="1" thickBot="1" x14ac:dyDescent="0.4">
      <c r="A6" s="57" t="s">
        <v>12</v>
      </c>
      <c r="B6" s="58" t="s">
        <v>13</v>
      </c>
      <c r="C6" s="3"/>
      <c r="D6" s="59" t="s">
        <v>184</v>
      </c>
      <c r="E6" s="60" t="s">
        <v>185</v>
      </c>
    </row>
    <row r="7" spans="1:11" ht="15" thickTop="1" x14ac:dyDescent="0.35">
      <c r="A7" s="7" t="s">
        <v>14</v>
      </c>
      <c r="B7" s="6">
        <v>0.44</v>
      </c>
      <c r="C7" s="3"/>
      <c r="D7" s="22">
        <v>8.2100000000000006E-2</v>
      </c>
      <c r="E7" s="22">
        <v>9.4500000000000001E-2</v>
      </c>
    </row>
    <row r="8" spans="1:11" x14ac:dyDescent="0.35">
      <c r="A8" s="7" t="s">
        <v>15</v>
      </c>
      <c r="B8" s="6">
        <v>7.0000000000000007E-2</v>
      </c>
      <c r="C8" s="3"/>
    </row>
    <row r="9" spans="1:11" x14ac:dyDescent="0.35">
      <c r="A9" s="8" t="s">
        <v>16</v>
      </c>
      <c r="B9" s="12">
        <v>0.25</v>
      </c>
      <c r="C9" s="3"/>
      <c r="D9" s="63" t="s">
        <v>363</v>
      </c>
      <c r="E9" s="141" t="s">
        <v>318</v>
      </c>
    </row>
    <row r="10" spans="1:11" x14ac:dyDescent="0.35">
      <c r="A10" s="7" t="s">
        <v>17</v>
      </c>
      <c r="B10" s="6">
        <v>0.194465075460453</v>
      </c>
      <c r="C10" s="3"/>
      <c r="D10" s="7" t="s">
        <v>365</v>
      </c>
      <c r="E10" s="137">
        <f>B15/(DCF!H8+DCF!H14)</f>
        <v>12.884158906539376</v>
      </c>
    </row>
    <row r="11" spans="1:11" x14ac:dyDescent="0.35">
      <c r="A11" s="8" t="s">
        <v>18</v>
      </c>
      <c r="B11" s="6">
        <v>0.21199999999999999</v>
      </c>
      <c r="D11" s="138" t="s">
        <v>364</v>
      </c>
      <c r="E11" s="137">
        <f>B15/DCF!H8</f>
        <v>14.497656807975659</v>
      </c>
    </row>
    <row r="12" spans="1:11" x14ac:dyDescent="0.35">
      <c r="D12" s="139" t="s">
        <v>366</v>
      </c>
      <c r="E12" s="137">
        <f>B2/0.13</f>
        <v>13.461538461538462</v>
      </c>
    </row>
    <row r="13" spans="1:11" x14ac:dyDescent="0.35">
      <c r="A13" s="61" t="s">
        <v>351</v>
      </c>
      <c r="B13" s="62"/>
      <c r="D13" s="139" t="s">
        <v>367</v>
      </c>
      <c r="E13" s="16">
        <f>DCF!H17/Overview!B15</f>
        <v>2.4986030691986873E-2</v>
      </c>
    </row>
    <row r="14" spans="1:11" x14ac:dyDescent="0.35">
      <c r="A14" s="7" t="s">
        <v>189</v>
      </c>
      <c r="B14" s="13">
        <f>B2*B19</f>
        <v>310.065</v>
      </c>
      <c r="D14" s="139" t="s">
        <v>368</v>
      </c>
      <c r="E14" s="16">
        <f>0.13/Overview!B2</f>
        <v>7.4285714285714288E-2</v>
      </c>
    </row>
    <row r="15" spans="1:11" x14ac:dyDescent="0.35">
      <c r="A15" s="7" t="s">
        <v>190</v>
      </c>
      <c r="B15" s="13">
        <f>B14+B18</f>
        <v>370.45499999999998</v>
      </c>
      <c r="D15" s="139" t="s">
        <v>369</v>
      </c>
      <c r="E15" s="140">
        <f>B14/181.9</f>
        <v>1.7045904343045628</v>
      </c>
    </row>
    <row r="16" spans="1:11" x14ac:dyDescent="0.35">
      <c r="A16" s="7" t="s">
        <v>191</v>
      </c>
      <c r="B16" s="13">
        <v>105.6</v>
      </c>
      <c r="D16" s="134"/>
    </row>
    <row r="17" spans="1:9" x14ac:dyDescent="0.35">
      <c r="A17" s="7" t="s">
        <v>280</v>
      </c>
      <c r="B17" s="13">
        <v>45.21</v>
      </c>
    </row>
    <row r="18" spans="1:9" x14ac:dyDescent="0.35">
      <c r="A18" s="7" t="s">
        <v>70</v>
      </c>
      <c r="B18" s="13">
        <f>B16-B17</f>
        <v>60.389999999999993</v>
      </c>
    </row>
    <row r="19" spans="1:9" x14ac:dyDescent="0.35">
      <c r="A19" s="7" t="s">
        <v>192</v>
      </c>
      <c r="B19" s="13">
        <v>177.18</v>
      </c>
    </row>
    <row r="23" spans="1:9" x14ac:dyDescent="0.35">
      <c r="A23" s="52" t="s">
        <v>273</v>
      </c>
      <c r="B23" s="51">
        <v>46236</v>
      </c>
    </row>
    <row r="27" spans="1:9" x14ac:dyDescent="0.35">
      <c r="D27" s="54"/>
      <c r="E27" s="97" t="s">
        <v>331</v>
      </c>
      <c r="F27" s="54"/>
    </row>
    <row r="28" spans="1:9" x14ac:dyDescent="0.35">
      <c r="C28" s="102" t="s">
        <v>175</v>
      </c>
      <c r="D28" s="102" t="s">
        <v>274</v>
      </c>
      <c r="E28" s="102" t="s">
        <v>275</v>
      </c>
      <c r="F28" s="102" t="s">
        <v>276</v>
      </c>
      <c r="G28" s="102" t="s">
        <v>277</v>
      </c>
      <c r="H28" s="63" t="s">
        <v>278</v>
      </c>
      <c r="I28" s="63" t="s">
        <v>279</v>
      </c>
    </row>
    <row r="29" spans="1:9" x14ac:dyDescent="0.35">
      <c r="C29" s="53">
        <v>45506</v>
      </c>
      <c r="D29" s="13">
        <v>1.8420000000000001</v>
      </c>
      <c r="E29" s="13">
        <v>30770.410156000002</v>
      </c>
      <c r="F29" s="13"/>
      <c r="G29" s="103"/>
      <c r="H29" s="104">
        <f>SLOPE(F29:F133,G29:G133)</f>
        <v>0.78392358592141786</v>
      </c>
      <c r="I29" s="104">
        <f>RSQ(F29:F133,G29:G133)</f>
        <v>0.27058176831241715</v>
      </c>
    </row>
    <row r="30" spans="1:9" x14ac:dyDescent="0.35">
      <c r="C30" s="53">
        <v>45513</v>
      </c>
      <c r="D30" s="13">
        <v>1.736</v>
      </c>
      <c r="E30" s="13">
        <v>31031.359375</v>
      </c>
      <c r="F30" s="14">
        <f>D30/D29-1</f>
        <v>-5.7546145494028256E-2</v>
      </c>
      <c r="G30" s="14">
        <f>E30/E29-1</f>
        <v>8.4805245584000932E-3</v>
      </c>
    </row>
    <row r="31" spans="1:9" x14ac:dyDescent="0.35">
      <c r="C31" s="53">
        <v>45520</v>
      </c>
      <c r="D31" s="13">
        <v>1.802</v>
      </c>
      <c r="E31" s="13">
        <v>31675.5</v>
      </c>
      <c r="F31" s="14">
        <f t="shared" ref="F31:F94" si="0">D31/D30-1</f>
        <v>3.8018433179723532E-2</v>
      </c>
      <c r="G31" s="14">
        <f t="shared" ref="G31:G94" si="1">E31/E30-1</f>
        <v>2.0757731468217466E-2</v>
      </c>
    </row>
    <row r="32" spans="1:9" x14ac:dyDescent="0.35">
      <c r="C32" s="53">
        <v>45527</v>
      </c>
      <c r="D32" s="13">
        <v>1.8160000000000001</v>
      </c>
      <c r="E32" s="13">
        <v>32266.369140999999</v>
      </c>
      <c r="F32" s="14">
        <f t="shared" si="0"/>
        <v>7.769145394006749E-3</v>
      </c>
      <c r="G32" s="14">
        <f t="shared" si="1"/>
        <v>1.8653822070685555E-2</v>
      </c>
    </row>
    <row r="33" spans="3:7" x14ac:dyDescent="0.35">
      <c r="C33" s="53">
        <v>45534</v>
      </c>
      <c r="D33" s="13">
        <v>1.8440000000000001</v>
      </c>
      <c r="E33" s="13">
        <v>32658.310547000001</v>
      </c>
      <c r="F33" s="14">
        <f t="shared" si="0"/>
        <v>1.5418502202643181E-2</v>
      </c>
      <c r="G33" s="14">
        <f t="shared" si="1"/>
        <v>1.2147056406850876E-2</v>
      </c>
    </row>
    <row r="34" spans="3:7" x14ac:dyDescent="0.35">
      <c r="C34" s="53">
        <v>45541</v>
      </c>
      <c r="D34" s="13">
        <v>1.776</v>
      </c>
      <c r="E34" s="13">
        <v>31509.580077999999</v>
      </c>
      <c r="F34" s="14">
        <f t="shared" si="0"/>
        <v>-3.6876355748373113E-2</v>
      </c>
      <c r="G34" s="14">
        <f t="shared" si="1"/>
        <v>-3.5174215988509672E-2</v>
      </c>
    </row>
    <row r="35" spans="3:7" x14ac:dyDescent="0.35">
      <c r="C35" s="53">
        <v>45548</v>
      </c>
      <c r="D35" s="13">
        <v>1.776</v>
      </c>
      <c r="E35" s="13">
        <v>31485.980468999998</v>
      </c>
      <c r="F35" s="14">
        <f t="shared" si="0"/>
        <v>0</v>
      </c>
      <c r="G35" s="14">
        <f t="shared" si="1"/>
        <v>-7.4896615383579501E-4</v>
      </c>
    </row>
    <row r="36" spans="3:7" x14ac:dyDescent="0.35">
      <c r="C36" s="53">
        <v>45555</v>
      </c>
      <c r="D36" s="13">
        <v>1.774</v>
      </c>
      <c r="E36" s="13">
        <v>31821.580077999999</v>
      </c>
      <c r="F36" s="14">
        <f t="shared" si="0"/>
        <v>-1.1261261261261701E-3</v>
      </c>
      <c r="G36" s="14">
        <f t="shared" si="1"/>
        <v>1.0658699649846337E-2</v>
      </c>
    </row>
    <row r="37" spans="3:7" x14ac:dyDescent="0.35">
      <c r="C37" s="53">
        <v>45562</v>
      </c>
      <c r="D37" s="13">
        <v>1.8320000000000001</v>
      </c>
      <c r="E37" s="13">
        <v>33010.371094000002</v>
      </c>
      <c r="F37" s="14">
        <f t="shared" si="0"/>
        <v>3.2694475760992159E-2</v>
      </c>
      <c r="G37" s="14">
        <f t="shared" si="1"/>
        <v>3.7358013432585047E-2</v>
      </c>
    </row>
    <row r="38" spans="3:7" x14ac:dyDescent="0.35">
      <c r="C38" s="53">
        <v>45569</v>
      </c>
      <c r="D38" s="13">
        <v>1.9239999999999999</v>
      </c>
      <c r="E38" s="13">
        <v>32800.25</v>
      </c>
      <c r="F38" s="14">
        <f t="shared" si="0"/>
        <v>5.0218340611353662E-2</v>
      </c>
      <c r="G38" s="14">
        <f t="shared" si="1"/>
        <v>-6.3653054187625679E-3</v>
      </c>
    </row>
    <row r="39" spans="3:7" x14ac:dyDescent="0.35">
      <c r="C39" s="53">
        <v>45576</v>
      </c>
      <c r="D39" s="13">
        <v>1.89</v>
      </c>
      <c r="E39" s="13">
        <v>32536.609375</v>
      </c>
      <c r="F39" s="14">
        <f t="shared" si="0"/>
        <v>-1.7671517671517645E-2</v>
      </c>
      <c r="G39" s="14">
        <f t="shared" si="1"/>
        <v>-8.0377626694918547E-3</v>
      </c>
    </row>
    <row r="40" spans="3:7" x14ac:dyDescent="0.35">
      <c r="C40" s="53">
        <v>45583</v>
      </c>
      <c r="D40" s="13">
        <v>1.8859999999999999</v>
      </c>
      <c r="E40" s="13">
        <v>32714.439452999999</v>
      </c>
      <c r="F40" s="14">
        <f t="shared" si="0"/>
        <v>-2.1164021164020719E-3</v>
      </c>
      <c r="G40" s="14">
        <f t="shared" si="1"/>
        <v>5.4655380943484655E-3</v>
      </c>
    </row>
    <row r="41" spans="3:7" x14ac:dyDescent="0.35">
      <c r="C41" s="53">
        <v>45590</v>
      </c>
      <c r="D41" s="13">
        <v>1.84</v>
      </c>
      <c r="E41" s="13">
        <v>32271.679688</v>
      </c>
      <c r="F41" s="14">
        <f t="shared" si="0"/>
        <v>-2.4390243902438935E-2</v>
      </c>
      <c r="G41" s="14">
        <f t="shared" si="1"/>
        <v>-1.35340776856685E-2</v>
      </c>
    </row>
    <row r="42" spans="3:7" x14ac:dyDescent="0.35">
      <c r="C42" s="53">
        <v>45597</v>
      </c>
      <c r="D42" s="13">
        <v>1.8340000000000001</v>
      </c>
      <c r="E42" s="13">
        <v>31863.580077999999</v>
      </c>
      <c r="F42" s="14">
        <f t="shared" si="0"/>
        <v>-3.260869565217428E-3</v>
      </c>
      <c r="G42" s="14">
        <f t="shared" si="1"/>
        <v>-1.2645750513932796E-2</v>
      </c>
    </row>
    <row r="43" spans="3:7" x14ac:dyDescent="0.35">
      <c r="C43" s="53">
        <v>45604</v>
      </c>
      <c r="D43" s="13">
        <v>1.76</v>
      </c>
      <c r="E43" s="13">
        <v>31392.900390999999</v>
      </c>
      <c r="F43" s="14">
        <f t="shared" si="0"/>
        <v>-4.0348964013086186E-2</v>
      </c>
      <c r="G43" s="14">
        <f t="shared" si="1"/>
        <v>-1.4771713845330825E-2</v>
      </c>
    </row>
    <row r="44" spans="3:7" x14ac:dyDescent="0.35">
      <c r="C44" s="53">
        <v>45611</v>
      </c>
      <c r="D44" s="13">
        <v>1.704</v>
      </c>
      <c r="E44" s="13">
        <v>31166.679688</v>
      </c>
      <c r="F44" s="14">
        <f t="shared" si="0"/>
        <v>-3.1818181818181857E-2</v>
      </c>
      <c r="G44" s="14">
        <f t="shared" si="1"/>
        <v>-7.2061103046360264E-3</v>
      </c>
    </row>
    <row r="45" spans="3:7" x14ac:dyDescent="0.35">
      <c r="C45" s="53">
        <v>45618</v>
      </c>
      <c r="D45" s="13">
        <v>1.724</v>
      </c>
      <c r="E45" s="13">
        <v>30789.060547000001</v>
      </c>
      <c r="F45" s="14">
        <f t="shared" si="0"/>
        <v>1.1737089201877993E-2</v>
      </c>
      <c r="G45" s="14">
        <f t="shared" si="1"/>
        <v>-1.2116117109048141E-2</v>
      </c>
    </row>
    <row r="46" spans="3:7" x14ac:dyDescent="0.35">
      <c r="C46" s="53">
        <v>45625</v>
      </c>
      <c r="D46" s="13">
        <v>1.772</v>
      </c>
      <c r="E46" s="13">
        <v>30786.660156000002</v>
      </c>
      <c r="F46" s="14">
        <f t="shared" si="0"/>
        <v>2.7842227378190199E-2</v>
      </c>
      <c r="G46" s="14">
        <f t="shared" si="1"/>
        <v>-7.7962463204572785E-5</v>
      </c>
    </row>
    <row r="47" spans="3:7" x14ac:dyDescent="0.35">
      <c r="C47" s="53">
        <v>45632</v>
      </c>
      <c r="D47" s="13">
        <v>1.74</v>
      </c>
      <c r="E47" s="13">
        <v>31377.919922000001</v>
      </c>
      <c r="F47" s="14">
        <f t="shared" si="0"/>
        <v>-1.8058690744921058E-2</v>
      </c>
      <c r="G47" s="14">
        <f t="shared" si="1"/>
        <v>1.9205063589360138E-2</v>
      </c>
    </row>
    <row r="48" spans="3:7" x14ac:dyDescent="0.35">
      <c r="C48" s="53">
        <v>45639</v>
      </c>
      <c r="D48" s="13">
        <v>1.724</v>
      </c>
      <c r="E48" s="13">
        <v>30783.880859000001</v>
      </c>
      <c r="F48" s="14">
        <f t="shared" si="0"/>
        <v>-9.1954022988506301E-3</v>
      </c>
      <c r="G48" s="14">
        <f t="shared" si="1"/>
        <v>-1.8931754063898354E-2</v>
      </c>
    </row>
    <row r="49" spans="3:7" x14ac:dyDescent="0.35">
      <c r="C49" s="53">
        <v>45646</v>
      </c>
      <c r="D49" s="13">
        <v>1.6839999999999999</v>
      </c>
      <c r="E49" s="13">
        <v>30048.619140999999</v>
      </c>
      <c r="F49" s="14">
        <f t="shared" si="0"/>
        <v>-2.3201856148491906E-2</v>
      </c>
      <c r="G49" s="14">
        <f t="shared" si="1"/>
        <v>-2.3884633694098989E-2</v>
      </c>
    </row>
    <row r="50" spans="3:7" x14ac:dyDescent="0.35">
      <c r="C50" s="53">
        <v>45653</v>
      </c>
      <c r="D50" s="13">
        <v>1.73</v>
      </c>
      <c r="E50" s="13">
        <v>30535.539062</v>
      </c>
      <c r="F50" s="14">
        <f t="shared" si="0"/>
        <v>2.7315914489311144E-2</v>
      </c>
      <c r="G50" s="14">
        <f t="shared" si="1"/>
        <v>1.6204402562233655E-2</v>
      </c>
    </row>
    <row r="51" spans="3:7" x14ac:dyDescent="0.35">
      <c r="C51" s="53">
        <v>45660</v>
      </c>
      <c r="D51" s="13">
        <v>1.804</v>
      </c>
      <c r="E51" s="13">
        <v>30989.859375</v>
      </c>
      <c r="F51" s="14">
        <f t="shared" si="0"/>
        <v>4.2774566473988473E-2</v>
      </c>
      <c r="G51" s="14">
        <f t="shared" si="1"/>
        <v>1.487841141685875E-2</v>
      </c>
    </row>
    <row r="52" spans="3:7" x14ac:dyDescent="0.35">
      <c r="C52" s="53">
        <v>45667</v>
      </c>
      <c r="D52" s="13">
        <v>1.732</v>
      </c>
      <c r="E52" s="13">
        <v>30803.050781000002</v>
      </c>
      <c r="F52" s="14">
        <f t="shared" si="0"/>
        <v>-3.9911308203991136E-2</v>
      </c>
      <c r="G52" s="14">
        <f t="shared" si="1"/>
        <v>-6.0280555564798943E-3</v>
      </c>
    </row>
    <row r="53" spans="3:7" x14ac:dyDescent="0.35">
      <c r="C53" s="53">
        <v>45674</v>
      </c>
      <c r="D53" s="13">
        <v>1.732</v>
      </c>
      <c r="E53" s="13">
        <v>31505.269531000002</v>
      </c>
      <c r="F53" s="14">
        <f t="shared" si="0"/>
        <v>0</v>
      </c>
      <c r="G53" s="14">
        <f t="shared" si="1"/>
        <v>2.279705198658899E-2</v>
      </c>
    </row>
    <row r="54" spans="3:7" x14ac:dyDescent="0.35">
      <c r="C54" s="53">
        <v>45681</v>
      </c>
      <c r="D54" s="13">
        <v>1.72</v>
      </c>
      <c r="E54" s="13">
        <v>31997.289062</v>
      </c>
      <c r="F54" s="14">
        <f t="shared" si="0"/>
        <v>-6.9284064665127154E-3</v>
      </c>
      <c r="G54" s="14">
        <f t="shared" si="1"/>
        <v>1.5617055125202839E-2</v>
      </c>
    </row>
    <row r="55" spans="3:7" x14ac:dyDescent="0.35">
      <c r="C55" s="53">
        <v>45688</v>
      </c>
      <c r="D55" s="13">
        <v>1.75</v>
      </c>
      <c r="E55" s="13">
        <v>32385.480468999998</v>
      </c>
      <c r="F55" s="14">
        <f t="shared" si="0"/>
        <v>1.744186046511631E-2</v>
      </c>
      <c r="G55" s="14">
        <f t="shared" si="1"/>
        <v>1.2132009253903231E-2</v>
      </c>
    </row>
    <row r="56" spans="3:7" x14ac:dyDescent="0.35">
      <c r="C56" s="53">
        <v>45695</v>
      </c>
      <c r="D56" s="13">
        <v>1.742</v>
      </c>
      <c r="E56" s="13">
        <v>32511.400390999999</v>
      </c>
      <c r="F56" s="14">
        <f t="shared" si="0"/>
        <v>-4.5714285714285596E-3</v>
      </c>
      <c r="G56" s="14">
        <f t="shared" si="1"/>
        <v>3.888159760993215E-3</v>
      </c>
    </row>
    <row r="57" spans="3:7" x14ac:dyDescent="0.35">
      <c r="C57" s="53">
        <v>45702</v>
      </c>
      <c r="D57" s="13">
        <v>1.9219999999999999</v>
      </c>
      <c r="E57" s="13">
        <v>33252.078125</v>
      </c>
      <c r="F57" s="14">
        <f t="shared" si="0"/>
        <v>0.10332950631458093</v>
      </c>
      <c r="G57" s="14">
        <f t="shared" si="1"/>
        <v>2.2782092591897118E-2</v>
      </c>
    </row>
    <row r="58" spans="3:7" x14ac:dyDescent="0.35">
      <c r="C58" s="53">
        <v>45709</v>
      </c>
      <c r="D58" s="13">
        <v>1.974</v>
      </c>
      <c r="E58" s="13">
        <v>33621.621094000002</v>
      </c>
      <c r="F58" s="14">
        <f t="shared" si="0"/>
        <v>2.7055150884495394E-2</v>
      </c>
      <c r="G58" s="14">
        <f t="shared" si="1"/>
        <v>1.111337966940984E-2</v>
      </c>
    </row>
    <row r="59" spans="3:7" x14ac:dyDescent="0.35">
      <c r="C59" s="53">
        <v>45716</v>
      </c>
      <c r="D59" s="13">
        <v>1.9339999999999999</v>
      </c>
      <c r="E59" s="13">
        <v>33518.191405999998</v>
      </c>
      <c r="F59" s="14">
        <f t="shared" si="0"/>
        <v>-2.0263424518743633E-2</v>
      </c>
      <c r="G59" s="14">
        <f t="shared" si="1"/>
        <v>-3.0762849807519643E-3</v>
      </c>
    </row>
    <row r="60" spans="3:7" x14ac:dyDescent="0.35">
      <c r="C60" s="53">
        <v>45723</v>
      </c>
      <c r="D60" s="13">
        <v>1.9419999999999999</v>
      </c>
      <c r="E60" s="13">
        <v>34236.328125</v>
      </c>
      <c r="F60" s="14">
        <f t="shared" si="0"/>
        <v>4.1365046535677408E-3</v>
      </c>
      <c r="G60" s="14">
        <f t="shared" si="1"/>
        <v>2.142528247724762E-2</v>
      </c>
    </row>
    <row r="61" spans="3:7" x14ac:dyDescent="0.35">
      <c r="C61" s="53">
        <v>45730</v>
      </c>
      <c r="D61" s="13">
        <v>1.97</v>
      </c>
      <c r="E61" s="13">
        <v>34122.800780999998</v>
      </c>
      <c r="F61" s="14">
        <f t="shared" si="0"/>
        <v>1.4418125643666402E-2</v>
      </c>
      <c r="G61" s="14">
        <f t="shared" si="1"/>
        <v>-3.3159906513777759E-3</v>
      </c>
    </row>
    <row r="62" spans="3:7" x14ac:dyDescent="0.35">
      <c r="C62" s="53">
        <v>45737</v>
      </c>
      <c r="D62" s="13">
        <v>2.0150000000000001</v>
      </c>
      <c r="E62" s="13">
        <v>34196.949219000002</v>
      </c>
      <c r="F62" s="14">
        <f t="shared" si="0"/>
        <v>2.2842639593908753E-2</v>
      </c>
      <c r="G62" s="14">
        <f t="shared" si="1"/>
        <v>2.1729880403396074E-3</v>
      </c>
    </row>
    <row r="63" spans="3:7" x14ac:dyDescent="0.35">
      <c r="C63" s="53">
        <v>45744</v>
      </c>
      <c r="D63" s="13">
        <v>1.8560000000000001</v>
      </c>
      <c r="E63" s="13">
        <v>33479.640625</v>
      </c>
      <c r="F63" s="14">
        <f t="shared" si="0"/>
        <v>-7.8908188585607997E-2</v>
      </c>
      <c r="G63" s="14">
        <f t="shared" si="1"/>
        <v>-2.0975806625506244E-2</v>
      </c>
    </row>
    <row r="64" spans="3:7" x14ac:dyDescent="0.35">
      <c r="C64" s="53">
        <v>45751</v>
      </c>
      <c r="D64" s="13">
        <v>1.6879999999999999</v>
      </c>
      <c r="E64" s="13">
        <v>31085.199218999998</v>
      </c>
      <c r="F64" s="14">
        <f t="shared" si="0"/>
        <v>-9.0517241379310387E-2</v>
      </c>
      <c r="G64" s="14">
        <f t="shared" si="1"/>
        <v>-7.1519328203661137E-2</v>
      </c>
    </row>
    <row r="65" spans="3:7" x14ac:dyDescent="0.35">
      <c r="C65" s="53">
        <v>45758</v>
      </c>
      <c r="D65" s="13">
        <v>1.756</v>
      </c>
      <c r="E65" s="13">
        <v>30579.900390999999</v>
      </c>
      <c r="F65" s="14">
        <f t="shared" si="0"/>
        <v>4.0284360189573487E-2</v>
      </c>
      <c r="G65" s="14">
        <f t="shared" si="1"/>
        <v>-1.6255286782628997E-2</v>
      </c>
    </row>
    <row r="66" spans="3:7" x14ac:dyDescent="0.35">
      <c r="C66" s="53">
        <v>45765</v>
      </c>
      <c r="D66" s="13">
        <v>1.774</v>
      </c>
      <c r="E66" s="13">
        <v>31767.400390999999</v>
      </c>
      <c r="F66" s="14">
        <f t="shared" si="0"/>
        <v>1.0250569476081939E-2</v>
      </c>
      <c r="G66" s="14">
        <f t="shared" si="1"/>
        <v>3.8832696798106525E-2</v>
      </c>
    </row>
    <row r="67" spans="3:7" x14ac:dyDescent="0.35">
      <c r="C67" s="53">
        <v>45772</v>
      </c>
      <c r="D67" s="13">
        <v>1.8140000000000001</v>
      </c>
      <c r="E67" s="13">
        <v>32462.130859000001</v>
      </c>
      <c r="F67" s="14">
        <f t="shared" si="0"/>
        <v>2.2547914317925688E-2</v>
      </c>
      <c r="G67" s="14">
        <f t="shared" si="1"/>
        <v>2.1869289254049962E-2</v>
      </c>
    </row>
    <row r="68" spans="3:7" x14ac:dyDescent="0.35">
      <c r="C68" s="53">
        <v>45779</v>
      </c>
      <c r="D68" s="13">
        <v>1.87</v>
      </c>
      <c r="E68" s="13">
        <v>33784.910155999998</v>
      </c>
      <c r="F68" s="14">
        <f t="shared" si="0"/>
        <v>3.0871003307607614E-2</v>
      </c>
      <c r="G68" s="14">
        <f t="shared" si="1"/>
        <v>4.0748381637222719E-2</v>
      </c>
    </row>
    <row r="69" spans="3:7" x14ac:dyDescent="0.35">
      <c r="C69" s="53">
        <v>45786</v>
      </c>
      <c r="D69" s="13">
        <v>1.8260000000000001</v>
      </c>
      <c r="E69" s="13">
        <v>34033.589844000002</v>
      </c>
      <c r="F69" s="14">
        <f t="shared" si="0"/>
        <v>-2.352941176470591E-2</v>
      </c>
      <c r="G69" s="14">
        <f t="shared" si="1"/>
        <v>7.3606733554045789E-3</v>
      </c>
    </row>
    <row r="70" spans="3:7" x14ac:dyDescent="0.35">
      <c r="C70" s="53">
        <v>45793</v>
      </c>
      <c r="D70" s="13">
        <v>1.8460000000000001</v>
      </c>
      <c r="E70" s="13">
        <v>35114.71875</v>
      </c>
      <c r="F70" s="14">
        <f t="shared" si="0"/>
        <v>1.0952902519167695E-2</v>
      </c>
      <c r="G70" s="14">
        <f t="shared" si="1"/>
        <v>3.1766525686992564E-2</v>
      </c>
    </row>
    <row r="71" spans="3:7" x14ac:dyDescent="0.35">
      <c r="C71" s="53">
        <v>45800</v>
      </c>
      <c r="D71" s="13">
        <v>1.8140000000000001</v>
      </c>
      <c r="E71" s="13">
        <v>34852.28125</v>
      </c>
      <c r="F71" s="14">
        <f t="shared" si="0"/>
        <v>-1.7334777898158182E-2</v>
      </c>
      <c r="G71" s="14">
        <f t="shared" si="1"/>
        <v>-7.4737178408982308E-3</v>
      </c>
    </row>
    <row r="72" spans="3:7" x14ac:dyDescent="0.35">
      <c r="C72" s="53">
        <v>45807</v>
      </c>
      <c r="D72" s="13">
        <v>1.9139999999999999</v>
      </c>
      <c r="E72" s="13">
        <v>35003.730469000002</v>
      </c>
      <c r="F72" s="14">
        <f t="shared" si="0"/>
        <v>5.5126791620727644E-2</v>
      </c>
      <c r="G72" s="14">
        <f t="shared" si="1"/>
        <v>4.3454607149999713E-3</v>
      </c>
    </row>
    <row r="73" spans="3:7" x14ac:dyDescent="0.35">
      <c r="C73" s="53">
        <v>45814</v>
      </c>
      <c r="D73" s="13">
        <v>1.8460000000000001</v>
      </c>
      <c r="E73" s="13">
        <v>35272.628905999998</v>
      </c>
      <c r="F73" s="14">
        <f t="shared" si="0"/>
        <v>-3.552769070010442E-2</v>
      </c>
      <c r="G73" s="14">
        <f t="shared" si="1"/>
        <v>7.6819937017322815E-3</v>
      </c>
    </row>
    <row r="74" spans="3:7" x14ac:dyDescent="0.35">
      <c r="C74" s="53">
        <v>45821</v>
      </c>
      <c r="D74" s="13">
        <v>1.8260000000000001</v>
      </c>
      <c r="E74" s="13">
        <v>34895.621094000002</v>
      </c>
      <c r="F74" s="14">
        <f t="shared" si="0"/>
        <v>-1.0834236186348822E-2</v>
      </c>
      <c r="G74" s="14">
        <f t="shared" si="1"/>
        <v>-1.0688395611359369E-2</v>
      </c>
    </row>
    <row r="75" spans="3:7" x14ac:dyDescent="0.35">
      <c r="C75" s="53">
        <v>45828</v>
      </c>
      <c r="D75" s="13">
        <v>1.8260000000000001</v>
      </c>
      <c r="E75" s="13">
        <v>34919.53125</v>
      </c>
      <c r="F75" s="14">
        <f t="shared" si="0"/>
        <v>0</v>
      </c>
      <c r="G75" s="14">
        <f t="shared" si="1"/>
        <v>6.8519072738637554E-4</v>
      </c>
    </row>
    <row r="76" spans="3:7" x14ac:dyDescent="0.35">
      <c r="C76" s="53">
        <v>45835</v>
      </c>
      <c r="D76" s="13">
        <v>1.8759999999999999</v>
      </c>
      <c r="E76" s="13">
        <v>35385.761719000002</v>
      </c>
      <c r="F76" s="14">
        <f t="shared" si="0"/>
        <v>2.7382256297918905E-2</v>
      </c>
      <c r="G76" s="14">
        <f t="shared" si="1"/>
        <v>1.3351567226435934E-2</v>
      </c>
    </row>
    <row r="77" spans="3:7" x14ac:dyDescent="0.35">
      <c r="C77" s="53">
        <v>45842</v>
      </c>
      <c r="D77" s="13">
        <v>1.946</v>
      </c>
      <c r="E77" s="13">
        <v>35626.359375</v>
      </c>
      <c r="F77" s="14">
        <f t="shared" si="0"/>
        <v>3.7313432835820892E-2</v>
      </c>
      <c r="G77" s="14">
        <f t="shared" si="1"/>
        <v>6.7992787017161493E-3</v>
      </c>
    </row>
    <row r="78" spans="3:7" x14ac:dyDescent="0.35">
      <c r="C78" s="53">
        <v>45849</v>
      </c>
      <c r="D78" s="13">
        <v>1.91</v>
      </c>
      <c r="E78" s="13">
        <v>35788.101562000003</v>
      </c>
      <c r="F78" s="14">
        <f t="shared" si="0"/>
        <v>-1.8499486125385434E-2</v>
      </c>
      <c r="G78" s="14">
        <f t="shared" si="1"/>
        <v>4.5399583296603652E-3</v>
      </c>
    </row>
    <row r="79" spans="3:7" x14ac:dyDescent="0.35">
      <c r="C79" s="53">
        <v>45856</v>
      </c>
      <c r="D79" s="13">
        <v>1.8859999999999999</v>
      </c>
      <c r="E79" s="13">
        <v>35591.261719000002</v>
      </c>
      <c r="F79" s="14">
        <f t="shared" si="0"/>
        <v>-1.2565445026178068E-2</v>
      </c>
      <c r="G79" s="14">
        <f t="shared" si="1"/>
        <v>-5.5001476582654529E-3</v>
      </c>
    </row>
    <row r="80" spans="3:7" x14ac:dyDescent="0.35">
      <c r="C80" s="53">
        <v>45863</v>
      </c>
      <c r="D80" s="13">
        <v>1.948</v>
      </c>
      <c r="E80" s="13">
        <v>36283.769530999998</v>
      </c>
      <c r="F80" s="14">
        <f t="shared" si="0"/>
        <v>3.2873806998939603E-2</v>
      </c>
      <c r="G80" s="14">
        <f t="shared" si="1"/>
        <v>1.9457242552047838E-2</v>
      </c>
    </row>
    <row r="81" spans="3:7" x14ac:dyDescent="0.35">
      <c r="C81" s="53">
        <v>45870</v>
      </c>
      <c r="D81" s="13">
        <v>1.93</v>
      </c>
      <c r="E81" s="13">
        <v>35363.929687999997</v>
      </c>
      <c r="F81" s="14">
        <f t="shared" si="0"/>
        <v>-9.2402464065708401E-3</v>
      </c>
      <c r="G81" s="14">
        <f t="shared" si="1"/>
        <v>-2.5351275649959981E-2</v>
      </c>
    </row>
    <row r="82" spans="3:7" x14ac:dyDescent="0.35">
      <c r="C82" s="53">
        <v>45877</v>
      </c>
      <c r="D82" s="13">
        <v>1.8779999999999999</v>
      </c>
      <c r="E82" s="13">
        <v>36174.058594000002</v>
      </c>
      <c r="F82" s="14">
        <f t="shared" si="0"/>
        <v>-2.6943005181347179E-2</v>
      </c>
      <c r="G82" s="14">
        <f t="shared" si="1"/>
        <v>2.2908339461915173E-2</v>
      </c>
    </row>
    <row r="83" spans="3:7" x14ac:dyDescent="0.35">
      <c r="C83" s="53">
        <v>45884</v>
      </c>
      <c r="D83" s="13">
        <v>1.8839999999999999</v>
      </c>
      <c r="E83" s="13">
        <v>36293.179687999997</v>
      </c>
      <c r="F83" s="14">
        <f t="shared" si="0"/>
        <v>3.1948881789136685E-3</v>
      </c>
      <c r="G83" s="14">
        <f t="shared" si="1"/>
        <v>3.2929977622071505E-3</v>
      </c>
    </row>
    <row r="84" spans="3:7" x14ac:dyDescent="0.35">
      <c r="C84" s="53">
        <v>45891</v>
      </c>
      <c r="D84" s="13">
        <v>1.9379999999999999</v>
      </c>
      <c r="E84" s="13">
        <v>36901.578125</v>
      </c>
      <c r="F84" s="14">
        <f t="shared" si="0"/>
        <v>2.866242038216571E-2</v>
      </c>
      <c r="G84" s="14">
        <f t="shared" si="1"/>
        <v>1.6763437158997752E-2</v>
      </c>
    </row>
    <row r="85" spans="3:7" x14ac:dyDescent="0.35">
      <c r="C85" s="53">
        <v>45898</v>
      </c>
      <c r="D85" s="13">
        <v>1.8919999999999999</v>
      </c>
      <c r="E85" s="13">
        <v>36188.519530999998</v>
      </c>
      <c r="F85" s="14">
        <f t="shared" si="0"/>
        <v>-2.3735810113519107E-2</v>
      </c>
      <c r="G85" s="14">
        <f t="shared" si="1"/>
        <v>-1.9323254728689232E-2</v>
      </c>
    </row>
    <row r="86" spans="3:7" x14ac:dyDescent="0.35">
      <c r="C86" s="53">
        <v>45905</v>
      </c>
      <c r="D86" s="13">
        <v>1.8959999999999999</v>
      </c>
      <c r="E86" s="13">
        <v>36623.789062000003</v>
      </c>
      <c r="F86" s="14">
        <f t="shared" si="0"/>
        <v>2.1141649048626032E-3</v>
      </c>
      <c r="G86" s="14">
        <f t="shared" si="1"/>
        <v>1.2027834701199724E-2</v>
      </c>
    </row>
    <row r="87" spans="3:7" x14ac:dyDescent="0.35">
      <c r="C87" s="53">
        <v>45912</v>
      </c>
      <c r="D87" s="13">
        <v>1.88</v>
      </c>
      <c r="E87" s="13">
        <v>37185.71875</v>
      </c>
      <c r="F87" s="14">
        <f t="shared" si="0"/>
        <v>-8.4388185654008518E-3</v>
      </c>
      <c r="G87" s="14">
        <f t="shared" si="1"/>
        <v>1.5343297413839663E-2</v>
      </c>
    </row>
    <row r="88" spans="3:7" x14ac:dyDescent="0.35">
      <c r="C88" s="53">
        <v>45919</v>
      </c>
      <c r="D88" s="13">
        <v>1.804</v>
      </c>
      <c r="E88" s="13">
        <v>36867.160155999998</v>
      </c>
      <c r="F88" s="14">
        <f t="shared" si="0"/>
        <v>-4.0425531914893509E-2</v>
      </c>
      <c r="G88" s="14">
        <f t="shared" si="1"/>
        <v>-8.5666918566688066E-3</v>
      </c>
    </row>
    <row r="89" spans="3:7" x14ac:dyDescent="0.35">
      <c r="C89" s="53">
        <v>45926</v>
      </c>
      <c r="D89" s="13">
        <v>1.786</v>
      </c>
      <c r="E89" s="13">
        <v>36907.28125</v>
      </c>
      <c r="F89" s="14">
        <f t="shared" si="0"/>
        <v>-9.9778270509978118E-3</v>
      </c>
      <c r="G89" s="14">
        <f t="shared" si="1"/>
        <v>1.0882610385565261E-3</v>
      </c>
    </row>
    <row r="90" spans="3:7" x14ac:dyDescent="0.35">
      <c r="C90" s="53">
        <v>45933</v>
      </c>
      <c r="D90" s="13">
        <v>1.806</v>
      </c>
      <c r="E90" s="13">
        <v>37184.910155999998</v>
      </c>
      <c r="F90" s="14">
        <f t="shared" si="0"/>
        <v>1.1198208286674172E-2</v>
      </c>
      <c r="G90" s="14">
        <f t="shared" si="1"/>
        <v>7.5223342548429439E-3</v>
      </c>
    </row>
    <row r="91" spans="3:7" x14ac:dyDescent="0.35">
      <c r="C91" s="53">
        <v>45940</v>
      </c>
      <c r="D91" s="13">
        <v>1.778</v>
      </c>
      <c r="E91" s="13">
        <v>37270.890625</v>
      </c>
      <c r="F91" s="14">
        <f t="shared" si="0"/>
        <v>-1.5503875968992276E-2</v>
      </c>
      <c r="G91" s="14">
        <f t="shared" si="1"/>
        <v>2.3122408697315855E-3</v>
      </c>
    </row>
    <row r="92" spans="3:7" x14ac:dyDescent="0.35">
      <c r="C92" s="53">
        <v>45947</v>
      </c>
      <c r="D92" s="13">
        <v>1.8</v>
      </c>
      <c r="E92" s="13">
        <v>37780.929687999997</v>
      </c>
      <c r="F92" s="14">
        <f t="shared" si="0"/>
        <v>1.2373453318335281E-2</v>
      </c>
      <c r="G92" s="14">
        <f t="shared" si="1"/>
        <v>1.3684649184580566E-2</v>
      </c>
    </row>
    <row r="93" spans="3:7" x14ac:dyDescent="0.35">
      <c r="C93" s="53">
        <v>45954</v>
      </c>
      <c r="D93" s="13">
        <v>1.8220000000000001</v>
      </c>
      <c r="E93" s="13">
        <v>39471.539062000003</v>
      </c>
      <c r="F93" s="14">
        <f t="shared" si="0"/>
        <v>1.2222222222222134E-2</v>
      </c>
      <c r="G93" s="14">
        <f t="shared" si="1"/>
        <v>4.4747691175449855E-2</v>
      </c>
    </row>
    <row r="94" spans="3:7" x14ac:dyDescent="0.35">
      <c r="C94" s="53">
        <v>45961</v>
      </c>
      <c r="D94" s="13">
        <v>1.8260000000000001</v>
      </c>
      <c r="E94" s="13">
        <v>40005.160155999998</v>
      </c>
      <c r="F94" s="14">
        <f t="shared" si="0"/>
        <v>2.195389681668436E-3</v>
      </c>
      <c r="G94" s="14">
        <f t="shared" si="1"/>
        <v>1.3519135728703446E-2</v>
      </c>
    </row>
    <row r="95" spans="3:7" x14ac:dyDescent="0.35">
      <c r="C95" s="53">
        <v>45968</v>
      </c>
      <c r="D95" s="13">
        <v>1.8620000000000001</v>
      </c>
      <c r="E95" s="13">
        <v>39517.628905999998</v>
      </c>
      <c r="F95" s="14">
        <f t="shared" ref="F95:F133" si="2">D95/D94-1</f>
        <v>1.9715224534501585E-2</v>
      </c>
      <c r="G95" s="14">
        <f t="shared" ref="G95:G133" si="3">E95/E94-1</f>
        <v>-1.2186709116995709E-2</v>
      </c>
    </row>
    <row r="96" spans="3:7" x14ac:dyDescent="0.35">
      <c r="C96" s="53">
        <v>45975</v>
      </c>
      <c r="D96" s="13">
        <v>1.8740000000000001</v>
      </c>
      <c r="E96" s="13">
        <v>39994.210937999997</v>
      </c>
      <c r="F96" s="14">
        <f t="shared" si="2"/>
        <v>6.4446831364124435E-3</v>
      </c>
      <c r="G96" s="14">
        <f t="shared" si="3"/>
        <v>1.2059985510103344E-2</v>
      </c>
    </row>
    <row r="97" spans="3:7" x14ac:dyDescent="0.35">
      <c r="C97" s="53">
        <v>45982</v>
      </c>
      <c r="D97" s="13">
        <v>1.8180000000000001</v>
      </c>
      <c r="E97" s="13">
        <v>38720.671875</v>
      </c>
      <c r="F97" s="14">
        <f t="shared" si="2"/>
        <v>-2.9882604055496254E-2</v>
      </c>
      <c r="G97" s="14">
        <f t="shared" si="3"/>
        <v>-3.1843085114849901E-2</v>
      </c>
    </row>
    <row r="98" spans="3:7" x14ac:dyDescent="0.35">
      <c r="C98" s="53">
        <v>45989</v>
      </c>
      <c r="D98" s="13">
        <v>1.8620000000000001</v>
      </c>
      <c r="E98" s="13">
        <v>39651.171875</v>
      </c>
      <c r="F98" s="14">
        <f t="shared" si="2"/>
        <v>2.4202420242024125E-2</v>
      </c>
      <c r="G98" s="14">
        <f t="shared" si="3"/>
        <v>2.4031091273516214E-2</v>
      </c>
    </row>
    <row r="99" spans="3:7" x14ac:dyDescent="0.35">
      <c r="C99" s="53">
        <v>45996</v>
      </c>
      <c r="D99" s="13">
        <v>1.9</v>
      </c>
      <c r="E99" s="13">
        <v>40197.46875</v>
      </c>
      <c r="F99" s="14">
        <f t="shared" si="2"/>
        <v>2.0408163265305923E-2</v>
      </c>
      <c r="G99" s="14">
        <f t="shared" si="3"/>
        <v>1.3777571990108983E-2</v>
      </c>
    </row>
    <row r="100" spans="3:7" x14ac:dyDescent="0.35">
      <c r="C100" s="53">
        <v>46003</v>
      </c>
      <c r="D100" s="13">
        <v>1.8759999999999999</v>
      </c>
      <c r="E100" s="13">
        <v>40151.53125</v>
      </c>
      <c r="F100" s="14">
        <f t="shared" si="2"/>
        <v>-1.2631578947368438E-2</v>
      </c>
      <c r="G100" s="14">
        <f t="shared" si="3"/>
        <v>-1.1427958383574133E-3</v>
      </c>
    </row>
    <row r="101" spans="3:7" x14ac:dyDescent="0.35">
      <c r="C101" s="53">
        <v>46010</v>
      </c>
      <c r="D101" s="13">
        <v>1.9</v>
      </c>
      <c r="E101" s="13">
        <v>40771.679687999997</v>
      </c>
      <c r="F101" s="14">
        <f t="shared" si="2"/>
        <v>1.279317697228155E-2</v>
      </c>
      <c r="G101" s="14">
        <f t="shared" si="3"/>
        <v>1.5445200187726327E-2</v>
      </c>
    </row>
    <row r="102" spans="3:7" x14ac:dyDescent="0.35">
      <c r="C102" s="53">
        <v>46017</v>
      </c>
      <c r="D102" s="13">
        <v>1.93</v>
      </c>
      <c r="E102" s="13">
        <v>41073.28125</v>
      </c>
      <c r="F102" s="14">
        <f t="shared" si="2"/>
        <v>1.5789473684210575E-2</v>
      </c>
      <c r="G102" s="14">
        <f t="shared" si="3"/>
        <v>7.3973298207965499E-3</v>
      </c>
    </row>
    <row r="103" spans="3:7" x14ac:dyDescent="0.35">
      <c r="C103" s="53">
        <v>46024</v>
      </c>
      <c r="D103" s="13">
        <v>1.97</v>
      </c>
      <c r="E103" s="13">
        <v>41893.929687999997</v>
      </c>
      <c r="F103" s="14">
        <f t="shared" si="2"/>
        <v>2.0725388601036343E-2</v>
      </c>
      <c r="G103" s="14">
        <f t="shared" si="3"/>
        <v>1.998010417051832E-2</v>
      </c>
    </row>
    <row r="104" spans="3:7" x14ac:dyDescent="0.35">
      <c r="C104" s="53">
        <v>46031</v>
      </c>
      <c r="D104" s="13">
        <v>1.974</v>
      </c>
      <c r="E104" s="13">
        <v>42334.210937999997</v>
      </c>
      <c r="F104" s="14">
        <f t="shared" si="2"/>
        <v>2.0304568527917954E-3</v>
      </c>
      <c r="G104" s="14">
        <f t="shared" si="3"/>
        <v>1.0509428293763445E-2</v>
      </c>
    </row>
    <row r="105" spans="3:7" x14ac:dyDescent="0.35">
      <c r="C105" s="53">
        <v>46038</v>
      </c>
      <c r="D105" s="13">
        <v>1.982</v>
      </c>
      <c r="E105" s="13">
        <v>43163.128905999998</v>
      </c>
      <c r="F105" s="14">
        <f t="shared" si="2"/>
        <v>4.0526849037487711E-3</v>
      </c>
      <c r="G105" s="14">
        <f t="shared" si="3"/>
        <v>1.9580333485227364E-2</v>
      </c>
    </row>
    <row r="106" spans="3:7" x14ac:dyDescent="0.35">
      <c r="C106" s="53">
        <v>46045</v>
      </c>
      <c r="D106" s="13">
        <v>1.944</v>
      </c>
      <c r="E106" s="13">
        <v>42832.140625</v>
      </c>
      <c r="F106" s="14">
        <f t="shared" si="2"/>
        <v>-1.9172552976791102E-2</v>
      </c>
      <c r="G106" s="14">
        <f t="shared" si="3"/>
        <v>-7.668310648211385E-3</v>
      </c>
    </row>
    <row r="107" spans="3:7" x14ac:dyDescent="0.35">
      <c r="C107" s="53">
        <v>46052</v>
      </c>
      <c r="D107" s="13">
        <v>1.9059999999999999</v>
      </c>
      <c r="E107" s="13">
        <v>42382.570312000003</v>
      </c>
      <c r="F107" s="14">
        <f t="shared" si="2"/>
        <v>-1.9547325102880708E-2</v>
      </c>
      <c r="G107" s="14">
        <f t="shared" si="3"/>
        <v>-1.049609724006173E-2</v>
      </c>
    </row>
    <row r="108" spans="3:7" x14ac:dyDescent="0.35">
      <c r="C108" s="53">
        <v>46059</v>
      </c>
      <c r="D108" s="13">
        <v>1.9079999999999999</v>
      </c>
      <c r="E108" s="13">
        <v>43131.148437999997</v>
      </c>
      <c r="F108" s="14">
        <f t="shared" si="2"/>
        <v>1.0493179433368471E-3</v>
      </c>
      <c r="G108" s="14">
        <f t="shared" si="3"/>
        <v>1.7662405099297285E-2</v>
      </c>
    </row>
    <row r="109" spans="3:7" x14ac:dyDescent="0.35">
      <c r="C109" s="53">
        <v>46066</v>
      </c>
      <c r="D109" s="13">
        <v>1.84</v>
      </c>
      <c r="E109" s="13">
        <v>42891.078125</v>
      </c>
      <c r="F109" s="14">
        <f t="shared" si="2"/>
        <v>-3.5639412997903519E-2</v>
      </c>
      <c r="G109" s="14">
        <f t="shared" si="3"/>
        <v>-5.5660542715455508E-3</v>
      </c>
    </row>
    <row r="110" spans="3:7" x14ac:dyDescent="0.35">
      <c r="C110" s="53">
        <v>46073</v>
      </c>
      <c r="D110" s="13">
        <v>1.85</v>
      </c>
      <c r="E110" s="13">
        <v>44189.25</v>
      </c>
      <c r="F110" s="14">
        <f t="shared" si="2"/>
        <v>5.4347826086955653E-3</v>
      </c>
      <c r="G110" s="14">
        <f t="shared" si="3"/>
        <v>3.0266711207786789E-2</v>
      </c>
    </row>
    <row r="111" spans="3:7" x14ac:dyDescent="0.35">
      <c r="C111" s="53">
        <v>46080</v>
      </c>
      <c r="D111" s="13">
        <v>1.8580000000000001</v>
      </c>
      <c r="E111" s="13">
        <v>44302</v>
      </c>
      <c r="F111" s="14">
        <f t="shared" si="2"/>
        <v>4.3243243243242802E-3</v>
      </c>
      <c r="G111" s="14">
        <f t="shared" si="3"/>
        <v>2.551525540714028E-3</v>
      </c>
    </row>
    <row r="112" spans="3:7" x14ac:dyDescent="0.35">
      <c r="C112" s="53">
        <v>46087</v>
      </c>
      <c r="D112" s="13">
        <v>1.83</v>
      </c>
      <c r="E112" s="13">
        <v>43105.441405999998</v>
      </c>
      <c r="F112" s="14">
        <f t="shared" si="2"/>
        <v>-1.5069967707212029E-2</v>
      </c>
      <c r="G112" s="14">
        <f t="shared" si="3"/>
        <v>-2.7009132635095523E-2</v>
      </c>
    </row>
    <row r="113" spans="3:7" x14ac:dyDescent="0.35">
      <c r="C113" s="53">
        <v>46094</v>
      </c>
      <c r="D113" s="13">
        <v>1.82</v>
      </c>
      <c r="E113" s="13">
        <v>43508.21875</v>
      </c>
      <c r="F113" s="14">
        <f t="shared" si="2"/>
        <v>-5.464480874316946E-3</v>
      </c>
      <c r="G113" s="14">
        <f t="shared" si="3"/>
        <v>9.3440023083475321E-3</v>
      </c>
    </row>
    <row r="114" spans="3:7" x14ac:dyDescent="0.35">
      <c r="C114" s="53">
        <v>46101</v>
      </c>
      <c r="D114" s="13">
        <v>1.782</v>
      </c>
      <c r="E114" s="13">
        <v>42648.039062000003</v>
      </c>
      <c r="F114" s="14">
        <f t="shared" si="2"/>
        <v>-2.0879120879120916E-2</v>
      </c>
      <c r="G114" s="14">
        <f t="shared" si="3"/>
        <v>-1.9770510324557899E-2</v>
      </c>
    </row>
    <row r="115" spans="3:7" x14ac:dyDescent="0.35">
      <c r="C115" s="53">
        <v>46108</v>
      </c>
      <c r="D115" s="13">
        <v>1.68</v>
      </c>
      <c r="E115" s="13">
        <v>42384.691405999998</v>
      </c>
      <c r="F115" s="14">
        <f t="shared" si="2"/>
        <v>-5.7239057239057312E-2</v>
      </c>
      <c r="G115" s="14">
        <f t="shared" si="3"/>
        <v>-6.1749065558949212E-3</v>
      </c>
    </row>
    <row r="116" spans="3:7" x14ac:dyDescent="0.35">
      <c r="C116" s="53">
        <v>46115</v>
      </c>
      <c r="D116" s="13">
        <v>1.736</v>
      </c>
      <c r="E116" s="13">
        <v>44175.359375</v>
      </c>
      <c r="F116" s="14">
        <f t="shared" si="2"/>
        <v>3.3333333333333437E-2</v>
      </c>
      <c r="G116" s="14">
        <f t="shared" si="3"/>
        <v>4.2247988828025607E-2</v>
      </c>
    </row>
    <row r="117" spans="3:7" x14ac:dyDescent="0.35">
      <c r="C117" s="53">
        <v>46122</v>
      </c>
      <c r="D117" s="13">
        <v>1.752</v>
      </c>
      <c r="E117" s="13">
        <v>45792.390625</v>
      </c>
      <c r="F117" s="14">
        <f t="shared" si="2"/>
        <v>9.2165898617511122E-3</v>
      </c>
      <c r="G117" s="14">
        <f t="shared" si="3"/>
        <v>3.6604823885487692E-2</v>
      </c>
    </row>
    <row r="118" spans="3:7" x14ac:dyDescent="0.35">
      <c r="C118" s="53">
        <v>46129</v>
      </c>
      <c r="D118" s="13">
        <v>1.778</v>
      </c>
      <c r="E118" s="13">
        <v>46416.410155999998</v>
      </c>
      <c r="F118" s="14">
        <f t="shared" si="2"/>
        <v>1.4840182648401923E-2</v>
      </c>
      <c r="G118" s="14">
        <f t="shared" si="3"/>
        <v>1.3627144651830347E-2</v>
      </c>
    </row>
    <row r="119" spans="3:7" x14ac:dyDescent="0.35">
      <c r="C119" s="53">
        <v>46136</v>
      </c>
      <c r="D119" s="13">
        <v>1.68</v>
      </c>
      <c r="E119" s="13">
        <v>46201.199219000002</v>
      </c>
      <c r="F119" s="14">
        <f t="shared" si="2"/>
        <v>-5.5118110236220486E-2</v>
      </c>
      <c r="G119" s="14">
        <f t="shared" si="3"/>
        <v>-4.6365269583903412E-3</v>
      </c>
    </row>
    <row r="120" spans="3:7" x14ac:dyDescent="0.35">
      <c r="C120" s="53">
        <v>46143</v>
      </c>
      <c r="D120" s="13">
        <v>1.708</v>
      </c>
      <c r="E120" s="13">
        <v>47233.519530999998</v>
      </c>
      <c r="F120" s="14">
        <f t="shared" si="2"/>
        <v>1.6666666666666607E-2</v>
      </c>
      <c r="G120" s="14">
        <f t="shared" si="3"/>
        <v>2.2344015511516435E-2</v>
      </c>
    </row>
    <row r="121" spans="3:7" x14ac:dyDescent="0.35">
      <c r="C121" s="53">
        <v>46150</v>
      </c>
      <c r="D121" s="13">
        <v>1.766</v>
      </c>
      <c r="E121" s="13">
        <v>46642.679687999997</v>
      </c>
      <c r="F121" s="14">
        <f t="shared" si="2"/>
        <v>3.3957845433255196E-2</v>
      </c>
      <c r="G121" s="14">
        <f t="shared" si="3"/>
        <v>-1.2508909961965187E-2</v>
      </c>
    </row>
    <row r="122" spans="3:7" x14ac:dyDescent="0.35">
      <c r="C122" s="53">
        <v>46157</v>
      </c>
      <c r="D122" s="13">
        <v>1.728</v>
      </c>
      <c r="E122" s="13">
        <v>47286.640625</v>
      </c>
      <c r="F122" s="14">
        <f t="shared" si="2"/>
        <v>-2.1517553793884536E-2</v>
      </c>
      <c r="G122" s="14">
        <f t="shared" si="3"/>
        <v>1.3806259445374058E-2</v>
      </c>
    </row>
    <row r="123" spans="3:7" x14ac:dyDescent="0.35">
      <c r="C123" s="53">
        <v>46164</v>
      </c>
      <c r="D123" s="13">
        <v>1.752</v>
      </c>
      <c r="E123" s="13">
        <v>49428.25</v>
      </c>
      <c r="F123" s="14">
        <f t="shared" si="2"/>
        <v>1.388888888888884E-2</v>
      </c>
      <c r="G123" s="14">
        <f t="shared" si="3"/>
        <v>4.5289945462265502E-2</v>
      </c>
    </row>
    <row r="124" spans="3:7" x14ac:dyDescent="0.35">
      <c r="C124" s="53">
        <v>46171</v>
      </c>
      <c r="D124" s="13">
        <v>1.8280000000000001</v>
      </c>
      <c r="E124" s="13">
        <v>49081.191405999998</v>
      </c>
      <c r="F124" s="14">
        <f t="shared" si="2"/>
        <v>4.337899543378998E-2</v>
      </c>
      <c r="G124" s="14">
        <f t="shared" si="3"/>
        <v>-7.0214623014167588E-3</v>
      </c>
    </row>
    <row r="125" spans="3:7" x14ac:dyDescent="0.35">
      <c r="C125" s="53">
        <v>46178</v>
      </c>
      <c r="D125" s="13">
        <v>1.804</v>
      </c>
      <c r="E125" s="13">
        <v>49239.671875</v>
      </c>
      <c r="F125" s="14">
        <f t="shared" si="2"/>
        <v>-1.3129102844638973E-2</v>
      </c>
      <c r="G125" s="14">
        <f t="shared" si="3"/>
        <v>3.2289450288411903E-3</v>
      </c>
    </row>
    <row r="126" spans="3:7" x14ac:dyDescent="0.35">
      <c r="C126" s="53">
        <v>46185</v>
      </c>
      <c r="D126" s="13">
        <v>1.794</v>
      </c>
      <c r="E126" s="13">
        <v>48524.929687999997</v>
      </c>
      <c r="F126" s="14">
        <f t="shared" si="2"/>
        <v>-5.5432372505542782E-3</v>
      </c>
      <c r="G126" s="14">
        <f t="shared" si="3"/>
        <v>-1.451557574986384E-2</v>
      </c>
    </row>
    <row r="127" spans="3:7" x14ac:dyDescent="0.35">
      <c r="C127" s="53">
        <v>46192</v>
      </c>
      <c r="D127" s="13">
        <v>1.752</v>
      </c>
      <c r="E127" s="13">
        <v>47407.578125</v>
      </c>
      <c r="F127" s="14">
        <f t="shared" si="2"/>
        <v>-2.3411371237458178E-2</v>
      </c>
      <c r="G127" s="14">
        <f t="shared" si="3"/>
        <v>-2.3026340690944114E-2</v>
      </c>
    </row>
    <row r="128" spans="3:7" x14ac:dyDescent="0.35">
      <c r="C128" s="53">
        <v>46199</v>
      </c>
      <c r="D128" s="13">
        <v>1.748</v>
      </c>
      <c r="E128" s="13">
        <v>46733.601562000003</v>
      </c>
      <c r="F128" s="14">
        <f t="shared" si="2"/>
        <v>-2.2831050228310223E-3</v>
      </c>
      <c r="G128" s="14">
        <f t="shared" si="3"/>
        <v>-1.4216641930598461E-2</v>
      </c>
    </row>
    <row r="129" spans="3:7" x14ac:dyDescent="0.35">
      <c r="C129" s="53">
        <v>46206</v>
      </c>
      <c r="D129" s="13">
        <v>1.76</v>
      </c>
      <c r="E129" s="13">
        <v>46784.699219000002</v>
      </c>
      <c r="F129" s="14">
        <f t="shared" si="2"/>
        <v>6.8649885583524917E-3</v>
      </c>
      <c r="G129" s="14">
        <f t="shared" si="3"/>
        <v>1.0933815347444753E-3</v>
      </c>
    </row>
    <row r="130" spans="3:7" x14ac:dyDescent="0.35">
      <c r="C130" s="53">
        <v>46213</v>
      </c>
      <c r="D130" s="13">
        <v>1.754</v>
      </c>
      <c r="E130" s="13">
        <v>46599.050780999998</v>
      </c>
      <c r="F130" s="14">
        <f t="shared" si="2"/>
        <v>-3.4090909090909172E-3</v>
      </c>
      <c r="G130" s="14">
        <f t="shared" si="3"/>
        <v>-3.9681443099800484E-3</v>
      </c>
    </row>
    <row r="131" spans="3:7" x14ac:dyDescent="0.35">
      <c r="C131" s="53">
        <v>46220</v>
      </c>
      <c r="D131" s="13">
        <v>1.752</v>
      </c>
      <c r="E131" s="13">
        <v>45804.21875</v>
      </c>
      <c r="F131" s="14">
        <f t="shared" si="2"/>
        <v>-1.1402508551880963E-3</v>
      </c>
      <c r="G131" s="14">
        <f t="shared" si="3"/>
        <v>-1.7056828791115142E-2</v>
      </c>
    </row>
    <row r="132" spans="3:7" x14ac:dyDescent="0.35">
      <c r="C132" s="53">
        <v>46227</v>
      </c>
      <c r="D132" s="13">
        <v>1.742</v>
      </c>
      <c r="E132" s="13">
        <v>45715.75</v>
      </c>
      <c r="F132" s="14">
        <f t="shared" si="2"/>
        <v>-5.7077625570776114E-3</v>
      </c>
      <c r="G132" s="14">
        <f t="shared" si="3"/>
        <v>-1.9314541851016553E-3</v>
      </c>
    </row>
    <row r="133" spans="3:7" x14ac:dyDescent="0.35">
      <c r="C133" s="53">
        <v>46234</v>
      </c>
      <c r="D133" s="13">
        <v>1.772</v>
      </c>
      <c r="E133" s="13">
        <v>45670.769530999998</v>
      </c>
      <c r="F133" s="14">
        <f t="shared" si="2"/>
        <v>1.7221584385763489E-2</v>
      </c>
      <c r="G133" s="14">
        <f t="shared" si="3"/>
        <v>-9.8391624330784744E-4</v>
      </c>
    </row>
  </sheetData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BC26-6D75-413B-9CEC-1D1CB482C253}">
  <dimension ref="B3:O22"/>
  <sheetViews>
    <sheetView topLeftCell="A6" workbookViewId="0">
      <selection activeCell="L22" sqref="L22"/>
    </sheetView>
  </sheetViews>
  <sheetFormatPr defaultRowHeight="14.5" x14ac:dyDescent="0.35"/>
  <cols>
    <col min="2" max="2" width="18.36328125" bestFit="1" customWidth="1"/>
    <col min="3" max="3" width="13.453125" bestFit="1" customWidth="1"/>
    <col min="4" max="4" width="10.08984375" bestFit="1" customWidth="1"/>
    <col min="5" max="5" width="10.6328125" bestFit="1" customWidth="1"/>
    <col min="6" max="6" width="8.6328125" bestFit="1" customWidth="1"/>
    <col min="7" max="7" width="6.26953125" customWidth="1"/>
    <col min="12" max="12" width="10.90625" customWidth="1"/>
    <col min="13" max="13" width="10.90625" bestFit="1" customWidth="1"/>
    <col min="14" max="14" width="7.36328125" bestFit="1" customWidth="1"/>
    <col min="15" max="15" width="6.1796875" bestFit="1" customWidth="1"/>
  </cols>
  <sheetData>
    <row r="3" spans="2:15" x14ac:dyDescent="0.35">
      <c r="B3" s="97" t="s">
        <v>385</v>
      </c>
      <c r="C3" s="97"/>
    </row>
    <row r="5" spans="2:15" x14ac:dyDescent="0.35">
      <c r="B5" s="5" t="s">
        <v>376</v>
      </c>
      <c r="C5" s="5" t="s">
        <v>384</v>
      </c>
    </row>
    <row r="6" spans="2:15" ht="15" thickBot="1" x14ac:dyDescent="0.4">
      <c r="B6" s="56" t="s">
        <v>371</v>
      </c>
      <c r="C6" s="56" t="s">
        <v>386</v>
      </c>
      <c r="D6" s="56" t="s">
        <v>373</v>
      </c>
      <c r="E6" s="56" t="s">
        <v>374</v>
      </c>
      <c r="F6" s="56" t="s">
        <v>375</v>
      </c>
      <c r="G6" s="56" t="s">
        <v>372</v>
      </c>
      <c r="H6" s="56" t="s">
        <v>233</v>
      </c>
      <c r="I6" s="56" t="s">
        <v>28</v>
      </c>
      <c r="J6" s="56" t="s">
        <v>382</v>
      </c>
      <c r="L6" s="130"/>
      <c r="M6" s="56" t="s">
        <v>370</v>
      </c>
      <c r="N6" s="56" t="s">
        <v>364</v>
      </c>
      <c r="O6" s="56" t="s">
        <v>366</v>
      </c>
    </row>
    <row r="7" spans="2:15" ht="15" thickTop="1" x14ac:dyDescent="0.35">
      <c r="B7" s="142" t="s">
        <v>377</v>
      </c>
      <c r="C7" s="144">
        <v>176.8</v>
      </c>
      <c r="D7" s="142">
        <v>1.92</v>
      </c>
      <c r="E7" s="144">
        <v>339.6</v>
      </c>
      <c r="F7" s="144">
        <v>45.2</v>
      </c>
      <c r="G7" s="144">
        <v>384.8</v>
      </c>
      <c r="H7" s="142">
        <v>63</v>
      </c>
      <c r="I7" s="144">
        <v>23.2</v>
      </c>
      <c r="J7" s="144">
        <v>13.18</v>
      </c>
      <c r="M7" s="147">
        <f>G7/H7</f>
        <v>6.1079365079365084</v>
      </c>
      <c r="N7" s="147">
        <f>G7/I7</f>
        <v>16.586206896551726</v>
      </c>
      <c r="O7" s="147">
        <f>E7/J7</f>
        <v>25.76631259484067</v>
      </c>
    </row>
    <row r="8" spans="2:15" x14ac:dyDescent="0.35">
      <c r="B8" s="114" t="s">
        <v>378</v>
      </c>
      <c r="C8" s="145">
        <v>41.4</v>
      </c>
      <c r="D8" s="114">
        <v>11.05</v>
      </c>
      <c r="E8" s="145">
        <v>457.4</v>
      </c>
      <c r="F8" s="145">
        <v>-12.27</v>
      </c>
      <c r="G8" s="145">
        <v>445.3</v>
      </c>
      <c r="H8" s="114">
        <v>58.16</v>
      </c>
      <c r="I8" s="145">
        <v>27.390999999999998</v>
      </c>
      <c r="J8" s="145">
        <v>21.59</v>
      </c>
      <c r="M8" s="146">
        <f t="shared" ref="M8:M12" si="0">G8/H8</f>
        <v>7.656464924346631</v>
      </c>
      <c r="N8" s="146">
        <f t="shared" ref="N8:N12" si="1">G8/I8</f>
        <v>16.257164762148154</v>
      </c>
      <c r="O8" s="148">
        <f t="shared" ref="O8:O12" si="2">E8/J8</f>
        <v>21.185734136174155</v>
      </c>
    </row>
    <row r="9" spans="2:15" x14ac:dyDescent="0.35">
      <c r="B9" s="114" t="s">
        <v>379</v>
      </c>
      <c r="C9" s="145">
        <v>26.49</v>
      </c>
      <c r="D9" s="114">
        <v>22.6</v>
      </c>
      <c r="E9" s="135">
        <v>598.6</v>
      </c>
      <c r="F9" s="145">
        <v>0</v>
      </c>
      <c r="G9" s="145">
        <v>598.6</v>
      </c>
      <c r="H9" s="114">
        <v>128.4</v>
      </c>
      <c r="I9" s="145">
        <v>56.1</v>
      </c>
      <c r="J9" s="145">
        <v>36.5</v>
      </c>
      <c r="M9" s="146">
        <f t="shared" si="0"/>
        <v>4.6619937694704046</v>
      </c>
      <c r="N9" s="146">
        <f t="shared" si="1"/>
        <v>10.670231729055258</v>
      </c>
      <c r="O9" s="148">
        <f t="shared" si="2"/>
        <v>16.400000000000002</v>
      </c>
    </row>
    <row r="10" spans="2:15" x14ac:dyDescent="0.35">
      <c r="B10" s="114" t="s">
        <v>380</v>
      </c>
      <c r="C10" s="145">
        <v>28.196000000000002</v>
      </c>
      <c r="D10" s="114">
        <v>7.81</v>
      </c>
      <c r="E10" s="145">
        <v>220.2</v>
      </c>
      <c r="F10" s="145">
        <v>-10.685</v>
      </c>
      <c r="G10" s="145">
        <v>209.5</v>
      </c>
      <c r="H10" s="114">
        <v>63.66</v>
      </c>
      <c r="I10" s="145">
        <v>26.05</v>
      </c>
      <c r="J10" s="145">
        <v>16.61</v>
      </c>
      <c r="M10" s="146">
        <f t="shared" si="0"/>
        <v>3.2909205152371976</v>
      </c>
      <c r="N10" s="148">
        <f t="shared" si="1"/>
        <v>8.0422264875239922</v>
      </c>
      <c r="O10" s="148">
        <f t="shared" si="2"/>
        <v>13.257074051776039</v>
      </c>
    </row>
    <row r="11" spans="2:15" x14ac:dyDescent="0.35">
      <c r="B11" s="114" t="s">
        <v>381</v>
      </c>
      <c r="C11" s="145">
        <v>10.97</v>
      </c>
      <c r="D11" s="114">
        <v>19.600000000000001</v>
      </c>
      <c r="E11" s="145">
        <v>215</v>
      </c>
      <c r="F11" s="145">
        <v>0</v>
      </c>
      <c r="G11" s="145">
        <v>215</v>
      </c>
      <c r="H11" s="114">
        <v>57.14</v>
      </c>
      <c r="I11" s="145">
        <v>16.64</v>
      </c>
      <c r="J11" s="145">
        <v>12.93</v>
      </c>
      <c r="M11" s="146">
        <f t="shared" si="0"/>
        <v>3.7626881344067202</v>
      </c>
      <c r="N11" s="146">
        <f t="shared" si="1"/>
        <v>12.920673076923077</v>
      </c>
      <c r="O11" s="148">
        <f t="shared" si="2"/>
        <v>16.627996906419181</v>
      </c>
    </row>
    <row r="12" spans="2:15" x14ac:dyDescent="0.35">
      <c r="B12" s="143" t="s">
        <v>383</v>
      </c>
      <c r="C12" s="145">
        <v>10.371</v>
      </c>
      <c r="D12" s="114">
        <v>7.1</v>
      </c>
      <c r="E12" s="145">
        <v>73.599999999999994</v>
      </c>
      <c r="F12" s="145">
        <v>-12.313000000000001</v>
      </c>
      <c r="G12" s="145">
        <v>61.3</v>
      </c>
      <c r="H12" s="114">
        <v>20.2</v>
      </c>
      <c r="I12" s="145">
        <v>6.85</v>
      </c>
      <c r="J12" s="145">
        <v>5.32</v>
      </c>
      <c r="M12" s="151">
        <f t="shared" si="0"/>
        <v>3.0346534653465347</v>
      </c>
      <c r="N12" s="151">
        <f t="shared" si="1"/>
        <v>8.9489051094890506</v>
      </c>
      <c r="O12" s="151">
        <f t="shared" si="2"/>
        <v>13.834586466165412</v>
      </c>
    </row>
    <row r="13" spans="2:15" ht="15" thickBot="1" x14ac:dyDescent="0.4">
      <c r="L13" s="56" t="s">
        <v>317</v>
      </c>
      <c r="M13" s="55"/>
      <c r="N13" s="55"/>
      <c r="O13" s="55"/>
    </row>
    <row r="14" spans="2:15" ht="15" thickTop="1" x14ac:dyDescent="0.35">
      <c r="B14" s="149" t="s">
        <v>392</v>
      </c>
      <c r="C14" s="150"/>
      <c r="D14" s="150"/>
      <c r="L14" s="70" t="s">
        <v>177</v>
      </c>
      <c r="M14" s="146">
        <f>MAX(M8:M12)</f>
        <v>7.656464924346631</v>
      </c>
      <c r="N14" s="146">
        <f t="shared" ref="N14:O14" si="3">MAX(N8:N12)</f>
        <v>16.257164762148154</v>
      </c>
      <c r="O14" s="146">
        <f t="shared" si="3"/>
        <v>21.185734136174155</v>
      </c>
    </row>
    <row r="15" spans="2:15" x14ac:dyDescent="0.35">
      <c r="L15" s="114" t="s">
        <v>387</v>
      </c>
      <c r="M15" s="148">
        <f>_xlfn.QUARTILE.EXC(M8:M12,3)</f>
        <v>6.1592293469085178</v>
      </c>
      <c r="N15" s="148">
        <f t="shared" ref="N15:O15" si="4">_xlfn.QUARTILE.EXC(N8:N12,3)</f>
        <v>14.588918919535615</v>
      </c>
      <c r="O15" s="148">
        <f t="shared" si="4"/>
        <v>18.906865521296666</v>
      </c>
    </row>
    <row r="16" spans="2:15" x14ac:dyDescent="0.35">
      <c r="B16" s="62" t="s">
        <v>12</v>
      </c>
      <c r="C16" s="152" t="s">
        <v>370</v>
      </c>
      <c r="D16" s="152" t="s">
        <v>364</v>
      </c>
      <c r="E16" s="152" t="s">
        <v>366</v>
      </c>
      <c r="L16" s="114" t="s">
        <v>388</v>
      </c>
      <c r="M16" s="148">
        <f>AVERAGE(M8:M12)</f>
        <v>4.4813441617614966</v>
      </c>
      <c r="N16" s="148">
        <f t="shared" ref="N16:O16" si="5">AVERAGE(N8:N12)</f>
        <v>11.367840233027906</v>
      </c>
      <c r="O16" s="148">
        <f t="shared" si="5"/>
        <v>16.261078312106957</v>
      </c>
    </row>
    <row r="17" spans="2:15" x14ac:dyDescent="0.35">
      <c r="B17" s="7" t="s">
        <v>391</v>
      </c>
      <c r="C17" s="28">
        <f>M17*H7</f>
        <v>237.04935246762338</v>
      </c>
      <c r="D17" s="13">
        <f>N17*I7</f>
        <v>247.54937611408198</v>
      </c>
      <c r="E17" s="28">
        <f>O16*J7</f>
        <v>214.32101215356968</v>
      </c>
      <c r="L17" s="114" t="s">
        <v>389</v>
      </c>
      <c r="M17" s="148">
        <f>MEDIAN(M8:M12)</f>
        <v>3.7626881344067202</v>
      </c>
      <c r="N17" s="148">
        <f t="shared" ref="N17:O17" si="6">MEDIAN(N8:N12)</f>
        <v>10.670231729055258</v>
      </c>
      <c r="O17" s="148">
        <f t="shared" si="6"/>
        <v>16.400000000000002</v>
      </c>
    </row>
    <row r="18" spans="2:15" x14ac:dyDescent="0.35">
      <c r="B18" s="7" t="s">
        <v>70</v>
      </c>
      <c r="C18" s="28">
        <f>F7</f>
        <v>45.2</v>
      </c>
      <c r="D18" s="28">
        <f>F7</f>
        <v>45.2</v>
      </c>
      <c r="E18" s="28"/>
      <c r="L18" s="114" t="s">
        <v>390</v>
      </c>
      <c r="M18" s="148">
        <f>_xlfn.QUARTILE.EXC(M8:M12,1)</f>
        <v>3.1627869902918659</v>
      </c>
      <c r="N18" s="148">
        <f t="shared" ref="N18:O18" si="7">_xlfn.QUARTILE.EXC(N8:N12,1)</f>
        <v>8.4955657985065223</v>
      </c>
      <c r="O18" s="148">
        <f t="shared" si="7"/>
        <v>13.545830258970724</v>
      </c>
    </row>
    <row r="19" spans="2:15" x14ac:dyDescent="0.35">
      <c r="B19" s="7" t="s">
        <v>393</v>
      </c>
      <c r="C19" s="28">
        <f>C17-C18</f>
        <v>191.84935246762336</v>
      </c>
      <c r="D19" s="28">
        <f t="shared" ref="D19:E19" si="8">D17-D18</f>
        <v>202.34937611408196</v>
      </c>
      <c r="E19" s="28">
        <f t="shared" si="8"/>
        <v>214.32101215356968</v>
      </c>
      <c r="L19" s="114" t="s">
        <v>178</v>
      </c>
      <c r="M19" s="148">
        <f>MIN(M8:M12)</f>
        <v>3.0346534653465347</v>
      </c>
      <c r="N19" s="148">
        <f t="shared" ref="N19:O19" si="9">MIN(N8:N12)</f>
        <v>8.0422264875239922</v>
      </c>
      <c r="O19" s="148">
        <f t="shared" si="9"/>
        <v>13.257074051776039</v>
      </c>
    </row>
    <row r="20" spans="2:15" x14ac:dyDescent="0.35">
      <c r="B20" s="7" t="s">
        <v>394</v>
      </c>
      <c r="C20" s="13">
        <f>$C$7</f>
        <v>176.8</v>
      </c>
      <c r="D20" s="13">
        <f t="shared" ref="D20:E20" si="10">$C$7</f>
        <v>176.8</v>
      </c>
      <c r="E20" s="13">
        <f t="shared" si="10"/>
        <v>176.8</v>
      </c>
    </row>
    <row r="21" spans="2:15" ht="15" thickBot="1" x14ac:dyDescent="0.4">
      <c r="B21" s="55" t="s">
        <v>395</v>
      </c>
      <c r="C21" s="153">
        <f>C19/C20</f>
        <v>1.0851207718756977</v>
      </c>
      <c r="D21" s="153">
        <f t="shared" ref="D21:E21" si="11">D19/D20</f>
        <v>1.1445100458941286</v>
      </c>
      <c r="E21" s="153">
        <f t="shared" si="11"/>
        <v>1.2122229194206429</v>
      </c>
    </row>
    <row r="22" spans="2:15" ht="15" thickTop="1" x14ac:dyDescent="0.3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296-B248-4891-AAC0-3BFF09E988F5}">
  <dimension ref="B3:K33"/>
  <sheetViews>
    <sheetView workbookViewId="0">
      <selection activeCell="K13" sqref="K13"/>
    </sheetView>
  </sheetViews>
  <sheetFormatPr defaultRowHeight="14.5" x14ac:dyDescent="0.35"/>
  <cols>
    <col min="2" max="2" width="8.90625" customWidth="1"/>
    <col min="4" max="4" width="8.7265625" customWidth="1"/>
    <col min="10" max="10" width="10.1796875" customWidth="1"/>
    <col min="11" max="11" width="7.90625" bestFit="1" customWidth="1"/>
  </cols>
  <sheetData>
    <row r="3" spans="2:11" ht="15" thickBot="1" x14ac:dyDescent="0.4">
      <c r="B3" s="64" t="s">
        <v>193</v>
      </c>
      <c r="C3" s="55"/>
      <c r="D3" s="55"/>
      <c r="E3" s="65"/>
      <c r="I3" s="64" t="s">
        <v>194</v>
      </c>
      <c r="J3" s="55"/>
      <c r="K3" s="65"/>
    </row>
    <row r="4" spans="2:11" ht="15" thickTop="1" x14ac:dyDescent="0.35">
      <c r="B4" s="5" t="s">
        <v>196</v>
      </c>
    </row>
    <row r="5" spans="2:11" x14ac:dyDescent="0.35">
      <c r="I5" s="5" t="s">
        <v>229</v>
      </c>
      <c r="K5" s="15">
        <v>0.78400000000000003</v>
      </c>
    </row>
    <row r="6" spans="2:11" x14ac:dyDescent="0.35">
      <c r="B6" s="97" t="s">
        <v>195</v>
      </c>
      <c r="C6" s="54"/>
      <c r="D6" s="5" t="s">
        <v>199</v>
      </c>
      <c r="E6" s="5" t="s">
        <v>200</v>
      </c>
      <c r="I6" s="5" t="s">
        <v>223</v>
      </c>
      <c r="K6" s="33">
        <v>7.5999999999999998E-2</v>
      </c>
    </row>
    <row r="7" spans="2:11" x14ac:dyDescent="0.35">
      <c r="B7" s="7" t="s">
        <v>197</v>
      </c>
      <c r="C7" s="7"/>
      <c r="D7" s="14">
        <v>4.4999999999999998E-2</v>
      </c>
      <c r="E7" s="15" t="s">
        <v>202</v>
      </c>
      <c r="F7" s="5"/>
      <c r="I7" s="5" t="s">
        <v>224</v>
      </c>
      <c r="K7" s="33">
        <v>3.49E-2</v>
      </c>
    </row>
    <row r="8" spans="2:11" x14ac:dyDescent="0.35">
      <c r="B8" s="7" t="s">
        <v>198</v>
      </c>
      <c r="C8" s="7"/>
      <c r="D8" s="14">
        <v>6.5000000000000002E-2</v>
      </c>
      <c r="E8" s="15" t="s">
        <v>201</v>
      </c>
      <c r="I8" s="5" t="s">
        <v>185</v>
      </c>
      <c r="K8" s="21">
        <f>$K$7+$K$5*($K$6)</f>
        <v>9.4483999999999999E-2</v>
      </c>
    </row>
    <row r="10" spans="2:11" ht="15" thickBot="1" x14ac:dyDescent="0.4">
      <c r="B10" s="55" t="s">
        <v>203</v>
      </c>
      <c r="C10" s="55"/>
      <c r="I10" s="56" t="s">
        <v>225</v>
      </c>
      <c r="J10" s="55"/>
    </row>
    <row r="11" spans="2:11" ht="15" thickTop="1" x14ac:dyDescent="0.35">
      <c r="B11" s="5" t="s">
        <v>207</v>
      </c>
      <c r="D11" s="5" t="s">
        <v>210</v>
      </c>
      <c r="I11" s="26" t="s">
        <v>230</v>
      </c>
      <c r="J11" s="7">
        <v>313.07</v>
      </c>
    </row>
    <row r="12" spans="2:11" x14ac:dyDescent="0.35">
      <c r="B12" s="15">
        <v>40</v>
      </c>
      <c r="C12" s="15" t="s">
        <v>204</v>
      </c>
      <c r="D12" s="15">
        <v>60</v>
      </c>
      <c r="E12" s="15" t="s">
        <v>204</v>
      </c>
      <c r="I12" s="8" t="s">
        <v>226</v>
      </c>
      <c r="J12" s="7">
        <v>105.86</v>
      </c>
    </row>
    <row r="13" spans="2:11" x14ac:dyDescent="0.35">
      <c r="B13" s="16">
        <v>4.4999999999999998E-2</v>
      </c>
      <c r="C13" s="15" t="s">
        <v>205</v>
      </c>
      <c r="D13" s="16">
        <v>6.5000000000000002E-2</v>
      </c>
      <c r="E13" s="15" t="s">
        <v>205</v>
      </c>
      <c r="I13" s="8" t="s">
        <v>185</v>
      </c>
      <c r="J13" s="27">
        <f>$K$7+$K$5*($K$6)</f>
        <v>9.4483999999999999E-2</v>
      </c>
    </row>
    <row r="14" spans="2:11" x14ac:dyDescent="0.35">
      <c r="B14" s="15" t="s">
        <v>208</v>
      </c>
      <c r="C14" s="15" t="s">
        <v>206</v>
      </c>
      <c r="D14" s="15" t="s">
        <v>211</v>
      </c>
      <c r="E14" s="15" t="s">
        <v>206</v>
      </c>
      <c r="I14" s="8" t="s">
        <v>228</v>
      </c>
      <c r="J14" s="24">
        <v>4.5499999999999999E-2</v>
      </c>
    </row>
    <row r="15" spans="2:11" ht="15" thickBot="1" x14ac:dyDescent="0.4">
      <c r="B15" s="15">
        <v>1013.34</v>
      </c>
      <c r="C15" s="15" t="s">
        <v>209</v>
      </c>
      <c r="D15" s="15">
        <v>1009.08</v>
      </c>
      <c r="E15" s="15" t="s">
        <v>209</v>
      </c>
      <c r="I15" s="23" t="s">
        <v>184</v>
      </c>
      <c r="J15" s="25">
        <f>J11/(J12+J11)*J13+(J12/(J12+J11)*J14)</f>
        <v>8.2106165421430788E-2</v>
      </c>
    </row>
    <row r="16" spans="2:11" ht="15" thickTop="1" x14ac:dyDescent="0.35">
      <c r="B16" s="15">
        <v>1000</v>
      </c>
      <c r="C16" s="17" t="s">
        <v>212</v>
      </c>
      <c r="D16" s="15">
        <v>1000</v>
      </c>
      <c r="E16" s="17" t="s">
        <v>212</v>
      </c>
    </row>
    <row r="19" spans="2:7" x14ac:dyDescent="0.35">
      <c r="B19" s="97" t="s">
        <v>218</v>
      </c>
      <c r="C19" s="54"/>
      <c r="D19" s="54"/>
      <c r="E19" s="54"/>
      <c r="F19" s="54"/>
      <c r="G19">
        <v>0.7</v>
      </c>
    </row>
    <row r="20" spans="2:7" x14ac:dyDescent="0.35">
      <c r="B20" s="7" t="s">
        <v>213</v>
      </c>
      <c r="C20" s="7"/>
      <c r="D20" s="7"/>
      <c r="E20" s="7"/>
      <c r="F20" s="7"/>
      <c r="G20" s="7">
        <v>2027</v>
      </c>
    </row>
    <row r="21" spans="2:7" x14ac:dyDescent="0.35">
      <c r="B21" s="7" t="s">
        <v>215</v>
      </c>
      <c r="C21" s="7"/>
      <c r="D21" s="7"/>
      <c r="E21" s="7"/>
      <c r="F21" s="7"/>
      <c r="G21" s="7">
        <f>$B$16*$B$13+B16</f>
        <v>1045</v>
      </c>
    </row>
    <row r="22" spans="2:7" x14ac:dyDescent="0.35">
      <c r="B22" s="18" t="s">
        <v>216</v>
      </c>
      <c r="C22" s="18"/>
      <c r="D22" s="7"/>
      <c r="E22" s="7"/>
      <c r="F22" s="18"/>
      <c r="G22" s="18">
        <f>G21/(1+$C$23)^G19</f>
        <v>1013.3399998721491</v>
      </c>
    </row>
    <row r="23" spans="2:7" ht="15" thickBot="1" x14ac:dyDescent="0.4">
      <c r="B23" s="10" t="s">
        <v>214</v>
      </c>
      <c r="C23" s="19">
        <v>4.4930226299249157E-2</v>
      </c>
      <c r="D23" s="10"/>
      <c r="E23" s="9"/>
      <c r="F23" s="10" t="s">
        <v>217</v>
      </c>
      <c r="G23" s="9">
        <f>SUM(C22:G22)</f>
        <v>1013.3399998721491</v>
      </c>
    </row>
    <row r="24" spans="2:7" ht="15" thickTop="1" x14ac:dyDescent="0.35"/>
    <row r="25" spans="2:7" x14ac:dyDescent="0.35">
      <c r="B25" s="97" t="s">
        <v>281</v>
      </c>
      <c r="C25" s="54"/>
      <c r="D25" s="54"/>
      <c r="E25">
        <v>0.86</v>
      </c>
      <c r="F25">
        <v>1.86</v>
      </c>
      <c r="G25">
        <v>2.86</v>
      </c>
    </row>
    <row r="26" spans="2:7" x14ac:dyDescent="0.35">
      <c r="B26" s="7" t="s">
        <v>213</v>
      </c>
      <c r="C26" s="7">
        <v>2025</v>
      </c>
      <c r="D26" s="7">
        <v>2026</v>
      </c>
      <c r="E26" s="7">
        <v>2027</v>
      </c>
      <c r="F26" s="7">
        <v>2028</v>
      </c>
      <c r="G26" s="7">
        <v>2029</v>
      </c>
    </row>
    <row r="27" spans="2:7" x14ac:dyDescent="0.35">
      <c r="B27" s="7" t="s">
        <v>215</v>
      </c>
      <c r="C27" s="7"/>
      <c r="D27" s="7"/>
      <c r="E27" s="7">
        <f t="shared" ref="E27:F27" si="0">$D$16*$D$13</f>
        <v>65</v>
      </c>
      <c r="F27" s="7">
        <f t="shared" si="0"/>
        <v>65</v>
      </c>
      <c r="G27" s="7">
        <f>$D$16*$D$13+1000</f>
        <v>1065</v>
      </c>
    </row>
    <row r="28" spans="2:7" x14ac:dyDescent="0.35">
      <c r="B28" s="7" t="s">
        <v>216</v>
      </c>
      <c r="C28" s="7"/>
      <c r="D28" s="7"/>
      <c r="E28" s="7">
        <f t="shared" ref="E28:G28" si="1">E27/(1+$C$29)^E25</f>
        <v>61.577747005060125</v>
      </c>
      <c r="F28" s="7">
        <f>F27/(1+$C$29)^F25</f>
        <v>57.8242956207445</v>
      </c>
      <c r="G28" s="7">
        <f t="shared" si="1"/>
        <v>889.67862902334628</v>
      </c>
    </row>
    <row r="29" spans="2:7" ht="15" thickBot="1" x14ac:dyDescent="0.4">
      <c r="B29" s="10" t="s">
        <v>214</v>
      </c>
      <c r="C29" s="19">
        <v>6.4911320475628434E-2</v>
      </c>
      <c r="D29" s="10"/>
      <c r="E29" s="10"/>
      <c r="F29" s="10" t="s">
        <v>217</v>
      </c>
      <c r="G29" s="9">
        <f>SUM(D28:G28)</f>
        <v>1009.0806716491509</v>
      </c>
    </row>
    <row r="30" spans="2:7" ht="15" thickTop="1" x14ac:dyDescent="0.35"/>
    <row r="31" spans="2:7" x14ac:dyDescent="0.35">
      <c r="B31" s="97" t="s">
        <v>220</v>
      </c>
      <c r="D31" s="5" t="s">
        <v>222</v>
      </c>
      <c r="E31" s="5"/>
      <c r="F31" s="5" t="s">
        <v>227</v>
      </c>
    </row>
    <row r="32" spans="2:7" x14ac:dyDescent="0.35">
      <c r="B32" s="7" t="s">
        <v>219</v>
      </c>
      <c r="C32" s="20">
        <f>C23*(1-0.2)</f>
        <v>3.594418103939933E-2</v>
      </c>
      <c r="D32" s="6">
        <v>0.4</v>
      </c>
      <c r="F32" s="21">
        <f>C32*D32+C33*D33</f>
        <v>4.5535106244061381E-2</v>
      </c>
    </row>
    <row r="33" spans="2:4" x14ac:dyDescent="0.35">
      <c r="B33" s="7" t="s">
        <v>221</v>
      </c>
      <c r="C33" s="20">
        <f>C29*(1-0.2)</f>
        <v>5.1929056380502749E-2</v>
      </c>
      <c r="D33" s="6">
        <v>0.6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A6C7-4175-48E7-9E83-77A20EFE3D76}">
  <dimension ref="B4:O2116"/>
  <sheetViews>
    <sheetView workbookViewId="0">
      <selection activeCell="H7" sqref="H7"/>
    </sheetView>
  </sheetViews>
  <sheetFormatPr defaultRowHeight="14.5" x14ac:dyDescent="0.35"/>
  <cols>
    <col min="2" max="2" width="9.81640625" customWidth="1"/>
    <col min="10" max="10" width="12.1796875" customWidth="1"/>
    <col min="11" max="11" width="17.453125" customWidth="1"/>
    <col min="12" max="12" width="13.7265625" customWidth="1"/>
    <col min="13" max="13" width="16.1796875" customWidth="1"/>
    <col min="14" max="14" width="12.1796875" customWidth="1"/>
    <col min="15" max="15" width="12.54296875" customWidth="1"/>
  </cols>
  <sheetData>
    <row r="4" spans="2:15" ht="15" thickBot="1" x14ac:dyDescent="0.4">
      <c r="B4" s="56" t="s">
        <v>256</v>
      </c>
      <c r="C4" s="55"/>
      <c r="D4" s="55"/>
    </row>
    <row r="5" spans="2:15" ht="15" thickTop="1" x14ac:dyDescent="0.35"/>
    <row r="6" spans="2:15" x14ac:dyDescent="0.35">
      <c r="B6" s="5" t="s">
        <v>184</v>
      </c>
      <c r="C6" s="14">
        <f>Overview!D7</f>
        <v>8.2100000000000006E-2</v>
      </c>
    </row>
    <row r="7" spans="2:15" x14ac:dyDescent="0.35">
      <c r="B7" s="5" t="s">
        <v>248</v>
      </c>
      <c r="C7" s="6">
        <v>0.02</v>
      </c>
    </row>
    <row r="8" spans="2:15" x14ac:dyDescent="0.35">
      <c r="B8" s="5" t="s">
        <v>70</v>
      </c>
      <c r="C8" s="13">
        <f>Overview!B18</f>
        <v>60.389999999999993</v>
      </c>
    </row>
    <row r="9" spans="2:15" x14ac:dyDescent="0.35">
      <c r="B9" s="5" t="s">
        <v>192</v>
      </c>
      <c r="C9" s="13">
        <f>Overview!B19</f>
        <v>177.18</v>
      </c>
    </row>
    <row r="10" spans="2:15" x14ac:dyDescent="0.35">
      <c r="B10" s="5" t="s">
        <v>396</v>
      </c>
      <c r="C10" s="13">
        <f>DCF!C34</f>
        <v>20.550803664138719</v>
      </c>
    </row>
    <row r="11" spans="2:15" x14ac:dyDescent="0.35">
      <c r="B11" s="5" t="s">
        <v>257</v>
      </c>
      <c r="C11" s="37">
        <f>DCF!H31</f>
        <v>9.2561999999999962</v>
      </c>
      <c r="D11" s="37">
        <f>DCF!I31</f>
        <v>14.430299999999999</v>
      </c>
      <c r="E11" s="37">
        <f>DCF!J31</f>
        <v>15.025735000000013</v>
      </c>
      <c r="F11" s="37">
        <f>DCF!K31</f>
        <v>16.961009750000009</v>
      </c>
      <c r="G11" s="37">
        <f>DCF!L31</f>
        <v>18.4542338975</v>
      </c>
      <c r="H11" s="37">
        <f>DCF!M31</f>
        <v>19.525355213575008</v>
      </c>
      <c r="I11" s="37">
        <f>DCF!N31</f>
        <v>20.147846729547762</v>
      </c>
    </row>
    <row r="12" spans="2:15" x14ac:dyDescent="0.35">
      <c r="B12" s="5" t="s">
        <v>216</v>
      </c>
      <c r="C12" s="13">
        <f>DCF!H32</f>
        <v>8.5538741907039508</v>
      </c>
      <c r="D12" s="13">
        <f>DCF!I32</f>
        <v>12.323543914551577</v>
      </c>
      <c r="E12" s="13">
        <f>DCF!J32</f>
        <v>11.858400412724798</v>
      </c>
      <c r="F12" s="13">
        <f>DCF!K32</f>
        <v>12.370071726876253</v>
      </c>
      <c r="G12" s="13">
        <f>DCF!L32</f>
        <v>12.437888616934993</v>
      </c>
      <c r="H12" s="13">
        <f>DCF!M32</f>
        <v>12.161291952314727</v>
      </c>
      <c r="I12" s="13">
        <f>DCF!N32</f>
        <v>11.596836600378969</v>
      </c>
    </row>
    <row r="13" spans="2:15" x14ac:dyDescent="0.35">
      <c r="B13" s="5" t="s">
        <v>258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</row>
    <row r="15" spans="2:15" x14ac:dyDescent="0.35">
      <c r="C15" s="18" t="s">
        <v>264</v>
      </c>
      <c r="D15" s="18" t="s">
        <v>184</v>
      </c>
      <c r="E15" s="18" t="s">
        <v>264</v>
      </c>
      <c r="F15" s="18" t="s">
        <v>263</v>
      </c>
      <c r="G15" s="18" t="s">
        <v>264</v>
      </c>
      <c r="H15" s="18" t="s">
        <v>262</v>
      </c>
      <c r="J15" s="5" t="s">
        <v>265</v>
      </c>
      <c r="K15" s="5" t="s">
        <v>266</v>
      </c>
      <c r="L15" s="5" t="s">
        <v>267</v>
      </c>
      <c r="M15" s="5" t="s">
        <v>268</v>
      </c>
      <c r="N15" s="5" t="s">
        <v>269</v>
      </c>
      <c r="O15" s="5" t="s">
        <v>270</v>
      </c>
    </row>
    <row r="16" spans="2:15" ht="15" thickBot="1" x14ac:dyDescent="0.4">
      <c r="B16" s="5"/>
      <c r="C16" s="8">
        <f ca="1">RAND()</f>
        <v>0.90038040259625018</v>
      </c>
      <c r="D16" s="7">
        <f ca="1">IF(C16&lt;($C$6-0.07)/(0.11-0.07),0.07+SQRT(C16*(0.11-0.07)*($C$6-0.07)),0.11-SQRT((1-C16)*(0.11-0.07)*(0.11-$C$6)))</f>
        <v>9.9456022064581845E-2</v>
      </c>
      <c r="E16" s="7">
        <f ca="1">RAND()</f>
        <v>0.81720943939488733</v>
      </c>
      <c r="F16" s="7">
        <f ca="1">MIN(
 IF(E16&lt;(0.02-0.01)/(0.03-0.01),
   0.01+SQRT(E16*(0.03-0.01)*(0.02-0.01)),
   0.03-SQRT((1-E16)*(0.03-0.01)*(0.03-0.02))
 ),
 D16-0.005
)</f>
        <v>2.395366953259892E-2</v>
      </c>
      <c r="G16" s="7">
        <f t="shared" ref="G16:G79" ca="1" si="0">$C$11/(1+D16)^1
 +$D$11/(1+D16)^2
 +$E$11/(1+D16)^3
 +$F$11/(1+D16)^4
 +$G$11/(1+D16)^5
 +$H$11/(1+D16)^6
 +$I$11/(1+D16)^7
 + ( $I$11*(1+F16)/(D16-F16) )/(1+D16)^7</f>
        <v>216.88915588087622</v>
      </c>
      <c r="H16" s="7">
        <f ca="1">(G16+DCF!$D$40+DCF!$D$41+DCF!$D$42-DCF!$D$43-DCF!$D$44)/DCF!$C$35</f>
        <v>1.8662160282248346</v>
      </c>
      <c r="J16" s="39">
        <f ca="1">MEDIAN(H16:H2016)</f>
        <v>2.0601799764958444</v>
      </c>
      <c r="K16" s="39">
        <f ca="1">AVERAGE(H16:H2016)</f>
        <v>2.0736331986161116</v>
      </c>
      <c r="L16" s="39">
        <f ca="1">_xlfn.PERCENTILE.INC(H16:H2016,0.05)</f>
        <v>1.7820750816715141</v>
      </c>
      <c r="M16" s="39">
        <f ca="1">_xlfn.PERCENTILE.INC(H16:H2016,0.95)</f>
        <v>2.417011837238189</v>
      </c>
      <c r="N16" s="39">
        <f ca="1">MIN(H16:H2016)</f>
        <v>1.6520664814743282</v>
      </c>
      <c r="O16" s="39">
        <f ca="1">MAX(H16:H2016)</f>
        <v>2.7735116643430615</v>
      </c>
    </row>
    <row r="17" spans="3:8" ht="15" thickTop="1" x14ac:dyDescent="0.35">
      <c r="C17" s="8">
        <f t="shared" ref="C17:C80" ca="1" si="1">RAND()</f>
        <v>0.99805720470140791</v>
      </c>
      <c r="D17" s="7">
        <f t="shared" ref="D17:D80" ca="1" si="2">IF(C17&lt;($C$6-0.07)/(0.11-0.07),0.07+SQRT(C17*(0.11-0.07)*($C$6-0.07)),0.11-SQRT((1-C17)*(0.11-0.07)*(0.11-$C$6)))</f>
        <v>0.10852753283458381</v>
      </c>
      <c r="E17" s="7">
        <f t="shared" ref="E17:E80" ca="1" si="3">RAND()</f>
        <v>0.78709300183457376</v>
      </c>
      <c r="F17" s="7">
        <f t="shared" ref="F17:F80" ca="1" si="4">MIN(
 IF(E17&lt;(0.02-0.01)/(0.03-0.01),
   0.01+SQRT(E17*(0.03-0.01)*(0.02-0.01)),
   0.03-SQRT((1-E17)*(0.03-0.01)*(0.03-0.02))
 ),
 D17-0.005
)</f>
        <v>2.3474557514383775E-2</v>
      </c>
      <c r="G17" s="7">
        <f t="shared" ca="1" si="0"/>
        <v>191.56456516033151</v>
      </c>
      <c r="H17" s="7">
        <f ca="1">(G17+DCF!$D$40+DCF!$D$41+DCF!$D$42-DCF!$D$43-DCF!$D$44)/DCF!$C$35</f>
        <v>1.7232845984892851</v>
      </c>
    </row>
    <row r="18" spans="3:8" x14ac:dyDescent="0.35">
      <c r="C18" s="8">
        <f t="shared" ca="1" si="1"/>
        <v>0.47613957893871239</v>
      </c>
      <c r="D18" s="7">
        <f t="shared" ca="1" si="2"/>
        <v>8.582091337737513E-2</v>
      </c>
      <c r="E18" s="7">
        <f t="shared" ca="1" si="3"/>
        <v>9.3689617490454569E-2</v>
      </c>
      <c r="F18" s="7">
        <f t="shared" ca="1" si="4"/>
        <v>1.4328732319985948E-2</v>
      </c>
      <c r="G18" s="7">
        <f t="shared" ca="1" si="0"/>
        <v>240.80051332937333</v>
      </c>
      <c r="H18" s="7">
        <f ca="1">(G18+DCF!$D$40+DCF!$D$41+DCF!$D$42-DCF!$D$43-DCF!$D$44)/DCF!$C$35</f>
        <v>2.0011712006398765</v>
      </c>
    </row>
    <row r="19" spans="3:8" x14ac:dyDescent="0.35">
      <c r="C19" s="8">
        <f t="shared" ca="1" si="1"/>
        <v>0.14782856769425246</v>
      </c>
      <c r="D19" s="7">
        <f t="shared" ca="1" si="2"/>
        <v>7.8458665779188724E-2</v>
      </c>
      <c r="E19" s="7">
        <f t="shared" ca="1" si="3"/>
        <v>0.59449674312483858</v>
      </c>
      <c r="F19" s="7">
        <f t="shared" ca="1" si="4"/>
        <v>2.0994409992952583E-2</v>
      </c>
      <c r="G19" s="7">
        <f t="shared" ca="1" si="0"/>
        <v>293.41563080899272</v>
      </c>
      <c r="H19" s="7">
        <f ca="1">(G19+DCF!$D$40+DCF!$D$41+DCF!$D$42-DCF!$D$43-DCF!$D$44)/DCF!$C$35</f>
        <v>2.2981297596172969</v>
      </c>
    </row>
    <row r="20" spans="3:8" x14ac:dyDescent="0.35">
      <c r="C20" s="8">
        <f t="shared" ca="1" si="1"/>
        <v>0.87207504850787654</v>
      </c>
      <c r="D20" s="7">
        <f t="shared" ca="1" si="2"/>
        <v>9.8051600698620345E-2</v>
      </c>
      <c r="E20" s="7">
        <f t="shared" ca="1" si="3"/>
        <v>0.63634084909942756</v>
      </c>
      <c r="F20" s="7">
        <f t="shared" ca="1" si="4"/>
        <v>2.1471704145603621E-2</v>
      </c>
      <c r="G20" s="7">
        <f t="shared" ca="1" si="0"/>
        <v>216.2131032649034</v>
      </c>
      <c r="H20" s="7">
        <f ca="1">(G20+DCF!$D$40+DCF!$D$41+DCF!$D$42-DCF!$D$43-DCF!$D$44)/DCF!$C$35</f>
        <v>1.862400402217538</v>
      </c>
    </row>
    <row r="21" spans="3:8" x14ac:dyDescent="0.35">
      <c r="C21" s="8">
        <f t="shared" ca="1" si="1"/>
        <v>0.96070831425425895</v>
      </c>
      <c r="D21" s="7">
        <f t="shared" ca="1" si="2"/>
        <v>0.10337810289326035</v>
      </c>
      <c r="E21" s="7">
        <f t="shared" ca="1" si="3"/>
        <v>0.44330295573338108</v>
      </c>
      <c r="F21" s="7">
        <f t="shared" ca="1" si="4"/>
        <v>1.9415975315742719E-2</v>
      </c>
      <c r="G21" s="7">
        <f t="shared" ca="1" si="0"/>
        <v>197.95980152550874</v>
      </c>
      <c r="H21" s="7">
        <f ca="1">(G21+DCF!$D$40+DCF!$D$41+DCF!$D$42-DCF!$D$43-DCF!$D$44)/DCF!$C$35</f>
        <v>1.7593791710436206</v>
      </c>
    </row>
    <row r="22" spans="3:8" x14ac:dyDescent="0.35">
      <c r="C22" s="8">
        <f t="shared" ca="1" si="1"/>
        <v>0.53748039637643918</v>
      </c>
      <c r="D22" s="7">
        <f t="shared" ca="1" si="2"/>
        <v>8.7280583686109067E-2</v>
      </c>
      <c r="E22" s="7">
        <f t="shared" ca="1" si="3"/>
        <v>3.0947708968527277E-2</v>
      </c>
      <c r="F22" s="7">
        <f t="shared" ca="1" si="4"/>
        <v>1.2487878974891153E-2</v>
      </c>
      <c r="G22" s="7">
        <f t="shared" ca="1" si="0"/>
        <v>231.5582816561797</v>
      </c>
      <c r="H22" s="7">
        <f ca="1">(G22+DCF!$D$40+DCF!$D$41+DCF!$D$42-DCF!$D$43-DCF!$D$44)/DCF!$C$35</f>
        <v>1.94900824955514</v>
      </c>
    </row>
    <row r="23" spans="3:8" x14ac:dyDescent="0.35">
      <c r="C23" s="8">
        <f t="shared" ca="1" si="1"/>
        <v>0.92584826640439388</v>
      </c>
      <c r="D23" s="7">
        <f t="shared" ca="1" si="2"/>
        <v>0.10090311401122909</v>
      </c>
      <c r="E23" s="7">
        <f t="shared" ca="1" si="3"/>
        <v>0.68195654564034558</v>
      </c>
      <c r="F23" s="7">
        <f t="shared" ca="1" si="4"/>
        <v>2.2024494318732456E-2</v>
      </c>
      <c r="G23" s="7">
        <f t="shared" ca="1" si="0"/>
        <v>208.97568861008946</v>
      </c>
      <c r="H23" s="7">
        <f ca="1">(G23+DCF!$D$40+DCF!$D$41+DCF!$D$42-DCF!$D$43-DCF!$D$44)/DCF!$C$35</f>
        <v>1.8215525940291764</v>
      </c>
    </row>
    <row r="24" spans="3:8" x14ac:dyDescent="0.35">
      <c r="C24" s="8">
        <f t="shared" ca="1" si="1"/>
        <v>0.47661566380453313</v>
      </c>
      <c r="D24" s="7">
        <f t="shared" ca="1" si="2"/>
        <v>8.5831902863606729E-2</v>
      </c>
      <c r="E24" s="7">
        <f t="shared" ca="1" si="3"/>
        <v>0.37058185770470853</v>
      </c>
      <c r="F24" s="7">
        <f t="shared" ca="1" si="4"/>
        <v>1.8609086568326612E-2</v>
      </c>
      <c r="G24" s="7">
        <f t="shared" ca="1" si="0"/>
        <v>251.70800835869323</v>
      </c>
      <c r="H24" s="7">
        <f ca="1">(G24+DCF!$D$40+DCF!$D$41+DCF!$D$42-DCF!$D$43-DCF!$D$44)/DCF!$C$35</f>
        <v>2.0627328612636484</v>
      </c>
    </row>
    <row r="25" spans="3:8" x14ac:dyDescent="0.35">
      <c r="C25" s="8">
        <f t="shared" ca="1" si="1"/>
        <v>0.30221653117088365</v>
      </c>
      <c r="D25" s="7">
        <f t="shared" ca="1" si="2"/>
        <v>8.2094329294620183E-2</v>
      </c>
      <c r="E25" s="7">
        <f t="shared" ca="1" si="3"/>
        <v>0.92935066559359714</v>
      </c>
      <c r="F25" s="7">
        <f t="shared" ca="1" si="4"/>
        <v>2.6241028480916546E-2</v>
      </c>
      <c r="G25" s="7">
        <f t="shared" ca="1" si="0"/>
        <v>294.40059685564006</v>
      </c>
      <c r="H25" s="7">
        <f ca="1">(G25+DCF!$D$40+DCF!$D$41+DCF!$D$42-DCF!$D$43-DCF!$D$44)/DCF!$C$35</f>
        <v>2.3036888861927984</v>
      </c>
    </row>
    <row r="26" spans="3:8" x14ac:dyDescent="0.35">
      <c r="C26" s="8">
        <f t="shared" ca="1" si="1"/>
        <v>4.1525252624851072E-2</v>
      </c>
      <c r="D26" s="7">
        <f t="shared" ca="1" si="2"/>
        <v>7.44831040887345E-2</v>
      </c>
      <c r="E26" s="7">
        <f t="shared" ca="1" si="3"/>
        <v>0.50753261170346808</v>
      </c>
      <c r="F26" s="7">
        <f t="shared" ca="1" si="4"/>
        <v>2.0075611975577216E-2</v>
      </c>
      <c r="G26" s="7">
        <f t="shared" ca="1" si="0"/>
        <v>312.16722075360804</v>
      </c>
      <c r="H26" s="7">
        <f ca="1">(G26+DCF!$D$40+DCF!$D$41+DCF!$D$42-DCF!$D$43-DCF!$D$44)/DCF!$C$35</f>
        <v>2.4039633183971554</v>
      </c>
    </row>
    <row r="27" spans="3:8" x14ac:dyDescent="0.35">
      <c r="C27" s="8">
        <f t="shared" ca="1" si="1"/>
        <v>0.83555256535184985</v>
      </c>
      <c r="D27" s="7">
        <f t="shared" ca="1" si="2"/>
        <v>9.6452921456367968E-2</v>
      </c>
      <c r="E27" s="7">
        <f t="shared" ca="1" si="3"/>
        <v>0.73751376734903618</v>
      </c>
      <c r="F27" s="7">
        <f t="shared" ca="1" si="4"/>
        <v>2.2754501636864946E-2</v>
      </c>
      <c r="G27" s="7">
        <f t="shared" ca="1" si="0"/>
        <v>223.79858873270854</v>
      </c>
      <c r="H27" s="7">
        <f ca="1">(G27+DCF!$D$40+DCF!$D$41+DCF!$D$42-DCF!$D$43-DCF!$D$44)/DCF!$C$35</f>
        <v>1.9052127143735667</v>
      </c>
    </row>
    <row r="28" spans="3:8" x14ac:dyDescent="0.35">
      <c r="C28" s="8">
        <f t="shared" ca="1" si="1"/>
        <v>0.45297860427762182</v>
      </c>
      <c r="D28" s="7">
        <f t="shared" ca="1" si="2"/>
        <v>8.5292189946776467E-2</v>
      </c>
      <c r="E28" s="7">
        <f t="shared" ca="1" si="3"/>
        <v>0.80439675487574203</v>
      </c>
      <c r="F28" s="7">
        <f t="shared" ca="1" si="4"/>
        <v>2.3745349807954758E-2</v>
      </c>
      <c r="G28" s="7">
        <f t="shared" ca="1" si="0"/>
        <v>269.29335900109771</v>
      </c>
      <c r="H28" s="7">
        <f ca="1">(G28+DCF!$D$40+DCF!$D$41+DCF!$D$42-DCF!$D$43-DCF!$D$44)/DCF!$C$35</f>
        <v>2.1619841912241657</v>
      </c>
    </row>
    <row r="29" spans="3:8" x14ac:dyDescent="0.35">
      <c r="C29" s="8">
        <f t="shared" ca="1" si="1"/>
        <v>0.83436633906280255</v>
      </c>
      <c r="D29" s="7">
        <f t="shared" ca="1" si="2"/>
        <v>9.6404148956173719E-2</v>
      </c>
      <c r="E29" s="7">
        <f t="shared" ca="1" si="3"/>
        <v>0.77151211579604817</v>
      </c>
      <c r="F29" s="7">
        <f t="shared" ca="1" si="4"/>
        <v>2.3240001712959507E-2</v>
      </c>
      <c r="G29" s="7">
        <f t="shared" ca="1" si="0"/>
        <v>225.00047097408913</v>
      </c>
      <c r="H29" s="7">
        <f ca="1">(G29+DCF!$D$40+DCF!$D$41+DCF!$D$42-DCF!$D$43-DCF!$D$44)/DCF!$C$35</f>
        <v>1.9119961111530033</v>
      </c>
    </row>
    <row r="30" spans="3:8" x14ac:dyDescent="0.35">
      <c r="C30" s="8">
        <f t="shared" ca="1" si="1"/>
        <v>0.12625788542358451</v>
      </c>
      <c r="D30" s="7">
        <f t="shared" ca="1" si="2"/>
        <v>7.7817212837387434E-2</v>
      </c>
      <c r="E30" s="7">
        <f t="shared" ca="1" si="3"/>
        <v>0.79723423727271248</v>
      </c>
      <c r="F30" s="7">
        <f t="shared" ca="1" si="4"/>
        <v>2.3631864280226317E-2</v>
      </c>
      <c r="G30" s="7">
        <f t="shared" ca="1" si="0"/>
        <v>307.89921169108231</v>
      </c>
      <c r="H30" s="7">
        <f ca="1">(G30+DCF!$D$40+DCF!$D$41+DCF!$D$42-DCF!$D$43-DCF!$D$44)/DCF!$C$35</f>
        <v>2.3798747696753715</v>
      </c>
    </row>
    <row r="31" spans="3:8" x14ac:dyDescent="0.35">
      <c r="C31" s="8">
        <f t="shared" ca="1" si="1"/>
        <v>0.85439404996574719</v>
      </c>
      <c r="D31" s="7">
        <f t="shared" ca="1" si="2"/>
        <v>9.7252598686860675E-2</v>
      </c>
      <c r="E31" s="7">
        <f t="shared" ca="1" si="3"/>
        <v>0.77340183734769008</v>
      </c>
      <c r="F31" s="7">
        <f t="shared" ca="1" si="4"/>
        <v>2.326801422086603E-2</v>
      </c>
      <c r="G31" s="7">
        <f t="shared" ca="1" si="0"/>
        <v>222.3317909724384</v>
      </c>
      <c r="H31" s="7">
        <f ca="1">(G31+DCF!$D$40+DCF!$D$41+DCF!$D$42-DCF!$D$43-DCF!$D$44)/DCF!$C$35</f>
        <v>1.8969341402666124</v>
      </c>
    </row>
    <row r="32" spans="3:8" x14ac:dyDescent="0.35">
      <c r="C32" s="8">
        <f t="shared" ca="1" si="1"/>
        <v>0.31774279933844818</v>
      </c>
      <c r="D32" s="7">
        <f t="shared" ca="1" si="2"/>
        <v>8.2406539978859272E-2</v>
      </c>
      <c r="E32" s="7">
        <f t="shared" ca="1" si="3"/>
        <v>0.33826196843410117</v>
      </c>
      <c r="F32" s="7">
        <f t="shared" ca="1" si="4"/>
        <v>1.8225107518252889E-2</v>
      </c>
      <c r="G32" s="7">
        <f t="shared" ca="1" si="0"/>
        <v>264.83341962286687</v>
      </c>
      <c r="H32" s="7">
        <f ca="1">(G32+DCF!$D$40+DCF!$D$41+DCF!$D$42-DCF!$D$43-DCF!$D$44)/DCF!$C$35</f>
        <v>2.1368123920468838</v>
      </c>
    </row>
    <row r="33" spans="3:8" x14ac:dyDescent="0.35">
      <c r="C33" s="8">
        <f t="shared" ca="1" si="1"/>
        <v>0.99454624508117362</v>
      </c>
      <c r="D33" s="7">
        <f t="shared" ca="1" si="2"/>
        <v>0.1075329388962958</v>
      </c>
      <c r="E33" s="7">
        <f t="shared" ca="1" si="3"/>
        <v>0.39076747872189732</v>
      </c>
      <c r="F33" s="7">
        <f t="shared" ca="1" si="4"/>
        <v>1.884044658059645E-2</v>
      </c>
      <c r="G33" s="7">
        <f t="shared" ca="1" si="0"/>
        <v>187.19221981762269</v>
      </c>
      <c r="H33" s="7">
        <f ca="1">(G33+DCF!$D$40+DCF!$D$41+DCF!$D$42-DCF!$D$43-DCF!$D$44)/DCF!$C$35</f>
        <v>1.6986071781105241</v>
      </c>
    </row>
    <row r="34" spans="3:8" x14ac:dyDescent="0.35">
      <c r="C34" s="8">
        <f t="shared" ca="1" si="1"/>
        <v>0.8231694184089694</v>
      </c>
      <c r="D34" s="7">
        <f t="shared" ca="1" si="2"/>
        <v>9.595212012239604E-2</v>
      </c>
      <c r="E34" s="7">
        <f t="shared" ca="1" si="3"/>
        <v>0.19627508422491557</v>
      </c>
      <c r="F34" s="7">
        <f t="shared" ca="1" si="4"/>
        <v>1.6265382418095733E-2</v>
      </c>
      <c r="G34" s="7">
        <f t="shared" ca="1" si="0"/>
        <v>212.48381809709866</v>
      </c>
      <c r="H34" s="7">
        <f ca="1">(G34+DCF!$D$40+DCF!$D$41+DCF!$D$42-DCF!$D$43-DCF!$D$44)/DCF!$C$35</f>
        <v>1.8413523992386198</v>
      </c>
    </row>
    <row r="35" spans="3:8" x14ac:dyDescent="0.35">
      <c r="C35" s="8">
        <f t="shared" ca="1" si="1"/>
        <v>0.46162814314920486</v>
      </c>
      <c r="D35" s="7">
        <f t="shared" ca="1" si="2"/>
        <v>8.5488309070048077E-2</v>
      </c>
      <c r="E35" s="7">
        <f t="shared" ca="1" si="3"/>
        <v>0.48251528559687784</v>
      </c>
      <c r="F35" s="7">
        <f t="shared" ca="1" si="4"/>
        <v>1.9823596954241129E-2</v>
      </c>
      <c r="G35" s="7">
        <f t="shared" ca="1" si="0"/>
        <v>256.48200173244811</v>
      </c>
      <c r="H35" s="7">
        <f ca="1">(G35+DCF!$D$40+DCF!$D$41+DCF!$D$42-DCF!$D$43-DCF!$D$44)/DCF!$C$35</f>
        <v>2.0896771742434139</v>
      </c>
    </row>
    <row r="36" spans="3:8" x14ac:dyDescent="0.35">
      <c r="C36" s="8">
        <f t="shared" ca="1" si="1"/>
        <v>0.34920451548948039</v>
      </c>
      <c r="D36" s="7">
        <f t="shared" ca="1" si="2"/>
        <v>8.30502734575332E-2</v>
      </c>
      <c r="E36" s="7">
        <f t="shared" ca="1" si="3"/>
        <v>0.41189688860504725</v>
      </c>
      <c r="F36" s="7">
        <f t="shared" ca="1" si="4"/>
        <v>1.9076308595514447E-2</v>
      </c>
      <c r="G36" s="7">
        <f t="shared" ca="1" si="0"/>
        <v>264.61881879005466</v>
      </c>
      <c r="H36" s="7">
        <f ca="1">(G36+DCF!$D$40+DCF!$D$41+DCF!$D$42-DCF!$D$43-DCF!$D$44)/DCF!$C$35</f>
        <v>2.1356011896944049</v>
      </c>
    </row>
    <row r="37" spans="3:8" x14ac:dyDescent="0.35">
      <c r="C37" s="8">
        <f t="shared" ca="1" si="1"/>
        <v>0.83909852363404724</v>
      </c>
      <c r="D37" s="7">
        <f t="shared" ca="1" si="2"/>
        <v>9.659977434427304E-2</v>
      </c>
      <c r="E37" s="7">
        <f t="shared" ca="1" si="3"/>
        <v>0.9804626713350939</v>
      </c>
      <c r="F37" s="7">
        <f t="shared" ca="1" si="4"/>
        <v>2.8023268927501462E-2</v>
      </c>
      <c r="G37" s="7">
        <f t="shared" ca="1" si="0"/>
        <v>235.38208430460975</v>
      </c>
      <c r="H37" s="7">
        <f ca="1">(G37+DCF!$D$40+DCF!$D$41+DCF!$D$42-DCF!$D$43-DCF!$D$44)/DCF!$C$35</f>
        <v>1.9705897071035654</v>
      </c>
    </row>
    <row r="38" spans="3:8" x14ac:dyDescent="0.35">
      <c r="C38" s="8">
        <f t="shared" ca="1" si="1"/>
        <v>0.57767004208980466</v>
      </c>
      <c r="D38" s="7">
        <f t="shared" ca="1" si="2"/>
        <v>8.8290089059883781E-2</v>
      </c>
      <c r="E38" s="7">
        <f t="shared" ca="1" si="3"/>
        <v>0.37412238833621458</v>
      </c>
      <c r="F38" s="7">
        <f t="shared" ca="1" si="4"/>
        <v>1.8650114315270229E-2</v>
      </c>
      <c r="G38" s="7">
        <f t="shared" ca="1" si="0"/>
        <v>242.42026728374225</v>
      </c>
      <c r="H38" s="7">
        <f ca="1">(G38+DCF!$D$40+DCF!$D$41+DCF!$D$42-DCF!$D$43-DCF!$D$44)/DCF!$C$35</f>
        <v>2.0103130561222611</v>
      </c>
    </row>
    <row r="39" spans="3:8" x14ac:dyDescent="0.35">
      <c r="C39" s="8">
        <f t="shared" ca="1" si="1"/>
        <v>5.6754061862502092E-2</v>
      </c>
      <c r="D39" s="7">
        <f t="shared" ca="1" si="2"/>
        <v>7.5241084424186574E-2</v>
      </c>
      <c r="E39" s="7">
        <f t="shared" ca="1" si="3"/>
        <v>0.69220134349370566</v>
      </c>
      <c r="F39" s="7">
        <f t="shared" ca="1" si="4"/>
        <v>2.2153999024900721E-2</v>
      </c>
      <c r="G39" s="7">
        <f t="shared" ca="1" si="0"/>
        <v>316.92722835365782</v>
      </c>
      <c r="H39" s="7">
        <f ca="1">(G39+DCF!$D$40+DCF!$D$41+DCF!$D$42-DCF!$D$43-DCF!$D$44)/DCF!$C$35</f>
        <v>2.4308286959795562</v>
      </c>
    </row>
    <row r="40" spans="3:8" x14ac:dyDescent="0.35">
      <c r="C40" s="8">
        <f t="shared" ca="1" si="1"/>
        <v>0.76575859207007513</v>
      </c>
      <c r="D40" s="7">
        <f t="shared" ca="1" si="2"/>
        <v>9.3831715884182515E-2</v>
      </c>
      <c r="E40" s="7">
        <f t="shared" ca="1" si="3"/>
        <v>0.7178656885405813</v>
      </c>
      <c r="F40" s="7">
        <f t="shared" ca="1" si="4"/>
        <v>2.2488218434227221E-2</v>
      </c>
      <c r="G40" s="7">
        <f t="shared" ca="1" si="0"/>
        <v>231.9185272281716</v>
      </c>
      <c r="H40" s="7">
        <f ca="1">(G40+DCF!$D$40+DCF!$D$41+DCF!$D$42-DCF!$D$43-DCF!$D$44)/DCF!$C$35</f>
        <v>1.9510414675932473</v>
      </c>
    </row>
    <row r="41" spans="3:8" x14ac:dyDescent="0.35">
      <c r="C41" s="8">
        <f t="shared" ca="1" si="1"/>
        <v>0.77905224002953266</v>
      </c>
      <c r="D41" s="7">
        <f t="shared" ca="1" si="2"/>
        <v>9.4297207250713611E-2</v>
      </c>
      <c r="E41" s="7">
        <f t="shared" ca="1" si="3"/>
        <v>0.83226564384910673</v>
      </c>
      <c r="F41" s="7">
        <f t="shared" ca="1" si="4"/>
        <v>2.4208033906333821E-2</v>
      </c>
      <c r="G41" s="7">
        <f t="shared" ca="1" si="0"/>
        <v>234.33860290302971</v>
      </c>
      <c r="H41" s="7">
        <f ca="1">(G41+DCF!$D$40+DCF!$D$41+DCF!$D$42-DCF!$D$43-DCF!$D$44)/DCF!$C$35</f>
        <v>1.9647003211594407</v>
      </c>
    </row>
    <row r="42" spans="3:8" x14ac:dyDescent="0.35">
      <c r="C42" s="8">
        <f t="shared" ca="1" si="1"/>
        <v>0.45041037624026414</v>
      </c>
      <c r="D42" s="7">
        <f t="shared" ca="1" si="2"/>
        <v>8.523425712570154E-2</v>
      </c>
      <c r="E42" s="7">
        <f t="shared" ca="1" si="3"/>
        <v>0.64351795034328374</v>
      </c>
      <c r="F42" s="7">
        <f t="shared" ca="1" si="4"/>
        <v>2.1556279852378856E-2</v>
      </c>
      <c r="G42" s="7">
        <f t="shared" ca="1" si="0"/>
        <v>262.66426272267171</v>
      </c>
      <c r="H42" s="7">
        <f ca="1">(G42+DCF!$D$40+DCF!$D$41+DCF!$D$42-DCF!$D$43-DCF!$D$44)/DCF!$C$35</f>
        <v>2.1245697184934627</v>
      </c>
    </row>
    <row r="43" spans="3:8" x14ac:dyDescent="0.35">
      <c r="C43" s="8">
        <f t="shared" ca="1" si="1"/>
        <v>1.351371518496014E-2</v>
      </c>
      <c r="D43" s="7">
        <f t="shared" ca="1" si="2"/>
        <v>7.2557467135570028E-2</v>
      </c>
      <c r="E43" s="7">
        <f t="shared" ca="1" si="3"/>
        <v>6.8388656347519006E-2</v>
      </c>
      <c r="F43" s="7">
        <f t="shared" ca="1" si="4"/>
        <v>1.3698341691826731E-2</v>
      </c>
      <c r="G43" s="7">
        <f t="shared" ca="1" si="0"/>
        <v>296.84467806531268</v>
      </c>
      <c r="H43" s="7">
        <f ca="1">(G43+DCF!$D$40+DCF!$D$41+DCF!$D$42-DCF!$D$43-DCF!$D$44)/DCF!$C$35</f>
        <v>2.3174832264663769</v>
      </c>
    </row>
    <row r="44" spans="3:8" x14ac:dyDescent="0.35">
      <c r="C44" s="8">
        <f t="shared" ca="1" si="1"/>
        <v>0.75392185986407534</v>
      </c>
      <c r="D44" s="7">
        <f t="shared" ca="1" si="2"/>
        <v>9.3428240757490719E-2</v>
      </c>
      <c r="E44" s="7">
        <f t="shared" ca="1" si="3"/>
        <v>0.20627677129333588</v>
      </c>
      <c r="F44" s="7">
        <f t="shared" ca="1" si="4"/>
        <v>1.6423033104279252E-2</v>
      </c>
      <c r="G44" s="7">
        <f t="shared" ca="1" si="0"/>
        <v>220.22362416702862</v>
      </c>
      <c r="H44" s="7">
        <f ca="1">(G44+DCF!$D$40+DCF!$D$41+DCF!$D$42-DCF!$D$43-DCF!$D$44)/DCF!$C$35</f>
        <v>1.8850356934587911</v>
      </c>
    </row>
    <row r="45" spans="3:8" x14ac:dyDescent="0.35">
      <c r="C45" s="8">
        <f t="shared" ca="1" si="1"/>
        <v>0.81080854064711105</v>
      </c>
      <c r="D45" s="7">
        <f t="shared" ca="1" si="2"/>
        <v>9.5469422976432627E-2</v>
      </c>
      <c r="E45" s="7">
        <f t="shared" ca="1" si="3"/>
        <v>0.7728485748749635</v>
      </c>
      <c r="F45" s="7">
        <f t="shared" ca="1" si="4"/>
        <v>2.3259800817111761E-2</v>
      </c>
      <c r="G45" s="7">
        <f t="shared" ca="1" si="0"/>
        <v>228.12457082148023</v>
      </c>
      <c r="H45" s="7">
        <f ca="1">(G45+DCF!$D$40+DCF!$D$41+DCF!$D$42-DCF!$D$43-DCF!$D$44)/DCF!$C$35</f>
        <v>1.9296284615728649</v>
      </c>
    </row>
    <row r="46" spans="3:8" x14ac:dyDescent="0.35">
      <c r="C46" s="8">
        <f t="shared" ca="1" si="1"/>
        <v>0.22963299519834091</v>
      </c>
      <c r="D46" s="7">
        <f t="shared" ca="1" si="2"/>
        <v>8.0542408153548087E-2</v>
      </c>
      <c r="E46" s="7">
        <f t="shared" ca="1" si="3"/>
        <v>6.631676106174178E-2</v>
      </c>
      <c r="F46" s="7">
        <f t="shared" ca="1" si="4"/>
        <v>1.3641888550237137E-2</v>
      </c>
      <c r="G46" s="7">
        <f t="shared" ca="1" si="0"/>
        <v>259.28452380986278</v>
      </c>
      <c r="H46" s="7">
        <f ca="1">(G46+DCF!$D$40+DCF!$D$41+DCF!$D$42-DCF!$D$43-DCF!$D$44)/DCF!$C$35</f>
        <v>2.1054945468442416</v>
      </c>
    </row>
    <row r="47" spans="3:8" x14ac:dyDescent="0.35">
      <c r="C47" s="8">
        <f t="shared" ca="1" si="1"/>
        <v>0.30085982366226616</v>
      </c>
      <c r="D47" s="7">
        <f t="shared" ca="1" si="2"/>
        <v>8.2067151886528023E-2</v>
      </c>
      <c r="E47" s="7">
        <f t="shared" ca="1" si="3"/>
        <v>0.23919145817872967</v>
      </c>
      <c r="F47" s="7">
        <f t="shared" ca="1" si="4"/>
        <v>1.6916523088644029E-2</v>
      </c>
      <c r="G47" s="7">
        <f t="shared" ca="1" si="0"/>
        <v>262.37118717878036</v>
      </c>
      <c r="H47" s="7">
        <f ca="1">(G47+DCF!$D$40+DCF!$D$41+DCF!$D$42-DCF!$D$43-DCF!$D$44)/DCF!$C$35</f>
        <v>2.1229156066078585</v>
      </c>
    </row>
    <row r="48" spans="3:8" x14ac:dyDescent="0.35">
      <c r="C48" s="8">
        <f t="shared" ca="1" si="1"/>
        <v>0.37442082680996513</v>
      </c>
      <c r="D48" s="7">
        <f t="shared" ca="1" si="2"/>
        <v>8.3577540665561084E-2</v>
      </c>
      <c r="E48" s="7">
        <f t="shared" ca="1" si="3"/>
        <v>0.69370110428060017</v>
      </c>
      <c r="F48" s="7">
        <f t="shared" ca="1" si="4"/>
        <v>2.2173137337101159E-2</v>
      </c>
      <c r="G48" s="7">
        <f t="shared" ca="1" si="0"/>
        <v>272.06894386959868</v>
      </c>
      <c r="H48" s="7">
        <f ca="1">(G48+DCF!$D$40+DCF!$D$41+DCF!$D$42-DCF!$D$43-DCF!$D$44)/DCF!$C$35</f>
        <v>2.1776495308138539</v>
      </c>
    </row>
    <row r="49" spans="3:8" x14ac:dyDescent="0.35">
      <c r="C49" s="8">
        <f t="shared" ca="1" si="1"/>
        <v>0.35229376895402686</v>
      </c>
      <c r="D49" s="7">
        <f t="shared" ca="1" si="2"/>
        <v>8.3114313216000865E-2</v>
      </c>
      <c r="E49" s="7">
        <f t="shared" ca="1" si="3"/>
        <v>0.87474445328894457</v>
      </c>
      <c r="F49" s="7">
        <f t="shared" ca="1" si="4"/>
        <v>2.4994891675277037E-2</v>
      </c>
      <c r="G49" s="7">
        <f t="shared" ca="1" si="0"/>
        <v>284.18417254926362</v>
      </c>
      <c r="H49" s="7">
        <f ca="1">(G49+DCF!$D$40+DCF!$D$41+DCF!$D$42-DCF!$D$43-DCF!$D$44)/DCF!$C$35</f>
        <v>2.2460276134397992</v>
      </c>
    </row>
    <row r="50" spans="3:8" x14ac:dyDescent="0.35">
      <c r="C50" s="8">
        <f t="shared" ca="1" si="1"/>
        <v>0.98056052635744673</v>
      </c>
      <c r="D50" s="7">
        <f t="shared" ca="1" si="2"/>
        <v>0.1053422695886205</v>
      </c>
      <c r="E50" s="7">
        <f t="shared" ca="1" si="3"/>
        <v>0.57402526804400689</v>
      </c>
      <c r="F50" s="7">
        <f t="shared" ca="1" si="4"/>
        <v>2.0769889145237821E-2</v>
      </c>
      <c r="G50" s="7">
        <f t="shared" ca="1" si="0"/>
        <v>195.18643662058815</v>
      </c>
      <c r="H50" s="7">
        <f ca="1">(G50+DCF!$D$40+DCF!$D$41+DCF!$D$42-DCF!$D$43-DCF!$D$44)/DCF!$C$35</f>
        <v>1.7437263608792648</v>
      </c>
    </row>
    <row r="51" spans="3:8" x14ac:dyDescent="0.35">
      <c r="C51" s="8">
        <f t="shared" ca="1" si="1"/>
        <v>1.1680611936686458E-2</v>
      </c>
      <c r="D51" s="7">
        <f t="shared" ca="1" si="2"/>
        <v>7.2377691354519394E-2</v>
      </c>
      <c r="E51" s="7">
        <f t="shared" ca="1" si="3"/>
        <v>0.59360260091413719</v>
      </c>
      <c r="F51" s="7">
        <f t="shared" ca="1" si="4"/>
        <v>2.0984486713604568E-2</v>
      </c>
      <c r="G51" s="7">
        <f t="shared" ca="1" si="0"/>
        <v>329.81196893933128</v>
      </c>
      <c r="H51" s="7">
        <f ca="1">(G51+DCF!$D$40+DCF!$D$41+DCF!$D$42-DCF!$D$43-DCF!$D$44)/DCF!$C$35</f>
        <v>2.5035498867780293</v>
      </c>
    </row>
    <row r="52" spans="3:8" x14ac:dyDescent="0.35">
      <c r="C52" s="8">
        <f t="shared" ca="1" si="1"/>
        <v>0.76152948361700135</v>
      </c>
      <c r="D52" s="7">
        <f t="shared" ca="1" si="2"/>
        <v>9.368641375161714E-2</v>
      </c>
      <c r="E52" s="7">
        <f t="shared" ca="1" si="3"/>
        <v>2.4446713857675384E-2</v>
      </c>
      <c r="F52" s="7">
        <f t="shared" ca="1" si="4"/>
        <v>1.2211185829263355E-2</v>
      </c>
      <c r="G52" s="7">
        <f t="shared" ca="1" si="0"/>
        <v>211.56222054805153</v>
      </c>
      <c r="H52" s="7">
        <f ca="1">(G52+DCF!$D$40+DCF!$D$41+DCF!$D$42-DCF!$D$43-DCF!$D$44)/DCF!$C$35</f>
        <v>1.8361509230615842</v>
      </c>
    </row>
    <row r="53" spans="3:8" x14ac:dyDescent="0.35">
      <c r="C53" s="8">
        <f t="shared" ca="1" si="1"/>
        <v>0.41617854626918616</v>
      </c>
      <c r="D53" s="7">
        <f t="shared" ca="1" si="2"/>
        <v>8.4474625519620913E-2</v>
      </c>
      <c r="E53" s="7">
        <f t="shared" ca="1" si="3"/>
        <v>4.630121805193399E-2</v>
      </c>
      <c r="F53" s="7">
        <f t="shared" ca="1" si="4"/>
        <v>1.3043064838347483E-2</v>
      </c>
      <c r="G53" s="7">
        <f t="shared" ca="1" si="0"/>
        <v>242.54289925336531</v>
      </c>
      <c r="H53" s="7">
        <f ca="1">(G53+DCF!$D$40+DCF!$D$41+DCF!$D$42-DCF!$D$43-DCF!$D$44)/DCF!$C$35</f>
        <v>2.0110051882456559</v>
      </c>
    </row>
    <row r="54" spans="3:8" x14ac:dyDescent="0.35">
      <c r="C54" s="8">
        <f t="shared" ca="1" si="1"/>
        <v>0.16753127027822634</v>
      </c>
      <c r="D54" s="7">
        <f t="shared" ca="1" si="2"/>
        <v>7.9004728469790841E-2</v>
      </c>
      <c r="E54" s="7">
        <f t="shared" ca="1" si="3"/>
        <v>0.691918006806999</v>
      </c>
      <c r="F54" s="7">
        <f t="shared" ca="1" si="4"/>
        <v>2.2150388631365231E-2</v>
      </c>
      <c r="G54" s="7">
        <f t="shared" ca="1" si="0"/>
        <v>294.99316187321898</v>
      </c>
      <c r="H54" s="7">
        <f ca="1">(G54+DCF!$D$40+DCF!$D$41+DCF!$D$42-DCF!$D$43-DCF!$D$44)/DCF!$C$35</f>
        <v>2.3070333100418723</v>
      </c>
    </row>
    <row r="55" spans="3:8" x14ac:dyDescent="0.35">
      <c r="C55" s="8">
        <f t="shared" ca="1" si="1"/>
        <v>0.59634651113523718</v>
      </c>
      <c r="D55" s="7">
        <f t="shared" ca="1" si="2"/>
        <v>8.8775549628480943E-2</v>
      </c>
      <c r="E55" s="7">
        <f t="shared" ca="1" si="3"/>
        <v>0.96175622170454123</v>
      </c>
      <c r="F55" s="7">
        <f t="shared" ca="1" si="4"/>
        <v>2.7234361618162679E-2</v>
      </c>
      <c r="G55" s="7">
        <f t="shared" ca="1" si="0"/>
        <v>264.70045839213356</v>
      </c>
      <c r="H55" s="7">
        <f ca="1">(G55+DCF!$D$40+DCF!$D$41+DCF!$D$42-DCF!$D$43-DCF!$D$44)/DCF!$C$35</f>
        <v>2.1360619618023113</v>
      </c>
    </row>
    <row r="56" spans="3:8" x14ac:dyDescent="0.35">
      <c r="C56" s="8">
        <f t="shared" ca="1" si="1"/>
        <v>0.68941856007844426</v>
      </c>
      <c r="D56" s="7">
        <f t="shared" ca="1" si="2"/>
        <v>9.1382564973862379E-2</v>
      </c>
      <c r="E56" s="7">
        <f t="shared" ca="1" si="3"/>
        <v>0.30134204200029824</v>
      </c>
      <c r="F56" s="7">
        <f t="shared" ca="1" si="4"/>
        <v>1.7763273046857212E-2</v>
      </c>
      <c r="G56" s="7">
        <f t="shared" ca="1" si="0"/>
        <v>229.52961683464378</v>
      </c>
      <c r="H56" s="7">
        <f ca="1">(G56+DCF!$D$40+DCF!$D$41+DCF!$D$42-DCF!$D$43-DCF!$D$44)/DCF!$C$35</f>
        <v>1.9375585101853694</v>
      </c>
    </row>
    <row r="57" spans="3:8" x14ac:dyDescent="0.35">
      <c r="C57" s="8">
        <f t="shared" ca="1" si="1"/>
        <v>0.41667703347629637</v>
      </c>
      <c r="D57" s="7">
        <f t="shared" ca="1" si="2"/>
        <v>8.4485525076136631E-2</v>
      </c>
      <c r="E57" s="7">
        <f t="shared" ca="1" si="3"/>
        <v>0.9218310267625619</v>
      </c>
      <c r="F57" s="7">
        <f t="shared" ca="1" si="4"/>
        <v>2.6046040636591265E-2</v>
      </c>
      <c r="G57" s="7">
        <f t="shared" ca="1" si="0"/>
        <v>281.07492780887384</v>
      </c>
      <c r="H57" s="7">
        <f ca="1">(G57+DCF!$D$40+DCF!$D$41+DCF!$D$42-DCF!$D$43-DCF!$D$44)/DCF!$C$35</f>
        <v>2.2284791049151926</v>
      </c>
    </row>
    <row r="58" spans="3:8" x14ac:dyDescent="0.35">
      <c r="C58" s="8">
        <f t="shared" ca="1" si="1"/>
        <v>0.2772174887721317</v>
      </c>
      <c r="D58" s="7">
        <f t="shared" ca="1" si="2"/>
        <v>8.1583318374529465E-2</v>
      </c>
      <c r="E58" s="7">
        <f t="shared" ca="1" si="3"/>
        <v>0.82242122465400069</v>
      </c>
      <c r="F58" s="7">
        <f t="shared" ca="1" si="4"/>
        <v>2.4040490366716415E-2</v>
      </c>
      <c r="G58" s="7">
        <f t="shared" ca="1" si="0"/>
        <v>288.54216241827459</v>
      </c>
      <c r="H58" s="7">
        <f ca="1">(G58+DCF!$D$40+DCF!$D$41+DCF!$D$42-DCF!$D$43-DCF!$D$44)/DCF!$C$35</f>
        <v>2.2706240118426151</v>
      </c>
    </row>
    <row r="59" spans="3:8" x14ac:dyDescent="0.35">
      <c r="C59" s="8">
        <f t="shared" ca="1" si="1"/>
        <v>0.29176099723665838</v>
      </c>
      <c r="D59" s="7">
        <f t="shared" ca="1" si="2"/>
        <v>8.1883279120787439E-2</v>
      </c>
      <c r="E59" s="7">
        <f t="shared" ca="1" si="3"/>
        <v>0.4344639061765212</v>
      </c>
      <c r="F59" s="7">
        <f t="shared" ca="1" si="4"/>
        <v>1.9321629752103664E-2</v>
      </c>
      <c r="G59" s="7">
        <f t="shared" ca="1" si="0"/>
        <v>270.59164719083515</v>
      </c>
      <c r="H59" s="7">
        <f ca="1">(G59+DCF!$D$40+DCF!$D$41+DCF!$D$42-DCF!$D$43-DCF!$D$44)/DCF!$C$35</f>
        <v>2.1693117010432053</v>
      </c>
    </row>
    <row r="60" spans="3:8" x14ac:dyDescent="0.35">
      <c r="C60" s="8">
        <f t="shared" ca="1" si="1"/>
        <v>0.98636265488904407</v>
      </c>
      <c r="D60" s="7">
        <f t="shared" ca="1" si="2"/>
        <v>0.10609881080389238</v>
      </c>
      <c r="E60" s="7">
        <f t="shared" ca="1" si="3"/>
        <v>0.25387228485726665</v>
      </c>
      <c r="F60" s="7">
        <f t="shared" ca="1" si="4"/>
        <v>1.7125619760515805E-2</v>
      </c>
      <c r="G60" s="7">
        <f t="shared" ca="1" si="0"/>
        <v>188.05906443771076</v>
      </c>
      <c r="H60" s="7">
        <f ca="1">(G60+DCF!$D$40+DCF!$D$41+DCF!$D$42-DCF!$D$43-DCF!$D$44)/DCF!$C$35</f>
        <v>1.7034996299678897</v>
      </c>
    </row>
    <row r="61" spans="3:8" x14ac:dyDescent="0.35">
      <c r="C61" s="8">
        <f t="shared" ca="1" si="1"/>
        <v>0.69990931452266647</v>
      </c>
      <c r="D61" s="7">
        <f t="shared" ca="1" si="2"/>
        <v>9.1699693855219144E-2</v>
      </c>
      <c r="E61" s="7">
        <f t="shared" ca="1" si="3"/>
        <v>0.59522102756723605</v>
      </c>
      <c r="F61" s="7">
        <f t="shared" ca="1" si="4"/>
        <v>2.1002456197019501E-2</v>
      </c>
      <c r="G61" s="7">
        <f t="shared" ca="1" si="0"/>
        <v>235.85863248387281</v>
      </c>
      <c r="H61" s="7">
        <f ca="1">(G61+DCF!$D$40+DCF!$D$41+DCF!$D$42-DCF!$D$43-DCF!$D$44)/DCF!$C$35</f>
        <v>1.973279334483987</v>
      </c>
    </row>
    <row r="62" spans="3:8" x14ac:dyDescent="0.35">
      <c r="C62" s="8">
        <f t="shared" ca="1" si="1"/>
        <v>0.19540435309965853</v>
      </c>
      <c r="D62" s="7">
        <f t="shared" ca="1" si="2"/>
        <v>7.9725004210808081E-2</v>
      </c>
      <c r="E62" s="7">
        <f t="shared" ca="1" si="3"/>
        <v>0.94017107193750704</v>
      </c>
      <c r="F62" s="7">
        <f t="shared" ca="1" si="4"/>
        <v>2.654084033145352E-2</v>
      </c>
      <c r="G62" s="7">
        <f t="shared" ca="1" si="0"/>
        <v>309.35929345970533</v>
      </c>
      <c r="H62" s="7">
        <f ca="1">(G62+DCF!$D$40+DCF!$D$41+DCF!$D$42-DCF!$D$43-DCF!$D$44)/DCF!$C$35</f>
        <v>2.3881154388740562</v>
      </c>
    </row>
    <row r="63" spans="3:8" x14ac:dyDescent="0.35">
      <c r="C63" s="8">
        <f t="shared" ca="1" si="1"/>
        <v>0.61897036659594906</v>
      </c>
      <c r="D63" s="7">
        <f t="shared" ca="1" si="2"/>
        <v>8.9378916835458899E-2</v>
      </c>
      <c r="E63" s="7">
        <f t="shared" ca="1" si="3"/>
        <v>0.47540686325394443</v>
      </c>
      <c r="F63" s="7">
        <f t="shared" ca="1" si="4"/>
        <v>1.9750967780214887E-2</v>
      </c>
      <c r="G63" s="7">
        <f t="shared" ca="1" si="0"/>
        <v>241.16182325706103</v>
      </c>
      <c r="H63" s="7">
        <f ca="1">(G63+DCF!$D$40+DCF!$D$41+DCF!$D$42-DCF!$D$43-DCF!$D$44)/DCF!$C$35</f>
        <v>2.0032104258779828</v>
      </c>
    </row>
    <row r="64" spans="3:8" x14ac:dyDescent="0.35">
      <c r="C64" s="8">
        <f t="shared" ca="1" si="1"/>
        <v>0.50034786906046769</v>
      </c>
      <c r="D64" s="7">
        <f t="shared" ca="1" si="2"/>
        <v>8.638619517891033E-2</v>
      </c>
      <c r="E64" s="7">
        <f t="shared" ca="1" si="3"/>
        <v>0.42088715762032758</v>
      </c>
      <c r="F64" s="7">
        <f t="shared" ca="1" si="4"/>
        <v>1.9174825966963377E-2</v>
      </c>
      <c r="G64" s="7">
        <f t="shared" ca="1" si="0"/>
        <v>251.05270613566012</v>
      </c>
      <c r="H64" s="7">
        <f ca="1">(G64+DCF!$D$40+DCF!$D$41+DCF!$D$42-DCF!$D$43-DCF!$D$44)/DCF!$C$35</f>
        <v>2.0590343500150134</v>
      </c>
    </row>
    <row r="65" spans="3:8" x14ac:dyDescent="0.35">
      <c r="C65" s="8">
        <f t="shared" ca="1" si="1"/>
        <v>0.70922150839000475</v>
      </c>
      <c r="D65" s="7">
        <f t="shared" ca="1" si="2"/>
        <v>9.198587230430641E-2</v>
      </c>
      <c r="E65" s="7">
        <f t="shared" ca="1" si="3"/>
        <v>1.9250744200018932E-2</v>
      </c>
      <c r="F65" s="7">
        <f t="shared" ca="1" si="4"/>
        <v>1.1962179614613246E-2</v>
      </c>
      <c r="G65" s="7">
        <f t="shared" ca="1" si="0"/>
        <v>215.94077993241939</v>
      </c>
      <c r="H65" s="7">
        <f ca="1">(G65+DCF!$D$40+DCF!$D$41+DCF!$D$42-DCF!$D$43-DCF!$D$44)/DCF!$C$35</f>
        <v>1.8608634153539867</v>
      </c>
    </row>
    <row r="66" spans="3:8" x14ac:dyDescent="0.35">
      <c r="C66" s="8">
        <f t="shared" ca="1" si="1"/>
        <v>5.7948651323168843E-2</v>
      </c>
      <c r="D66" s="7">
        <f t="shared" ca="1" si="2"/>
        <v>7.5295955743811857E-2</v>
      </c>
      <c r="E66" s="7">
        <f t="shared" ca="1" si="3"/>
        <v>0.44742835646651002</v>
      </c>
      <c r="F66" s="7">
        <f t="shared" ca="1" si="4"/>
        <v>1.9459686638219155E-2</v>
      </c>
      <c r="G66" s="7">
        <f t="shared" ca="1" si="0"/>
        <v>304.75062077751136</v>
      </c>
      <c r="H66" s="7">
        <f ca="1">(G66+DCF!$D$40+DCF!$D$41+DCF!$D$42-DCF!$D$43-DCF!$D$44)/DCF!$C$35</f>
        <v>2.3621041922198405</v>
      </c>
    </row>
    <row r="67" spans="3:8" x14ac:dyDescent="0.35">
      <c r="C67" s="8">
        <f t="shared" ca="1" si="1"/>
        <v>0.3438634713514952</v>
      </c>
      <c r="D67" s="7">
        <f t="shared" ca="1" si="2"/>
        <v>8.2939911937103178E-2</v>
      </c>
      <c r="E67" s="7">
        <f t="shared" ca="1" si="3"/>
        <v>0.42375790919861034</v>
      </c>
      <c r="F67" s="7">
        <f t="shared" ca="1" si="4"/>
        <v>1.9206062233100646E-2</v>
      </c>
      <c r="G67" s="7">
        <f t="shared" ca="1" si="0"/>
        <v>265.49950784377631</v>
      </c>
      <c r="H67" s="7">
        <f ca="1">(G67+DCF!$D$40+DCF!$D$41+DCF!$D$42-DCF!$D$43-DCF!$D$44)/DCF!$C$35</f>
        <v>2.1405717792288987</v>
      </c>
    </row>
    <row r="68" spans="3:8" x14ac:dyDescent="0.35">
      <c r="C68" s="8">
        <f t="shared" ca="1" si="1"/>
        <v>8.8852758840352486E-2</v>
      </c>
      <c r="D68" s="7">
        <f t="shared" ca="1" si="2"/>
        <v>7.6557799575980551E-2</v>
      </c>
      <c r="E68" s="7">
        <f t="shared" ca="1" si="3"/>
        <v>0.85379546797045658</v>
      </c>
      <c r="F68" s="7">
        <f t="shared" ca="1" si="4"/>
        <v>2.4592513855227302E-2</v>
      </c>
      <c r="G68" s="7">
        <f t="shared" ca="1" si="0"/>
        <v>320.07523999128813</v>
      </c>
      <c r="H68" s="7">
        <f ca="1">(G68+DCF!$D$40+DCF!$D$41+DCF!$D$42-DCF!$D$43-DCF!$D$44)/DCF!$C$35</f>
        <v>2.4485960040144943</v>
      </c>
    </row>
    <row r="69" spans="3:8" x14ac:dyDescent="0.35">
      <c r="C69" s="8">
        <f t="shared" ca="1" si="1"/>
        <v>0.84630250145378494</v>
      </c>
      <c r="D69" s="7">
        <f t="shared" ca="1" si="2"/>
        <v>9.6903190908561893E-2</v>
      </c>
      <c r="E69" s="7">
        <f t="shared" ca="1" si="3"/>
        <v>0.27127672039374739</v>
      </c>
      <c r="F69" s="7">
        <f t="shared" ca="1" si="4"/>
        <v>1.7365822702098486E-2</v>
      </c>
      <c r="G69" s="7">
        <f t="shared" ca="1" si="0"/>
        <v>211.79143754182607</v>
      </c>
      <c r="H69" s="7">
        <f ca="1">(G69+DCF!$D$40+DCF!$D$41+DCF!$D$42-DCF!$D$43-DCF!$D$44)/DCF!$C$35</f>
        <v>1.837444618703161</v>
      </c>
    </row>
    <row r="70" spans="3:8" x14ac:dyDescent="0.35">
      <c r="C70" s="8">
        <f t="shared" ca="1" si="1"/>
        <v>5.2385038383769511E-2</v>
      </c>
      <c r="D70" s="7">
        <f t="shared" ca="1" si="2"/>
        <v>7.5035311169902461E-2</v>
      </c>
      <c r="E70" s="7">
        <f t="shared" ca="1" si="3"/>
        <v>0.43482819022669628</v>
      </c>
      <c r="F70" s="7">
        <f t="shared" ca="1" si="4"/>
        <v>1.9325536877056425E-2</v>
      </c>
      <c r="G70" s="7">
        <f t="shared" ca="1" si="0"/>
        <v>305.68436774001151</v>
      </c>
      <c r="H70" s="7">
        <f ca="1">(G70+DCF!$D$40+DCF!$D$41+DCF!$D$42-DCF!$D$43-DCF!$D$44)/DCF!$C$35</f>
        <v>2.3673742394176065</v>
      </c>
    </row>
    <row r="71" spans="3:8" x14ac:dyDescent="0.35">
      <c r="C71" s="8">
        <f t="shared" ca="1" si="1"/>
        <v>5.0770363365942983E-2</v>
      </c>
      <c r="D71" s="7">
        <f t="shared" ca="1" si="2"/>
        <v>7.4957101559290112E-2</v>
      </c>
      <c r="E71" s="7">
        <f t="shared" ca="1" si="3"/>
        <v>0.29705999557962381</v>
      </c>
      <c r="F71" s="7">
        <f t="shared" ca="1" si="4"/>
        <v>1.7707917949480571E-2</v>
      </c>
      <c r="G71" s="7">
        <f t="shared" ca="1" si="0"/>
        <v>299.50281730890714</v>
      </c>
      <c r="H71" s="7">
        <f ca="1">(G71+DCF!$D$40+DCF!$D$41+DCF!$D$42-DCF!$D$43-DCF!$D$44)/DCF!$C$35</f>
        <v>2.3324857055475059</v>
      </c>
    </row>
    <row r="72" spans="3:8" x14ac:dyDescent="0.35">
      <c r="C72" s="8">
        <f t="shared" ca="1" si="1"/>
        <v>0.3996145779123812</v>
      </c>
      <c r="D72" s="7">
        <f t="shared" ca="1" si="2"/>
        <v>8.4115059763449671E-2</v>
      </c>
      <c r="E72" s="7">
        <f t="shared" ca="1" si="3"/>
        <v>0.93854757311644232</v>
      </c>
      <c r="F72" s="7">
        <f t="shared" ca="1" si="4"/>
        <v>2.6494221145492554E-2</v>
      </c>
      <c r="G72" s="7">
        <f t="shared" ca="1" si="0"/>
        <v>284.61270688286606</v>
      </c>
      <c r="H72" s="7">
        <f ca="1">(G72+DCF!$D$40+DCF!$D$41+DCF!$D$42-DCF!$D$43-DCF!$D$44)/DCF!$C$35</f>
        <v>2.2484462517375889</v>
      </c>
    </row>
    <row r="73" spans="3:8" x14ac:dyDescent="0.35">
      <c r="C73" s="8">
        <f t="shared" ca="1" si="1"/>
        <v>0.84437772814142065</v>
      </c>
      <c r="D73" s="7">
        <f t="shared" ca="1" si="2"/>
        <v>9.682143955531658E-2</v>
      </c>
      <c r="E73" s="7">
        <f t="shared" ca="1" si="3"/>
        <v>0.56268822949686981</v>
      </c>
      <c r="F73" s="7">
        <f t="shared" ca="1" si="4"/>
        <v>2.0647869007513527E-2</v>
      </c>
      <c r="G73" s="7">
        <f t="shared" ca="1" si="0"/>
        <v>218.29920298394771</v>
      </c>
      <c r="H73" s="7">
        <f ca="1">(G73+DCF!$D$40+DCF!$D$41+DCF!$D$42-DCF!$D$43-DCF!$D$44)/DCF!$C$35</f>
        <v>1.8741743028781332</v>
      </c>
    </row>
    <row r="74" spans="3:8" x14ac:dyDescent="0.35">
      <c r="C74" s="8">
        <f t="shared" ca="1" si="1"/>
        <v>0.97278468536238349</v>
      </c>
      <c r="D74" s="7">
        <f t="shared" ca="1" si="2"/>
        <v>0.10448889383738799</v>
      </c>
      <c r="E74" s="7">
        <f t="shared" ca="1" si="3"/>
        <v>0.23145597456536104</v>
      </c>
      <c r="F74" s="7">
        <f t="shared" ca="1" si="4"/>
        <v>1.6803763290493885E-2</v>
      </c>
      <c r="G74" s="7">
        <f t="shared" ca="1" si="0"/>
        <v>191.31330776972305</v>
      </c>
      <c r="H74" s="7">
        <f ca="1">(G74+DCF!$D$40+DCF!$D$41+DCF!$D$42-DCF!$D$43-DCF!$D$44)/DCF!$C$35</f>
        <v>1.7218665073356081</v>
      </c>
    </row>
    <row r="75" spans="3:8" x14ac:dyDescent="0.35">
      <c r="C75" s="8">
        <f t="shared" ca="1" si="1"/>
        <v>0.19730517609160658</v>
      </c>
      <c r="D75" s="7">
        <f t="shared" ca="1" si="2"/>
        <v>7.9772190400741155E-2</v>
      </c>
      <c r="E75" s="7">
        <f t="shared" ca="1" si="3"/>
        <v>9.6660207672137899E-2</v>
      </c>
      <c r="F75" s="7">
        <f t="shared" ca="1" si="4"/>
        <v>1.4396821753770283E-2</v>
      </c>
      <c r="G75" s="7">
        <f t="shared" ca="1" si="0"/>
        <v>264.71098341035503</v>
      </c>
      <c r="H75" s="7">
        <f ca="1">(G75+DCF!$D$40+DCF!$D$41+DCF!$D$42-DCF!$D$43-DCF!$D$44)/DCF!$C$35</f>
        <v>2.1361213647722939</v>
      </c>
    </row>
    <row r="76" spans="3:8" x14ac:dyDescent="0.35">
      <c r="C76" s="8">
        <f t="shared" ca="1" si="1"/>
        <v>0.98276260038996088</v>
      </c>
      <c r="D76" s="7">
        <f t="shared" ca="1" si="2"/>
        <v>0.10561400661596444</v>
      </c>
      <c r="E76" s="7">
        <f t="shared" ca="1" si="3"/>
        <v>0.77611667832039088</v>
      </c>
      <c r="F76" s="7">
        <f t="shared" ca="1" si="4"/>
        <v>2.3308463230623192E-2</v>
      </c>
      <c r="G76" s="7">
        <f t="shared" ca="1" si="0"/>
        <v>198.52946110807142</v>
      </c>
      <c r="H76" s="7">
        <f ca="1">(G76+DCF!$D$40+DCF!$D$41+DCF!$D$42-DCF!$D$43-DCF!$D$44)/DCF!$C$35</f>
        <v>1.7625943171242318</v>
      </c>
    </row>
    <row r="77" spans="3:8" x14ac:dyDescent="0.35">
      <c r="C77" s="8">
        <f t="shared" ca="1" si="1"/>
        <v>8.3655649359400841E-2</v>
      </c>
      <c r="D77" s="7">
        <f t="shared" ca="1" si="2"/>
        <v>7.6363122998178656E-2</v>
      </c>
      <c r="E77" s="7">
        <f t="shared" ca="1" si="3"/>
        <v>8.2892518309180985E-2</v>
      </c>
      <c r="F77" s="7">
        <f t="shared" ca="1" si="4"/>
        <v>1.4071670868554603E-2</v>
      </c>
      <c r="G77" s="7">
        <f t="shared" ca="1" si="0"/>
        <v>279.06179178481443</v>
      </c>
      <c r="H77" s="7">
        <f ca="1">(G77+DCF!$D$40+DCF!$D$41+DCF!$D$42-DCF!$D$43-DCF!$D$44)/DCF!$C$35</f>
        <v>2.2171170097348143</v>
      </c>
    </row>
    <row r="78" spans="3:8" x14ac:dyDescent="0.35">
      <c r="C78" s="8">
        <f t="shared" ca="1" si="1"/>
        <v>0.51659684303742714</v>
      </c>
      <c r="D78" s="7">
        <f t="shared" ca="1" si="2"/>
        <v>8.6773335944001107E-2</v>
      </c>
      <c r="E78" s="7">
        <f t="shared" ca="1" si="3"/>
        <v>1.5881150922326892E-2</v>
      </c>
      <c r="F78" s="7">
        <f t="shared" ca="1" si="4"/>
        <v>1.1782198132774631E-2</v>
      </c>
      <c r="G78" s="7">
        <f t="shared" ca="1" si="0"/>
        <v>231.69870412267568</v>
      </c>
      <c r="H78" s="7">
        <f ca="1">(G78+DCF!$D$40+DCF!$D$41+DCF!$D$42-DCF!$D$43-DCF!$D$44)/DCF!$C$35</f>
        <v>1.9498007908492814</v>
      </c>
    </row>
    <row r="79" spans="3:8" x14ac:dyDescent="0.35">
      <c r="C79" s="8">
        <f t="shared" ca="1" si="1"/>
        <v>0.64453777478611052</v>
      </c>
      <c r="D79" s="7">
        <f t="shared" ca="1" si="2"/>
        <v>9.0082775209916907E-2</v>
      </c>
      <c r="E79" s="7">
        <f t="shared" ca="1" si="3"/>
        <v>0.50984293815177295</v>
      </c>
      <c r="F79" s="7">
        <f t="shared" ca="1" si="4"/>
        <v>2.0098918626248678E-2</v>
      </c>
      <c r="G79" s="7">
        <f t="shared" ca="1" si="0"/>
        <v>239.45639233523247</v>
      </c>
      <c r="H79" s="7">
        <f ca="1">(G79+DCF!$D$40+DCF!$D$41+DCF!$D$42-DCF!$D$43-DCF!$D$44)/DCF!$C$35</f>
        <v>1.993585011486807</v>
      </c>
    </row>
    <row r="80" spans="3:8" x14ac:dyDescent="0.35">
      <c r="C80" s="8">
        <f t="shared" ca="1" si="1"/>
        <v>0.98340887733436255</v>
      </c>
      <c r="D80" s="7">
        <f t="shared" ca="1" si="2"/>
        <v>0.10569701349120737</v>
      </c>
      <c r="E80" s="7">
        <f t="shared" ca="1" si="3"/>
        <v>0.43642886931744018</v>
      </c>
      <c r="F80" s="7">
        <f t="shared" ca="1" si="4"/>
        <v>1.9342685580896322E-2</v>
      </c>
      <c r="G80" s="7">
        <f t="shared" ref="G80:G143" ca="1" si="5">$C$11/(1+D80)^1
 +$D$11/(1+D80)^2
 +$E$11/(1+D80)^3
 +$F$11/(1+D80)^4
 +$G$11/(1+D80)^5
 +$H$11/(1+D80)^6
 +$I$11/(1+D80)^7
 + ( $I$11*(1+F80)/(D80-F80) )/(1+D80)^7</f>
        <v>192.1708644867947</v>
      </c>
      <c r="H80" s="7">
        <f ca="1">(G80+DCF!$D$40+DCF!$D$41+DCF!$D$42-DCF!$D$43-DCF!$D$44)/DCF!$C$35</f>
        <v>1.7267065384738385</v>
      </c>
    </row>
    <row r="81" spans="3:8" x14ac:dyDescent="0.35">
      <c r="C81" s="8">
        <f t="shared" ref="C81:C144" ca="1" si="6">RAND()</f>
        <v>0.12528288426034984</v>
      </c>
      <c r="D81" s="7">
        <f t="shared" ref="D81:D144" ca="1" si="7">IF(C81&lt;($C$6-0.07)/(0.11-0.07),0.07+SQRT(C81*(0.11-0.07)*($C$6-0.07)),0.11-SQRT((1-C81)*(0.11-0.07)*(0.11-$C$6)))</f>
        <v>7.7786970911850731E-2</v>
      </c>
      <c r="E81" s="7">
        <f t="shared" ref="E81:E144" ca="1" si="8">RAND()</f>
        <v>0.35750496409158283</v>
      </c>
      <c r="F81" s="7">
        <f t="shared" ref="F81:F144" ca="1" si="9">MIN(
 IF(E81&lt;(0.02-0.01)/(0.03-0.01),
   0.01+SQRT(E81*(0.03-0.01)*(0.02-0.01)),
   0.03-SQRT((1-E81)*(0.03-0.01)*(0.03-0.02))
 ),
 D81-0.005
)</f>
        <v>1.8455825969017844E-2</v>
      </c>
      <c r="G81" s="7">
        <f t="shared" ca="1" si="5"/>
        <v>287.37236551591661</v>
      </c>
      <c r="H81" s="7">
        <f ca="1">(G81+DCF!$D$40+DCF!$D$41+DCF!$D$42-DCF!$D$43-DCF!$D$44)/DCF!$C$35</f>
        <v>2.2640217040067534</v>
      </c>
    </row>
    <row r="82" spans="3:8" x14ac:dyDescent="0.35">
      <c r="C82" s="8">
        <f t="shared" ca="1" si="6"/>
        <v>0.95489694354014987</v>
      </c>
      <c r="D82" s="7">
        <f t="shared" ca="1" si="7"/>
        <v>0.10290528288025572</v>
      </c>
      <c r="E82" s="7">
        <f t="shared" ca="1" si="8"/>
        <v>0.37165784626309828</v>
      </c>
      <c r="F82" s="7">
        <f t="shared" ca="1" si="9"/>
        <v>1.8621575798693626E-2</v>
      </c>
      <c r="G82" s="7">
        <f t="shared" ca="1" si="5"/>
        <v>197.89339539566043</v>
      </c>
      <c r="H82" s="7">
        <f ca="1">(G82+DCF!$D$40+DCF!$D$41+DCF!$D$42-DCF!$D$43-DCF!$D$44)/DCF!$C$35</f>
        <v>1.7590043763159522</v>
      </c>
    </row>
    <row r="83" spans="3:8" x14ac:dyDescent="0.35">
      <c r="C83" s="8">
        <f t="shared" ca="1" si="6"/>
        <v>0.1791699767444207</v>
      </c>
      <c r="D83" s="7">
        <f t="shared" ca="1" si="7"/>
        <v>7.9312264426244547E-2</v>
      </c>
      <c r="E83" s="7">
        <f t="shared" ca="1" si="8"/>
        <v>0.66735500919619184</v>
      </c>
      <c r="F83" s="7">
        <f t="shared" ca="1" si="9"/>
        <v>2.1843468987323006E-2</v>
      </c>
      <c r="G83" s="7">
        <f t="shared" ca="1" si="5"/>
        <v>292.13959293976973</v>
      </c>
      <c r="H83" s="7">
        <f ca="1">(G83+DCF!$D$40+DCF!$D$41+DCF!$D$42-DCF!$D$43-DCF!$D$44)/DCF!$C$35</f>
        <v>2.290927830114966</v>
      </c>
    </row>
    <row r="84" spans="3:8" x14ac:dyDescent="0.35">
      <c r="C84" s="8">
        <f t="shared" ca="1" si="6"/>
        <v>0.44023761510000237</v>
      </c>
      <c r="D84" s="7">
        <f t="shared" ca="1" si="7"/>
        <v>8.5006104314285111E-2</v>
      </c>
      <c r="E84" s="7">
        <f t="shared" ca="1" si="8"/>
        <v>1.6317231172167768E-2</v>
      </c>
      <c r="F84" s="7">
        <f t="shared" ca="1" si="9"/>
        <v>1.1806501102804411E-2</v>
      </c>
      <c r="G84" s="7">
        <f t="shared" ca="1" si="5"/>
        <v>237.73537815287034</v>
      </c>
      <c r="H84" s="7">
        <f ca="1">(G84+DCF!$D$40+DCF!$D$41+DCF!$D$42-DCF!$D$43-DCF!$D$44)/DCF!$C$35</f>
        <v>1.9838716455179497</v>
      </c>
    </row>
    <row r="85" spans="3:8" x14ac:dyDescent="0.35">
      <c r="C85" s="8">
        <f t="shared" ca="1" si="6"/>
        <v>0.74463835771537923</v>
      </c>
      <c r="D85" s="7">
        <f t="shared" ca="1" si="7"/>
        <v>9.3118542930492154E-2</v>
      </c>
      <c r="E85" s="7">
        <f t="shared" ca="1" si="8"/>
        <v>0.19899308736712551</v>
      </c>
      <c r="F85" s="7">
        <f t="shared" ca="1" si="9"/>
        <v>1.6308614544686108E-2</v>
      </c>
      <c r="G85" s="7">
        <f t="shared" ca="1" si="5"/>
        <v>220.94258221639544</v>
      </c>
      <c r="H85" s="7">
        <f ca="1">(G85+DCF!$D$40+DCF!$D$41+DCF!$D$42-DCF!$D$43-DCF!$D$44)/DCF!$C$35</f>
        <v>1.8890934767829066</v>
      </c>
    </row>
    <row r="86" spans="3:8" x14ac:dyDescent="0.35">
      <c r="C86" s="8">
        <f t="shared" ca="1" si="6"/>
        <v>0.6292757239354031</v>
      </c>
      <c r="D86" s="7">
        <f t="shared" ca="1" si="7"/>
        <v>8.9659688004160562E-2</v>
      </c>
      <c r="E86" s="7">
        <f t="shared" ca="1" si="8"/>
        <v>0.25741173397174566</v>
      </c>
      <c r="F86" s="7">
        <f t="shared" ca="1" si="9"/>
        <v>1.7175119984665702E-2</v>
      </c>
      <c r="G86" s="7">
        <f t="shared" ca="1" si="5"/>
        <v>234.01845353939342</v>
      </c>
      <c r="H86" s="7">
        <f ca="1">(G86+DCF!$D$40+DCF!$D$41+DCF!$D$42-DCF!$D$43-DCF!$D$44)/DCF!$C$35</f>
        <v>1.9628934052341878</v>
      </c>
    </row>
    <row r="87" spans="3:8" x14ac:dyDescent="0.35">
      <c r="C87" s="8">
        <f t="shared" ca="1" si="6"/>
        <v>0.29694791181046665</v>
      </c>
      <c r="D87" s="7">
        <f t="shared" ca="1" si="7"/>
        <v>8.1988443990621385E-2</v>
      </c>
      <c r="E87" s="7">
        <f t="shared" ca="1" si="8"/>
        <v>0.15208065806908</v>
      </c>
      <c r="F87" s="7">
        <f t="shared" ca="1" si="9"/>
        <v>1.5515082194656395E-2</v>
      </c>
      <c r="G87" s="7">
        <f t="shared" ca="1" si="5"/>
        <v>258.63843390506133</v>
      </c>
      <c r="H87" s="7">
        <f ca="1">(G87+DCF!$D$40+DCF!$D$41+DCF!$D$42-DCF!$D$43-DCF!$D$44)/DCF!$C$35</f>
        <v>2.1018480297158897</v>
      </c>
    </row>
    <row r="88" spans="3:8" x14ac:dyDescent="0.35">
      <c r="C88" s="8">
        <f t="shared" ca="1" si="6"/>
        <v>0.99539536781843196</v>
      </c>
      <c r="D88" s="7">
        <f t="shared" ca="1" si="7"/>
        <v>0.10773311457840722</v>
      </c>
      <c r="E88" s="7">
        <f t="shared" ca="1" si="8"/>
        <v>6.4699474788079581E-2</v>
      </c>
      <c r="F88" s="7">
        <f t="shared" ca="1" si="9"/>
        <v>1.3597206549201189E-2</v>
      </c>
      <c r="G88" s="7">
        <f t="shared" ca="1" si="5"/>
        <v>179.9078242749199</v>
      </c>
      <c r="H88" s="7">
        <f ca="1">(G88+DCF!$D$40+DCF!$D$41+DCF!$D$42-DCF!$D$43-DCF!$D$44)/DCF!$C$35</f>
        <v>1.6574942108303414</v>
      </c>
    </row>
    <row r="89" spans="3:8" x14ac:dyDescent="0.35">
      <c r="C89" s="8">
        <f t="shared" ca="1" si="6"/>
        <v>0.34681853293635834</v>
      </c>
      <c r="D89" s="7">
        <f t="shared" ca="1" si="7"/>
        <v>8.30009163629018E-2</v>
      </c>
      <c r="E89" s="7">
        <f t="shared" ca="1" si="8"/>
        <v>0.68175404827240305</v>
      </c>
      <c r="F89" s="7">
        <f t="shared" ca="1" si="9"/>
        <v>2.202195573178994E-2</v>
      </c>
      <c r="G89" s="7">
        <f t="shared" ca="1" si="5"/>
        <v>274.27040532205729</v>
      </c>
      <c r="H89" s="7">
        <f ca="1">(G89+DCF!$D$40+DCF!$D$41+DCF!$D$42-DCF!$D$43-DCF!$D$44)/DCF!$C$35</f>
        <v>2.1900745305455316</v>
      </c>
    </row>
    <row r="90" spans="3:8" x14ac:dyDescent="0.35">
      <c r="C90" s="8">
        <f t="shared" ca="1" si="6"/>
        <v>0.39197341460616764</v>
      </c>
      <c r="D90" s="7">
        <f t="shared" ca="1" si="7"/>
        <v>8.3950860488309464E-2</v>
      </c>
      <c r="E90" s="7">
        <f t="shared" ca="1" si="8"/>
        <v>0.51639669832254453</v>
      </c>
      <c r="F90" s="7">
        <f t="shared" ca="1" si="9"/>
        <v>2.0165333745597105E-2</v>
      </c>
      <c r="G90" s="7">
        <f t="shared" ca="1" si="5"/>
        <v>264.01224696586308</v>
      </c>
      <c r="H90" s="7">
        <f ca="1">(G90+DCF!$D$40+DCF!$D$41+DCF!$D$42-DCF!$D$43-DCF!$D$44)/DCF!$C$35</f>
        <v>2.1321777117387013</v>
      </c>
    </row>
    <row r="91" spans="3:8" x14ac:dyDescent="0.35">
      <c r="C91" s="8">
        <f t="shared" ca="1" si="6"/>
        <v>0.27507295588715075</v>
      </c>
      <c r="D91" s="7">
        <f t="shared" ca="1" si="7"/>
        <v>8.153842756398727E-2</v>
      </c>
      <c r="E91" s="7">
        <f t="shared" ca="1" si="8"/>
        <v>0.57916175578087647</v>
      </c>
      <c r="F91" s="7">
        <f t="shared" ca="1" si="9"/>
        <v>2.0825707174728689E-2</v>
      </c>
      <c r="G91" s="7">
        <f t="shared" ca="1" si="5"/>
        <v>277.18495746158692</v>
      </c>
      <c r="H91" s="7">
        <f ca="1">(G91+DCF!$D$40+DCF!$D$41+DCF!$D$42-DCF!$D$43-DCF!$D$44)/DCF!$C$35</f>
        <v>2.206524198338339</v>
      </c>
    </row>
    <row r="92" spans="3:8" x14ac:dyDescent="0.35">
      <c r="C92" s="8">
        <f t="shared" ca="1" si="6"/>
        <v>0.29944993857996483</v>
      </c>
      <c r="D92" s="7">
        <f t="shared" ca="1" si="7"/>
        <v>8.2038844224953777E-2</v>
      </c>
      <c r="E92" s="7">
        <f t="shared" ca="1" si="8"/>
        <v>0.48143011275194081</v>
      </c>
      <c r="F92" s="7">
        <f t="shared" ca="1" si="9"/>
        <v>1.9812544142595645E-2</v>
      </c>
      <c r="G92" s="7">
        <f t="shared" ca="1" si="5"/>
        <v>271.46340882014272</v>
      </c>
      <c r="H92" s="7">
        <f ca="1">(G92+DCF!$D$40+DCF!$D$41+DCF!$D$42-DCF!$D$43-DCF!$D$44)/DCF!$C$35</f>
        <v>2.1742319043918203</v>
      </c>
    </row>
    <row r="93" spans="3:8" x14ac:dyDescent="0.35">
      <c r="C93" s="8">
        <f t="shared" ca="1" si="6"/>
        <v>0.90516016955842549</v>
      </c>
      <c r="D93" s="7">
        <f t="shared" ca="1" si="7"/>
        <v>9.971208229169784E-2</v>
      </c>
      <c r="E93" s="7">
        <f t="shared" ca="1" si="8"/>
        <v>0.15196943167202381</v>
      </c>
      <c r="F93" s="7">
        <f t="shared" ca="1" si="9"/>
        <v>1.551306505806024E-2</v>
      </c>
      <c r="G93" s="7">
        <f t="shared" ca="1" si="5"/>
        <v>201.04059244461206</v>
      </c>
      <c r="H93" s="7">
        <f ca="1">(G93+DCF!$D$40+DCF!$D$41+DCF!$D$42-DCF!$D$43-DCF!$D$44)/DCF!$C$35</f>
        <v>1.77676708683041</v>
      </c>
    </row>
    <row r="94" spans="3:8" x14ac:dyDescent="0.35">
      <c r="C94" s="8">
        <f t="shared" ca="1" si="6"/>
        <v>0.33565458290204864</v>
      </c>
      <c r="D94" s="7">
        <f t="shared" ca="1" si="7"/>
        <v>8.2771164448671081E-2</v>
      </c>
      <c r="E94" s="7">
        <f t="shared" ca="1" si="8"/>
        <v>0.55598640083745743</v>
      </c>
      <c r="F94" s="7">
        <f t="shared" ca="1" si="9"/>
        <v>2.0576480496517849E-2</v>
      </c>
      <c r="G94" s="7">
        <f t="shared" ca="1" si="5"/>
        <v>270.57700827724261</v>
      </c>
      <c r="H94" s="7">
        <f ca="1">(G94+DCF!$D$40+DCF!$D$41+DCF!$D$42-DCF!$D$43-DCF!$D$44)/DCF!$C$35</f>
        <v>2.1692290793387663</v>
      </c>
    </row>
    <row r="95" spans="3:8" x14ac:dyDescent="0.35">
      <c r="C95" s="8">
        <f t="shared" ca="1" si="6"/>
        <v>0.41141064734866517</v>
      </c>
      <c r="D95" s="7">
        <f t="shared" ca="1" si="7"/>
        <v>8.43706083263982E-2</v>
      </c>
      <c r="E95" s="7">
        <f t="shared" ca="1" si="8"/>
        <v>0.74766228790900646</v>
      </c>
      <c r="F95" s="7">
        <f t="shared" ca="1" si="9"/>
        <v>2.2895948872776975E-2</v>
      </c>
      <c r="G95" s="7">
        <f t="shared" ca="1" si="5"/>
        <v>270.76639711284116</v>
      </c>
      <c r="H95" s="7">
        <f ca="1">(G95+DCF!$D$40+DCF!$D$41+DCF!$D$42-DCF!$D$43-DCF!$D$44)/DCF!$C$35</f>
        <v>2.1702979857367715</v>
      </c>
    </row>
    <row r="96" spans="3:8" x14ac:dyDescent="0.35">
      <c r="C96" s="8">
        <f t="shared" ca="1" si="6"/>
        <v>0.45601165395703935</v>
      </c>
      <c r="D96" s="7">
        <f t="shared" ca="1" si="7"/>
        <v>8.5360783409695357E-2</v>
      </c>
      <c r="E96" s="7">
        <f t="shared" ca="1" si="8"/>
        <v>0.28412839947326818</v>
      </c>
      <c r="F96" s="7">
        <f t="shared" ca="1" si="9"/>
        <v>1.7538280964162427E-2</v>
      </c>
      <c r="G96" s="7">
        <f t="shared" ca="1" si="5"/>
        <v>250.6720914627997</v>
      </c>
      <c r="H96" s="7">
        <f ca="1">(G96+DCF!$D$40+DCF!$D$41+DCF!$D$42-DCF!$D$43-DCF!$D$44)/DCF!$C$35</f>
        <v>2.056886169222258</v>
      </c>
    </row>
    <row r="97" spans="3:8" x14ac:dyDescent="0.35">
      <c r="C97" s="8">
        <f t="shared" ca="1" si="6"/>
        <v>7.4969375209374967E-3</v>
      </c>
      <c r="D97" s="7">
        <f t="shared" ca="1" si="7"/>
        <v>7.1904866861524391E-2</v>
      </c>
      <c r="E97" s="7">
        <f t="shared" ca="1" si="8"/>
        <v>0.61972909770721851</v>
      </c>
      <c r="F97" s="7">
        <f t="shared" ca="1" si="9"/>
        <v>2.1279095204134131E-2</v>
      </c>
      <c r="G97" s="7">
        <f t="shared" ca="1" si="5"/>
        <v>334.52925624987864</v>
      </c>
      <c r="H97" s="7">
        <f ca="1">(G97+DCF!$D$40+DCF!$D$41+DCF!$D$42-DCF!$D$43-DCF!$D$44)/DCF!$C$35</f>
        <v>2.530174151991639</v>
      </c>
    </row>
    <row r="98" spans="3:8" x14ac:dyDescent="0.35">
      <c r="C98" s="8">
        <f t="shared" ca="1" si="6"/>
        <v>0.87269490807679895</v>
      </c>
      <c r="D98" s="7">
        <f t="shared" ca="1" si="7"/>
        <v>9.8080583798428198E-2</v>
      </c>
      <c r="E98" s="7">
        <f t="shared" ca="1" si="8"/>
        <v>0.53209439450263929</v>
      </c>
      <c r="F98" s="7">
        <f t="shared" ca="1" si="9"/>
        <v>2.0326266434335077E-2</v>
      </c>
      <c r="G98" s="7">
        <f t="shared" ca="1" si="5"/>
        <v>213.91628818620109</v>
      </c>
      <c r="H98" s="7">
        <f ca="1">(G98+DCF!$D$40+DCF!$D$41+DCF!$D$42-DCF!$D$43-DCF!$D$44)/DCF!$C$35</f>
        <v>1.8494372287289822</v>
      </c>
    </row>
    <row r="99" spans="3:8" x14ac:dyDescent="0.35">
      <c r="C99" s="8">
        <f t="shared" ca="1" si="6"/>
        <v>0.30281545516078123</v>
      </c>
      <c r="D99" s="7">
        <f t="shared" ca="1" si="7"/>
        <v>8.2106309816724357E-2</v>
      </c>
      <c r="E99" s="7">
        <f t="shared" ca="1" si="8"/>
        <v>0.65210106004119728</v>
      </c>
      <c r="F99" s="7">
        <f t="shared" ca="1" si="9"/>
        <v>2.1658550006637904E-2</v>
      </c>
      <c r="G99" s="7">
        <f t="shared" ca="1" si="5"/>
        <v>277.30575498927033</v>
      </c>
      <c r="H99" s="7">
        <f ca="1">(G99+DCF!$D$40+DCF!$D$41+DCF!$D$42-DCF!$D$43-DCF!$D$44)/DCF!$C$35</f>
        <v>2.2072059769120123</v>
      </c>
    </row>
    <row r="100" spans="3:8" x14ac:dyDescent="0.35">
      <c r="C100" s="8">
        <f t="shared" ca="1" si="6"/>
        <v>0.18723060940173575</v>
      </c>
      <c r="D100" s="7">
        <f t="shared" ca="1" si="7"/>
        <v>7.9519433541468745E-2</v>
      </c>
      <c r="E100" s="7">
        <f t="shared" ca="1" si="8"/>
        <v>2.7309036265052988E-3</v>
      </c>
      <c r="F100" s="7">
        <f t="shared" ca="1" si="9"/>
        <v>1.0739040408435872E-2</v>
      </c>
      <c r="G100" s="7">
        <f t="shared" ca="1" si="5"/>
        <v>255.40401601839704</v>
      </c>
      <c r="H100" s="7">
        <f ca="1">(G100+DCF!$D$40+DCF!$D$41+DCF!$D$42-DCF!$D$43-DCF!$D$44)/DCF!$C$35</f>
        <v>2.0835930467230899</v>
      </c>
    </row>
    <row r="101" spans="3:8" x14ac:dyDescent="0.35">
      <c r="C101" s="8">
        <f t="shared" ca="1" si="6"/>
        <v>4.6103627002729186E-2</v>
      </c>
      <c r="D101" s="7">
        <f t="shared" ca="1" si="7"/>
        <v>7.4723786137127823E-2</v>
      </c>
      <c r="E101" s="7">
        <f t="shared" ca="1" si="8"/>
        <v>0.41572237563455849</v>
      </c>
      <c r="F101" s="7">
        <f t="shared" ca="1" si="9"/>
        <v>1.9118359234364023E-2</v>
      </c>
      <c r="G101" s="7">
        <f t="shared" ca="1" si="5"/>
        <v>306.60821734293131</v>
      </c>
      <c r="H101" s="7">
        <f ca="1">(G101+DCF!$D$40+DCF!$D$41+DCF!$D$42-DCF!$D$43-DCF!$D$44)/DCF!$C$35</f>
        <v>2.3725884261368737</v>
      </c>
    </row>
    <row r="102" spans="3:8" x14ac:dyDescent="0.35">
      <c r="C102" s="8">
        <f t="shared" ca="1" si="6"/>
        <v>0.89621876918655996</v>
      </c>
      <c r="D102" s="7">
        <f t="shared" ca="1" si="7"/>
        <v>9.9238036722428424E-2</v>
      </c>
      <c r="E102" s="7">
        <f t="shared" ca="1" si="8"/>
        <v>0.92645322030517463</v>
      </c>
      <c r="F102" s="7">
        <f t="shared" ca="1" si="9"/>
        <v>2.616472218229695E-2</v>
      </c>
      <c r="G102" s="7">
        <f t="shared" ca="1" si="5"/>
        <v>222.14387415062157</v>
      </c>
      <c r="H102" s="7">
        <f ca="1">(G102+DCF!$D$40+DCF!$D$41+DCF!$D$42-DCF!$D$43-DCF!$D$44)/DCF!$C$35</f>
        <v>1.8958735418818238</v>
      </c>
    </row>
    <row r="103" spans="3:8" x14ac:dyDescent="0.35">
      <c r="C103" s="8">
        <f t="shared" ca="1" si="6"/>
        <v>0.48108037039947982</v>
      </c>
      <c r="D103" s="7">
        <f t="shared" ca="1" si="7"/>
        <v>8.5935206075385143E-2</v>
      </c>
      <c r="E103" s="7">
        <f t="shared" ca="1" si="8"/>
        <v>0.56554414477291048</v>
      </c>
      <c r="F103" s="7">
        <f t="shared" ca="1" si="9"/>
        <v>2.0678456616771132E-2</v>
      </c>
      <c r="G103" s="7">
        <f t="shared" ca="1" si="5"/>
        <v>257.0862333479144</v>
      </c>
      <c r="H103" s="7">
        <f ca="1">(G103+DCF!$D$40+DCF!$D$41+DCF!$D$42-DCF!$D$43-DCF!$D$44)/DCF!$C$35</f>
        <v>2.093087444112848</v>
      </c>
    </row>
    <row r="104" spans="3:8" x14ac:dyDescent="0.35">
      <c r="C104" s="8">
        <f t="shared" ca="1" si="6"/>
        <v>0.15158458201436098</v>
      </c>
      <c r="D104" s="7">
        <f t="shared" ca="1" si="7"/>
        <v>7.8565450233055514E-2</v>
      </c>
      <c r="E104" s="7">
        <f t="shared" ca="1" si="8"/>
        <v>0.69485967175748642</v>
      </c>
      <c r="F104" s="7">
        <f t="shared" ca="1" si="9"/>
        <v>2.2187953811676309E-2</v>
      </c>
      <c r="G104" s="7">
        <f t="shared" ca="1" si="5"/>
        <v>297.5510070577302</v>
      </c>
      <c r="H104" s="7">
        <f ca="1">(G104+DCF!$D$40+DCF!$D$41+DCF!$D$42-DCF!$D$43-DCF!$D$44)/DCF!$C$35</f>
        <v>2.3214697316724808</v>
      </c>
    </row>
    <row r="105" spans="3:8" x14ac:dyDescent="0.35">
      <c r="C105" s="8">
        <f t="shared" ca="1" si="6"/>
        <v>0.50431555227786229</v>
      </c>
      <c r="D105" s="7">
        <f t="shared" ca="1" si="7"/>
        <v>8.6480139378433685E-2</v>
      </c>
      <c r="E105" s="7">
        <f t="shared" ca="1" si="8"/>
        <v>0.72123724345965656</v>
      </c>
      <c r="F105" s="7">
        <f t="shared" ca="1" si="9"/>
        <v>2.2533236892195607E-2</v>
      </c>
      <c r="G105" s="7">
        <f t="shared" ca="1" si="5"/>
        <v>260.24012852194824</v>
      </c>
      <c r="H105" s="7">
        <f ca="1">(G105+DCF!$D$40+DCF!$D$41+DCF!$D$42-DCF!$D$43-DCF!$D$44)/DCF!$C$35</f>
        <v>2.1108879586970777</v>
      </c>
    </row>
    <row r="106" spans="3:8" x14ac:dyDescent="0.35">
      <c r="C106" s="8">
        <f t="shared" ca="1" si="6"/>
        <v>8.2387133649724165E-2</v>
      </c>
      <c r="D106" s="7">
        <f t="shared" ca="1" si="7"/>
        <v>7.6314694979685599E-2</v>
      </c>
      <c r="E106" s="7">
        <f t="shared" ca="1" si="8"/>
        <v>1.8829868542171391E-2</v>
      </c>
      <c r="F106" s="7">
        <f t="shared" ca="1" si="9"/>
        <v>1.1940611684091971E-2</v>
      </c>
      <c r="G106" s="7">
        <f t="shared" ca="1" si="5"/>
        <v>272.39883415448696</v>
      </c>
      <c r="H106" s="7">
        <f ca="1">(G106+DCF!$D$40+DCF!$D$41+DCF!$D$42-DCF!$D$43-DCF!$D$44)/DCF!$C$35</f>
        <v>2.1795114242831413</v>
      </c>
    </row>
    <row r="107" spans="3:8" x14ac:dyDescent="0.35">
      <c r="C107" s="8">
        <f t="shared" ca="1" si="6"/>
        <v>0.94123456515144488</v>
      </c>
      <c r="D107" s="7">
        <f t="shared" ca="1" si="7"/>
        <v>0.10190171466969782</v>
      </c>
      <c r="E107" s="7">
        <f t="shared" ca="1" si="8"/>
        <v>0.10572940713076595</v>
      </c>
      <c r="F107" s="7">
        <f t="shared" ca="1" si="9"/>
        <v>1.4598465116335361E-2</v>
      </c>
      <c r="G107" s="7">
        <f t="shared" ca="1" si="5"/>
        <v>194.2146569441272</v>
      </c>
      <c r="H107" s="7">
        <f ca="1">(G107+DCF!$D$40+DCF!$D$41+DCF!$D$42-DCF!$D$43-DCF!$D$44)/DCF!$C$35</f>
        <v>1.738241657885355</v>
      </c>
    </row>
    <row r="108" spans="3:8" x14ac:dyDescent="0.35">
      <c r="C108" s="8">
        <f t="shared" ca="1" si="6"/>
        <v>7.1172680314499637E-2</v>
      </c>
      <c r="D108" s="7">
        <f t="shared" ca="1" si="7"/>
        <v>7.5869205846809076E-2</v>
      </c>
      <c r="E108" s="7">
        <f t="shared" ca="1" si="8"/>
        <v>0.4469125943097203</v>
      </c>
      <c r="F108" s="7">
        <f t="shared" ca="1" si="9"/>
        <v>1.9454232854226941E-2</v>
      </c>
      <c r="G108" s="7">
        <f t="shared" ca="1" si="5"/>
        <v>301.47986823844553</v>
      </c>
      <c r="H108" s="7">
        <f ca="1">(G108+DCF!$D$40+DCF!$D$41+DCF!$D$42-DCF!$D$43-DCF!$D$44)/DCF!$C$35</f>
        <v>2.3436441372527685</v>
      </c>
    </row>
    <row r="109" spans="3:8" x14ac:dyDescent="0.35">
      <c r="C109" s="8">
        <f t="shared" ca="1" si="6"/>
        <v>0.34402168694536184</v>
      </c>
      <c r="D109" s="7">
        <f t="shared" ca="1" si="7"/>
        <v>8.2943174662038127E-2</v>
      </c>
      <c r="E109" s="7">
        <f t="shared" ca="1" si="8"/>
        <v>0.86707579491224163</v>
      </c>
      <c r="F109" s="7">
        <f t="shared" ca="1" si="9"/>
        <v>2.4843951026459147E-2</v>
      </c>
      <c r="G109" s="7">
        <f t="shared" ca="1" si="5"/>
        <v>284.50245230351106</v>
      </c>
      <c r="H109" s="7">
        <f ca="1">(G109+DCF!$D$40+DCF!$D$41+DCF!$D$42-DCF!$D$43-DCF!$D$44)/DCF!$C$35</f>
        <v>2.2478239773310253</v>
      </c>
    </row>
    <row r="110" spans="3:8" x14ac:dyDescent="0.35">
      <c r="C110" s="8">
        <f t="shared" ca="1" si="6"/>
        <v>0.8319556072608757</v>
      </c>
      <c r="D110" s="7">
        <f t="shared" ca="1" si="7"/>
        <v>9.6305565280127015E-2</v>
      </c>
      <c r="E110" s="7">
        <f t="shared" ca="1" si="8"/>
        <v>0.44819729705526912</v>
      </c>
      <c r="F110" s="7">
        <f t="shared" ca="1" si="9"/>
        <v>1.9467811754098927E-2</v>
      </c>
      <c r="G110" s="7">
        <f t="shared" ca="1" si="5"/>
        <v>217.52423731923977</v>
      </c>
      <c r="H110" s="7">
        <f ca="1">(G110+DCF!$D$40+DCF!$D$41+DCF!$D$42-DCF!$D$43-DCF!$D$44)/DCF!$C$35</f>
        <v>1.8698004138121671</v>
      </c>
    </row>
    <row r="111" spans="3:8" x14ac:dyDescent="0.35">
      <c r="C111" s="8">
        <f t="shared" ca="1" si="6"/>
        <v>0.92897549224243881</v>
      </c>
      <c r="D111" s="7">
        <f t="shared" ca="1" si="7"/>
        <v>0.10109700327656815</v>
      </c>
      <c r="E111" s="7">
        <f t="shared" ca="1" si="8"/>
        <v>0.44364435899376786</v>
      </c>
      <c r="F111" s="7">
        <f t="shared" ca="1" si="9"/>
        <v>1.9419600405471221E-2</v>
      </c>
      <c r="G111" s="7">
        <f t="shared" ca="1" si="5"/>
        <v>203.87164335798573</v>
      </c>
      <c r="H111" s="7">
        <f ca="1">(G111+DCF!$D$40+DCF!$D$41+DCF!$D$42-DCF!$D$43-DCF!$D$44)/DCF!$C$35</f>
        <v>1.792745475550207</v>
      </c>
    </row>
    <row r="112" spans="3:8" x14ac:dyDescent="0.35">
      <c r="C112" s="8">
        <f t="shared" ca="1" si="6"/>
        <v>0.63203497298743927</v>
      </c>
      <c r="D112" s="7">
        <f t="shared" ca="1" si="7"/>
        <v>8.9735524429533892E-2</v>
      </c>
      <c r="E112" s="7">
        <f t="shared" ca="1" si="8"/>
        <v>0.34831550990386617</v>
      </c>
      <c r="F112" s="7">
        <f t="shared" ca="1" si="9"/>
        <v>1.8346442474538073E-2</v>
      </c>
      <c r="G112" s="7">
        <f t="shared" ca="1" si="5"/>
        <v>236.47904211678002</v>
      </c>
      <c r="H112" s="7">
        <f ca="1">(G112+DCF!$D$40+DCF!$D$41+DCF!$D$42-DCF!$D$43-DCF!$D$44)/DCF!$C$35</f>
        <v>1.9767809127259284</v>
      </c>
    </row>
    <row r="113" spans="3:8" x14ac:dyDescent="0.35">
      <c r="C113" s="8">
        <f t="shared" ca="1" si="6"/>
        <v>0.39698125385765304</v>
      </c>
      <c r="D113" s="7">
        <f t="shared" ca="1" si="7"/>
        <v>8.4058355474356319E-2</v>
      </c>
      <c r="E113" s="7">
        <f t="shared" ca="1" si="8"/>
        <v>8.3456701770855402E-3</v>
      </c>
      <c r="F113" s="7">
        <f t="shared" ca="1" si="9"/>
        <v>1.1291949703129772E-2</v>
      </c>
      <c r="G113" s="7">
        <f t="shared" ca="1" si="5"/>
        <v>239.8511766064924</v>
      </c>
      <c r="H113" s="7">
        <f ca="1">(G113+DCF!$D$40+DCF!$D$41+DCF!$D$42-DCF!$D$43-DCF!$D$44)/DCF!$C$35</f>
        <v>1.9958131651794355</v>
      </c>
    </row>
    <row r="114" spans="3:8" x14ac:dyDescent="0.35">
      <c r="C114" s="8">
        <f t="shared" ca="1" si="6"/>
        <v>0.31662914549035526</v>
      </c>
      <c r="D114" s="7">
        <f t="shared" ca="1" si="7"/>
        <v>8.2384028649479607E-2</v>
      </c>
      <c r="E114" s="7">
        <f t="shared" ca="1" si="8"/>
        <v>0.77125002109756768</v>
      </c>
      <c r="F114" s="7">
        <f t="shared" ca="1" si="9"/>
        <v>2.3236125682681082E-2</v>
      </c>
      <c r="G114" s="7">
        <f t="shared" ca="1" si="5"/>
        <v>281.47666248829569</v>
      </c>
      <c r="H114" s="7">
        <f ca="1">(G114+DCF!$D$40+DCF!$D$41+DCF!$D$42-DCF!$D$43-DCF!$D$44)/DCF!$C$35</f>
        <v>2.2307464865577136</v>
      </c>
    </row>
    <row r="115" spans="3:8" x14ac:dyDescent="0.35">
      <c r="C115" s="8">
        <f t="shared" ca="1" si="6"/>
        <v>0.21298651169414973</v>
      </c>
      <c r="D115" s="7">
        <f t="shared" ca="1" si="7"/>
        <v>8.015310157833401E-2</v>
      </c>
      <c r="E115" s="7">
        <f t="shared" ca="1" si="8"/>
        <v>0.45933064078043584</v>
      </c>
      <c r="F115" s="7">
        <f t="shared" ca="1" si="9"/>
        <v>1.958468195383066E-2</v>
      </c>
      <c r="G115" s="7">
        <f t="shared" ca="1" si="5"/>
        <v>279.60992176568095</v>
      </c>
      <c r="H115" s="7">
        <f ca="1">(G115+DCF!$D$40+DCF!$D$41+DCF!$D$42-DCF!$D$43-DCF!$D$44)/DCF!$C$35</f>
        <v>2.2202106432197817</v>
      </c>
    </row>
    <row r="116" spans="3:8" x14ac:dyDescent="0.35">
      <c r="C116" s="8">
        <f t="shared" ca="1" si="6"/>
        <v>0.37710532266694974</v>
      </c>
      <c r="D116" s="7">
        <f t="shared" ca="1" si="7"/>
        <v>8.3634293866772999E-2</v>
      </c>
      <c r="E116" s="7">
        <f t="shared" ca="1" si="8"/>
        <v>0.36123114710521065</v>
      </c>
      <c r="F116" s="7">
        <f t="shared" ca="1" si="9"/>
        <v>1.8499778198343891E-2</v>
      </c>
      <c r="G116" s="7">
        <f t="shared" ca="1" si="5"/>
        <v>260.38710840691249</v>
      </c>
      <c r="H116" s="7">
        <f ca="1">(G116+DCF!$D$40+DCF!$D$41+DCF!$D$42-DCF!$D$43-DCF!$D$44)/DCF!$C$35</f>
        <v>2.1117175099159753</v>
      </c>
    </row>
    <row r="117" spans="3:8" x14ac:dyDescent="0.35">
      <c r="C117" s="8">
        <f t="shared" ca="1" si="6"/>
        <v>0.19304364580956346</v>
      </c>
      <c r="D117" s="7">
        <f t="shared" ca="1" si="7"/>
        <v>7.9666081138280845E-2</v>
      </c>
      <c r="E117" s="7">
        <f t="shared" ca="1" si="8"/>
        <v>0.83467729404349023</v>
      </c>
      <c r="F117" s="7">
        <f t="shared" ca="1" si="9"/>
        <v>2.4249822507843608E-2</v>
      </c>
      <c r="G117" s="7">
        <f t="shared" ca="1" si="5"/>
        <v>299.81804186120041</v>
      </c>
      <c r="H117" s="7">
        <f ca="1">(G117+DCF!$D$40+DCF!$D$41+DCF!$D$42-DCF!$D$43-DCF!$D$44)/DCF!$C$35</f>
        <v>2.3342648259464971</v>
      </c>
    </row>
    <row r="118" spans="3:8" x14ac:dyDescent="0.35">
      <c r="C118" s="8">
        <f t="shared" ca="1" si="6"/>
        <v>0.12903694751576944</v>
      </c>
      <c r="D118" s="7">
        <f t="shared" ca="1" si="7"/>
        <v>7.7902776891551007E-2</v>
      </c>
      <c r="E118" s="7">
        <f t="shared" ca="1" si="8"/>
        <v>0.11639151050118945</v>
      </c>
      <c r="F118" s="7">
        <f t="shared" ca="1" si="9"/>
        <v>1.4824759278993915E-2</v>
      </c>
      <c r="G118" s="7">
        <f t="shared" ca="1" si="5"/>
        <v>274.34450509446447</v>
      </c>
      <c r="H118" s="7">
        <f ca="1">(G118+DCF!$D$40+DCF!$D$41+DCF!$D$42-DCF!$D$43-DCF!$D$44)/DCF!$C$35</f>
        <v>2.190492748021585</v>
      </c>
    </row>
    <row r="119" spans="3:8" x14ac:dyDescent="0.35">
      <c r="C119" s="8">
        <f t="shared" ca="1" si="6"/>
        <v>0.77790174239968546</v>
      </c>
      <c r="D119" s="7">
        <f t="shared" ca="1" si="7"/>
        <v>9.4256377307558759E-2</v>
      </c>
      <c r="E119" s="7">
        <f t="shared" ca="1" si="8"/>
        <v>0.6085232722129581</v>
      </c>
      <c r="F119" s="7">
        <f t="shared" ca="1" si="9"/>
        <v>2.1151534282294562E-2</v>
      </c>
      <c r="G119" s="7">
        <f t="shared" ca="1" si="5"/>
        <v>227.47790803345529</v>
      </c>
      <c r="H119" s="7">
        <f ca="1">(G119+DCF!$D$40+DCF!$D$41+DCF!$D$42-DCF!$D$43-DCF!$D$44)/DCF!$C$35</f>
        <v>1.9259787111042739</v>
      </c>
    </row>
    <row r="120" spans="3:8" x14ac:dyDescent="0.35">
      <c r="C120" s="8">
        <f t="shared" ca="1" si="6"/>
        <v>0.39193160479316713</v>
      </c>
      <c r="D120" s="7">
        <f t="shared" ca="1" si="7"/>
        <v>8.3949964893481901E-2</v>
      </c>
      <c r="E120" s="7">
        <f t="shared" ca="1" si="8"/>
        <v>9.2957204539311999E-2</v>
      </c>
      <c r="F120" s="7">
        <f t="shared" ca="1" si="9"/>
        <v>1.4311779320403863E-2</v>
      </c>
      <c r="G120" s="7">
        <f t="shared" ca="1" si="5"/>
        <v>247.64688155589693</v>
      </c>
      <c r="H120" s="7">
        <f ca="1">(G120+DCF!$D$40+DCF!$D$41+DCF!$D$42-DCF!$D$43-DCF!$D$44)/DCF!$C$35</f>
        <v>2.0398119514386326</v>
      </c>
    </row>
    <row r="121" spans="3:8" x14ac:dyDescent="0.35">
      <c r="C121" s="8">
        <f t="shared" ca="1" si="6"/>
        <v>0.79762362354661365</v>
      </c>
      <c r="D121" s="7">
        <f t="shared" ca="1" si="7"/>
        <v>9.4971625632757906E-2</v>
      </c>
      <c r="E121" s="7">
        <f t="shared" ca="1" si="8"/>
        <v>0.50591120108626897</v>
      </c>
      <c r="F121" s="7">
        <f t="shared" ca="1" si="9"/>
        <v>2.00592877628036E-2</v>
      </c>
      <c r="G121" s="7">
        <f t="shared" ca="1" si="5"/>
        <v>222.8340485184944</v>
      </c>
      <c r="H121" s="7">
        <f ca="1">(G121+DCF!$D$40+DCF!$D$41+DCF!$D$42-DCF!$D$43-DCF!$D$44)/DCF!$C$35</f>
        <v>1.8997688707444089</v>
      </c>
    </row>
    <row r="122" spans="3:8" x14ac:dyDescent="0.35">
      <c r="C122" s="8">
        <f t="shared" ca="1" si="6"/>
        <v>0.76439871692951433</v>
      </c>
      <c r="D122" s="7">
        <f t="shared" ca="1" si="7"/>
        <v>9.3784851776605255E-2</v>
      </c>
      <c r="E122" s="7">
        <f t="shared" ca="1" si="8"/>
        <v>0.61487168721679286</v>
      </c>
      <c r="F122" s="7">
        <f t="shared" ca="1" si="9"/>
        <v>2.1223573474548917E-2</v>
      </c>
      <c r="G122" s="7">
        <f t="shared" ca="1" si="5"/>
        <v>229.20339853613939</v>
      </c>
      <c r="H122" s="7">
        <f ca="1">(G122+DCF!$D$40+DCF!$D$41+DCF!$D$42-DCF!$D$43-DCF!$D$44)/DCF!$C$35</f>
        <v>1.9357173413259927</v>
      </c>
    </row>
    <row r="123" spans="3:8" x14ac:dyDescent="0.35">
      <c r="C123" s="8">
        <f t="shared" ca="1" si="6"/>
        <v>0.75758787658860161</v>
      </c>
      <c r="D123" s="7">
        <f t="shared" ca="1" si="7"/>
        <v>9.3552145132962769E-2</v>
      </c>
      <c r="E123" s="7">
        <f t="shared" ca="1" si="8"/>
        <v>0.87829871369624801</v>
      </c>
      <c r="F123" s="7">
        <f t="shared" ca="1" si="9"/>
        <v>2.5066415374116868E-2</v>
      </c>
      <c r="G123" s="7">
        <f t="shared" ca="1" si="5"/>
        <v>239.12414552149295</v>
      </c>
      <c r="H123" s="7">
        <f ca="1">(G123+DCF!$D$40+DCF!$D$41+DCF!$D$42-DCF!$D$43-DCF!$D$44)/DCF!$C$35</f>
        <v>1.9917098178208203</v>
      </c>
    </row>
    <row r="124" spans="3:8" x14ac:dyDescent="0.35">
      <c r="C124" s="8">
        <f t="shared" ca="1" si="6"/>
        <v>2.2319781881764422E-2</v>
      </c>
      <c r="D124" s="7">
        <f t="shared" ca="1" si="7"/>
        <v>7.3286757434124702E-2</v>
      </c>
      <c r="E124" s="7">
        <f t="shared" ca="1" si="8"/>
        <v>0.64735367624495921</v>
      </c>
      <c r="F124" s="7">
        <f t="shared" ca="1" si="9"/>
        <v>2.1601829678375879E-2</v>
      </c>
      <c r="G124" s="7">
        <f t="shared" ca="1" si="5"/>
        <v>326.83418888705734</v>
      </c>
      <c r="H124" s="7">
        <f ca="1">(G124+DCF!$D$40+DCF!$D$41+DCF!$D$42-DCF!$D$43-DCF!$D$44)/DCF!$C$35</f>
        <v>2.4867433620445722</v>
      </c>
    </row>
    <row r="125" spans="3:8" x14ac:dyDescent="0.35">
      <c r="C125" s="8">
        <f t="shared" ca="1" si="6"/>
        <v>7.4344778915810816E-2</v>
      </c>
      <c r="D125" s="7">
        <f t="shared" ca="1" si="7"/>
        <v>7.5998572579810339E-2</v>
      </c>
      <c r="E125" s="7">
        <f t="shared" ca="1" si="8"/>
        <v>5.2875924621364256E-2</v>
      </c>
      <c r="F125" s="7">
        <f t="shared" ca="1" si="9"/>
        <v>1.3251950941246324E-2</v>
      </c>
      <c r="G125" s="7">
        <f t="shared" ca="1" si="5"/>
        <v>278.06103220839896</v>
      </c>
      <c r="H125" s="7">
        <f ca="1">(G125+DCF!$D$40+DCF!$D$41+DCF!$D$42-DCF!$D$43-DCF!$D$44)/DCF!$C$35</f>
        <v>2.2114687448267238</v>
      </c>
    </row>
    <row r="126" spans="3:8" x14ac:dyDescent="0.35">
      <c r="C126" s="8">
        <f t="shared" ca="1" si="6"/>
        <v>0.31071143354400887</v>
      </c>
      <c r="D126" s="7">
        <f t="shared" ca="1" si="7"/>
        <v>8.2264714889424953E-2</v>
      </c>
      <c r="E126" s="7">
        <f t="shared" ca="1" si="8"/>
        <v>0.31650541127350262</v>
      </c>
      <c r="F126" s="7">
        <f t="shared" ca="1" si="9"/>
        <v>1.7956197725968133E-2</v>
      </c>
      <c r="G126" s="7">
        <f t="shared" ca="1" si="5"/>
        <v>264.63407440182237</v>
      </c>
      <c r="H126" s="7">
        <f ca="1">(G126+DCF!$D$40+DCF!$D$41+DCF!$D$42-DCF!$D$43-DCF!$D$44)/DCF!$C$35</f>
        <v>2.1356872920297008</v>
      </c>
    </row>
    <row r="127" spans="3:8" x14ac:dyDescent="0.35">
      <c r="C127" s="8">
        <f t="shared" ca="1" si="6"/>
        <v>0.66246103199697404</v>
      </c>
      <c r="D127" s="7">
        <f t="shared" ca="1" si="7"/>
        <v>9.0591406844096695E-2</v>
      </c>
      <c r="E127" s="7">
        <f t="shared" ca="1" si="8"/>
        <v>0.13236351264334345</v>
      </c>
      <c r="F127" s="7">
        <f t="shared" ca="1" si="9"/>
        <v>1.5145163022555135E-2</v>
      </c>
      <c r="G127" s="7">
        <f t="shared" ca="1" si="5"/>
        <v>226.47439793708764</v>
      </c>
      <c r="H127" s="7">
        <f ca="1">(G127+DCF!$D$40+DCF!$D$41+DCF!$D$42-DCF!$D$43-DCF!$D$44)/DCF!$C$35</f>
        <v>1.9203149223224272</v>
      </c>
    </row>
    <row r="128" spans="3:8" x14ac:dyDescent="0.35">
      <c r="C128" s="8">
        <f t="shared" ca="1" si="6"/>
        <v>0.74713798235717988</v>
      </c>
      <c r="D128" s="7">
        <f t="shared" ca="1" si="7"/>
        <v>9.3201368755479297E-2</v>
      </c>
      <c r="E128" s="7">
        <f t="shared" ca="1" si="8"/>
        <v>0.32023410744596725</v>
      </c>
      <c r="F128" s="7">
        <f t="shared" ca="1" si="9"/>
        <v>1.8002925808052544E-2</v>
      </c>
      <c r="G128" s="7">
        <f t="shared" ca="1" si="5"/>
        <v>224.14761199795038</v>
      </c>
      <c r="H128" s="7">
        <f ca="1">(G128+DCF!$D$40+DCF!$D$41+DCF!$D$42-DCF!$D$43-DCF!$D$44)/DCF!$C$35</f>
        <v>1.9071825939606635</v>
      </c>
    </row>
    <row r="129" spans="3:8" x14ac:dyDescent="0.35">
      <c r="C129" s="8">
        <f t="shared" ca="1" si="6"/>
        <v>0.90431098755814721</v>
      </c>
      <c r="D129" s="7">
        <f t="shared" ca="1" si="7"/>
        <v>9.96661266755825E-2</v>
      </c>
      <c r="E129" s="7">
        <f t="shared" ca="1" si="8"/>
        <v>0.99471024581077028</v>
      </c>
      <c r="F129" s="7">
        <f t="shared" ca="1" si="9"/>
        <v>2.8971432628436062E-2</v>
      </c>
      <c r="G129" s="7">
        <f t="shared" ca="1" si="5"/>
        <v>226.93331553489963</v>
      </c>
      <c r="H129" s="7">
        <f ca="1">(G129+DCF!$D$40+DCF!$D$41+DCF!$D$42-DCF!$D$43-DCF!$D$44)/DCF!$C$35</f>
        <v>1.9229050430912045</v>
      </c>
    </row>
    <row r="130" spans="3:8" x14ac:dyDescent="0.35">
      <c r="C130" s="8">
        <f t="shared" ca="1" si="6"/>
        <v>0.66435523089282622</v>
      </c>
      <c r="D130" s="7">
        <f t="shared" ca="1" si="7"/>
        <v>9.0645941967545773E-2</v>
      </c>
      <c r="E130" s="7">
        <f t="shared" ca="1" si="8"/>
        <v>0.90164892473956737</v>
      </c>
      <c r="F130" s="7">
        <f t="shared" ca="1" si="9"/>
        <v>2.5564888383356452E-2</v>
      </c>
      <c r="G130" s="7">
        <f t="shared" ca="1" si="5"/>
        <v>251.68487695589923</v>
      </c>
      <c r="H130" s="7">
        <f ca="1">(G130+DCF!$D$40+DCF!$D$41+DCF!$D$42-DCF!$D$43-DCF!$D$44)/DCF!$C$35</f>
        <v>2.0626023081380471</v>
      </c>
    </row>
    <row r="131" spans="3:8" x14ac:dyDescent="0.35">
      <c r="C131" s="8">
        <f t="shared" ca="1" si="6"/>
        <v>0.92022605264514212</v>
      </c>
      <c r="D131" s="7">
        <f t="shared" ca="1" si="7"/>
        <v>0.10056454954715879</v>
      </c>
      <c r="E131" s="7">
        <f t="shared" ca="1" si="8"/>
        <v>0.93977931121321623</v>
      </c>
      <c r="F131" s="7">
        <f t="shared" ca="1" si="9"/>
        <v>2.6529533495716066E-2</v>
      </c>
      <c r="G131" s="7">
        <f t="shared" ca="1" si="5"/>
        <v>218.71695159232871</v>
      </c>
      <c r="H131" s="7">
        <f ca="1">(G131+DCF!$D$40+DCF!$D$41+DCF!$D$42-DCF!$D$43-DCF!$D$44)/DCF!$C$35</f>
        <v>1.8765320667814014</v>
      </c>
    </row>
    <row r="132" spans="3:8" x14ac:dyDescent="0.35">
      <c r="C132" s="8">
        <f t="shared" ca="1" si="6"/>
        <v>3.8647905532529725E-2</v>
      </c>
      <c r="D132" s="7">
        <f t="shared" ca="1" si="7"/>
        <v>7.4324995523436341E-2</v>
      </c>
      <c r="E132" s="7">
        <f t="shared" ca="1" si="8"/>
        <v>0.4569940846414674</v>
      </c>
      <c r="F132" s="7">
        <f t="shared" ca="1" si="9"/>
        <v>1.9560272848004573E-2</v>
      </c>
      <c r="G132" s="7">
        <f t="shared" ca="1" si="5"/>
        <v>310.84717311860294</v>
      </c>
      <c r="H132" s="7">
        <f ca="1">(G132+DCF!$D$40+DCF!$D$41+DCF!$D$42-DCF!$D$43-DCF!$D$44)/DCF!$C$35</f>
        <v>2.3965129987504397</v>
      </c>
    </row>
    <row r="133" spans="3:8" x14ac:dyDescent="0.35">
      <c r="C133" s="8">
        <f t="shared" ca="1" si="6"/>
        <v>0.71111184097930213</v>
      </c>
      <c r="D133" s="7">
        <f t="shared" ca="1" si="7"/>
        <v>9.2044522132031723E-2</v>
      </c>
      <c r="E133" s="7">
        <f t="shared" ca="1" si="8"/>
        <v>0.62088751948284748</v>
      </c>
      <c r="F133" s="7">
        <f t="shared" ca="1" si="9"/>
        <v>2.1292388610908815E-2</v>
      </c>
      <c r="G133" s="7">
        <f t="shared" ca="1" si="5"/>
        <v>235.33261724529007</v>
      </c>
      <c r="H133" s="7">
        <f ca="1">(G133+DCF!$D$40+DCF!$D$41+DCF!$D$42-DCF!$D$43-DCF!$D$44)/DCF!$C$35</f>
        <v>1.9703105161151939</v>
      </c>
    </row>
    <row r="134" spans="3:8" x14ac:dyDescent="0.35">
      <c r="C134" s="8">
        <f t="shared" ca="1" si="6"/>
        <v>0.51708017592810707</v>
      </c>
      <c r="D134" s="7">
        <f t="shared" ca="1" si="7"/>
        <v>8.6784950491884963E-2</v>
      </c>
      <c r="E134" s="7">
        <f t="shared" ca="1" si="8"/>
        <v>0.3764917721012182</v>
      </c>
      <c r="F134" s="7">
        <f t="shared" ca="1" si="9"/>
        <v>1.8677462441304117E-2</v>
      </c>
      <c r="G134" s="7">
        <f t="shared" ca="1" si="5"/>
        <v>248.16648927498647</v>
      </c>
      <c r="H134" s="7">
        <f ca="1">(G134+DCF!$D$40+DCF!$D$41+DCF!$D$42-DCF!$D$43-DCF!$D$44)/DCF!$C$35</f>
        <v>2.0427446059091685</v>
      </c>
    </row>
    <row r="135" spans="3:8" x14ac:dyDescent="0.35">
      <c r="C135" s="8">
        <f t="shared" ca="1" si="6"/>
        <v>0.81878318291029928</v>
      </c>
      <c r="D135" s="7">
        <f t="shared" ca="1" si="7"/>
        <v>9.5778960380052874E-2</v>
      </c>
      <c r="E135" s="7">
        <f t="shared" ca="1" si="8"/>
        <v>0.7524407625246452</v>
      </c>
      <c r="F135" s="7">
        <f t="shared" ca="1" si="9"/>
        <v>2.2963534445826446E-2</v>
      </c>
      <c r="G135" s="7">
        <f t="shared" ca="1" si="5"/>
        <v>226.44239089162892</v>
      </c>
      <c r="H135" s="7">
        <f ca="1">(G135+DCF!$D$40+DCF!$D$41+DCF!$D$42-DCF!$D$43-DCF!$D$44)/DCF!$C$35</f>
        <v>1.9201342752659945</v>
      </c>
    </row>
    <row r="136" spans="3:8" x14ac:dyDescent="0.35">
      <c r="C136" s="8">
        <f t="shared" ca="1" si="6"/>
        <v>0.69592527437651919</v>
      </c>
      <c r="D136" s="7">
        <f t="shared" ca="1" si="7"/>
        <v>9.157861585559314E-2</v>
      </c>
      <c r="E136" s="7">
        <f t="shared" ca="1" si="8"/>
        <v>0.56092562300701887</v>
      </c>
      <c r="F136" s="7">
        <f t="shared" ca="1" si="9"/>
        <v>2.0629040849593022E-2</v>
      </c>
      <c r="G136" s="7">
        <f t="shared" ca="1" si="5"/>
        <v>235.39861181135018</v>
      </c>
      <c r="H136" s="7">
        <f ca="1">(G136+DCF!$D$40+DCF!$D$41+DCF!$D$42-DCF!$D$43-DCF!$D$44)/DCF!$C$35</f>
        <v>1.9706829879859473</v>
      </c>
    </row>
    <row r="137" spans="3:8" x14ac:dyDescent="0.35">
      <c r="C137" s="8">
        <f t="shared" ca="1" si="6"/>
        <v>0.61630534591628516</v>
      </c>
      <c r="D137" s="7">
        <f t="shared" ca="1" si="7"/>
        <v>8.9306927875314746E-2</v>
      </c>
      <c r="E137" s="7">
        <f t="shared" ca="1" si="8"/>
        <v>7.0331068666850127E-3</v>
      </c>
      <c r="F137" s="7">
        <f t="shared" ca="1" si="9"/>
        <v>1.1186010696974105E-2</v>
      </c>
      <c r="G137" s="7">
        <f t="shared" ca="1" si="5"/>
        <v>222.41738748680953</v>
      </c>
      <c r="H137" s="7">
        <f ca="1">(G137+DCF!$D$40+DCF!$D$41+DCF!$D$42-DCF!$D$43-DCF!$D$44)/DCF!$C$35</f>
        <v>1.897417245099952</v>
      </c>
    </row>
    <row r="138" spans="3:8" x14ac:dyDescent="0.35">
      <c r="C138" s="8">
        <f t="shared" ca="1" si="6"/>
        <v>7.9482486757598281E-4</v>
      </c>
      <c r="D138" s="7">
        <f t="shared" ca="1" si="7"/>
        <v>7.0620238047774231E-2</v>
      </c>
      <c r="E138" s="7">
        <f t="shared" ca="1" si="8"/>
        <v>0.41847947822133724</v>
      </c>
      <c r="F138" s="7">
        <f t="shared" ca="1" si="9"/>
        <v>1.9148546094558822E-2</v>
      </c>
      <c r="G138" s="7">
        <f t="shared" ca="1" si="5"/>
        <v>332.39833698782809</v>
      </c>
      <c r="H138" s="7">
        <f ca="1">(G138+DCF!$D$40+DCF!$D$41+DCF!$D$42-DCF!$D$43-DCF!$D$44)/DCF!$C$35</f>
        <v>2.5181472908219216</v>
      </c>
    </row>
    <row r="139" spans="3:8" x14ac:dyDescent="0.35">
      <c r="C139" s="8">
        <f t="shared" ca="1" si="6"/>
        <v>0.17406528982455793</v>
      </c>
      <c r="D139" s="7">
        <f t="shared" ca="1" si="7"/>
        <v>7.9178649153066383E-2</v>
      </c>
      <c r="E139" s="7">
        <f t="shared" ca="1" si="8"/>
        <v>4.1557436175846951E-2</v>
      </c>
      <c r="F139" s="7">
        <f t="shared" ca="1" si="9"/>
        <v>1.2882965007621389E-2</v>
      </c>
      <c r="G139" s="7">
        <f t="shared" ca="1" si="5"/>
        <v>262.78604082862199</v>
      </c>
      <c r="H139" s="7">
        <f ca="1">(G139+DCF!$D$40+DCF!$D$41+DCF!$D$42-DCF!$D$43-DCF!$D$44)/DCF!$C$35</f>
        <v>2.1252570314291792</v>
      </c>
    </row>
    <row r="140" spans="3:8" x14ac:dyDescent="0.35">
      <c r="C140" s="8">
        <f t="shared" ca="1" si="6"/>
        <v>4.9464944647359288E-2</v>
      </c>
      <c r="D140" s="7">
        <f t="shared" ca="1" si="7"/>
        <v>7.4892957511497715E-2</v>
      </c>
      <c r="E140" s="7">
        <f t="shared" ca="1" si="8"/>
        <v>0.60853158812617436</v>
      </c>
      <c r="F140" s="7">
        <f t="shared" ca="1" si="9"/>
        <v>2.1151628264207863E-2</v>
      </c>
      <c r="G140" s="7">
        <f t="shared" ca="1" si="5"/>
        <v>314.49372021751424</v>
      </c>
      <c r="H140" s="7">
        <f ca="1">(G140+DCF!$D$40+DCF!$D$41+DCF!$D$42-DCF!$D$43-DCF!$D$44)/DCF!$C$35</f>
        <v>2.4170940298990531</v>
      </c>
    </row>
    <row r="141" spans="3:8" x14ac:dyDescent="0.35">
      <c r="C141" s="8">
        <f t="shared" ca="1" si="6"/>
        <v>0.11676686170500283</v>
      </c>
      <c r="D141" s="7">
        <f t="shared" ca="1" si="7"/>
        <v>7.7517656620598036E-2</v>
      </c>
      <c r="E141" s="7">
        <f t="shared" ca="1" si="8"/>
        <v>0.42481622332696767</v>
      </c>
      <c r="F141" s="7">
        <f t="shared" ca="1" si="9"/>
        <v>1.9217550903867769E-2</v>
      </c>
      <c r="G141" s="7">
        <f t="shared" ca="1" si="5"/>
        <v>291.5990644283861</v>
      </c>
      <c r="H141" s="7">
        <f ca="1">(G141+DCF!$D$40+DCF!$D$41+DCF!$D$42-DCF!$D$43-DCF!$D$44)/DCF!$C$35</f>
        <v>2.2878770991555823</v>
      </c>
    </row>
    <row r="142" spans="3:8" x14ac:dyDescent="0.35">
      <c r="C142" s="8">
        <f t="shared" ca="1" si="6"/>
        <v>0.8451422928020117</v>
      </c>
      <c r="D142" s="7">
        <f t="shared" ca="1" si="7"/>
        <v>9.6853852228391962E-2</v>
      </c>
      <c r="E142" s="7">
        <f t="shared" ca="1" si="8"/>
        <v>0.3557899609807299</v>
      </c>
      <c r="F142" s="7">
        <f t="shared" ca="1" si="9"/>
        <v>1.8435519675523614E-2</v>
      </c>
      <c r="G142" s="7">
        <f t="shared" ca="1" si="5"/>
        <v>213.91726161730406</v>
      </c>
      <c r="H142" s="7">
        <f ca="1">(G142+DCF!$D$40+DCF!$D$41+DCF!$D$42-DCF!$D$43-DCF!$D$44)/DCF!$C$35</f>
        <v>1.8494427227525909</v>
      </c>
    </row>
    <row r="143" spans="3:8" x14ac:dyDescent="0.35">
      <c r="C143" s="8">
        <f t="shared" ca="1" si="6"/>
        <v>0.16393036979231945</v>
      </c>
      <c r="D143" s="7">
        <f t="shared" ca="1" si="7"/>
        <v>7.8907429426017514E-2</v>
      </c>
      <c r="E143" s="7">
        <f t="shared" ca="1" si="8"/>
        <v>0.31211077827202061</v>
      </c>
      <c r="F143" s="7">
        <f t="shared" ca="1" si="9"/>
        <v>1.7900769307757573E-2</v>
      </c>
      <c r="G143" s="7">
        <f t="shared" ca="1" si="5"/>
        <v>279.8455181804614</v>
      </c>
      <c r="H143" s="7">
        <f ca="1">(G143+DCF!$D$40+DCF!$D$41+DCF!$D$42-DCF!$D$43-DCF!$D$44)/DCF!$C$35</f>
        <v>2.2215403441723747</v>
      </c>
    </row>
    <row r="144" spans="3:8" x14ac:dyDescent="0.35">
      <c r="C144" s="8">
        <f t="shared" ca="1" si="6"/>
        <v>0.48527484685168498</v>
      </c>
      <c r="D144" s="7">
        <f t="shared" ca="1" si="7"/>
        <v>8.6032662414996547E-2</v>
      </c>
      <c r="E144" s="7">
        <f t="shared" ca="1" si="8"/>
        <v>6.109907192183972E-2</v>
      </c>
      <c r="F144" s="7">
        <f t="shared" ca="1" si="9"/>
        <v>1.3495685109441059E-2</v>
      </c>
      <c r="G144" s="7">
        <f t="shared" ref="G144:G207" ca="1" si="10">$C$11/(1+D144)^1
 +$D$11/(1+D144)^2
 +$E$11/(1+D144)^3
 +$F$11/(1+D144)^4
 +$G$11/(1+D144)^5
 +$H$11/(1+D144)^6
 +$I$11/(1+D144)^7
 + ( $I$11*(1+F144)/(D144-F144) )/(1+D144)^7</f>
        <v>238.07687443279775</v>
      </c>
      <c r="H144" s="7">
        <f ca="1">(G144+DCF!$D$40+DCF!$D$41+DCF!$D$42-DCF!$D$43-DCF!$D$44)/DCF!$C$35</f>
        <v>1.985799042966462</v>
      </c>
    </row>
    <row r="145" spans="3:8" x14ac:dyDescent="0.35">
      <c r="C145" s="8">
        <f t="shared" ref="C145:C208" ca="1" si="11">RAND()</f>
        <v>0.48518759420224566</v>
      </c>
      <c r="D145" s="7">
        <f t="shared" ref="D145:D208" ca="1" si="12">IF(C145&lt;($C$6-0.07)/(0.11-0.07),0.07+SQRT(C145*(0.11-0.07)*($C$6-0.07)),0.11-SQRT((1-C145)*(0.11-0.07)*(0.11-$C$6)))</f>
        <v>8.6030631112390676E-2</v>
      </c>
      <c r="E145" s="7">
        <f t="shared" ref="E145:E208" ca="1" si="13">RAND()</f>
        <v>0.67361212650211788</v>
      </c>
      <c r="F145" s="7">
        <f t="shared" ref="F145:F208" ca="1" si="14">MIN(
 IF(E145&lt;(0.02-0.01)/(0.03-0.01),
   0.01+SQRT(E145*(0.03-0.01)*(0.02-0.01)),
   0.03-SQRT((1-E145)*(0.03-0.01)*(0.03-0.02))
 ),
 D145-0.005
)</f>
        <v>2.1920546138532851E-2</v>
      </c>
      <c r="G145" s="7">
        <f t="shared" ca="1" si="10"/>
        <v>260.33066575010639</v>
      </c>
      <c r="H145" s="7">
        <f ca="1">(G145+DCF!$D$40+DCF!$D$41+DCF!$D$42-DCF!$D$43-DCF!$D$44)/DCF!$C$35</f>
        <v>2.1113989488097209</v>
      </c>
    </row>
    <row r="146" spans="3:8" x14ac:dyDescent="0.35">
      <c r="C146" s="8">
        <f t="shared" ca="1" si="11"/>
        <v>0.24824603371896592</v>
      </c>
      <c r="D146" s="7">
        <f t="shared" ca="1" si="12"/>
        <v>8.0961344822601811E-2</v>
      </c>
      <c r="E146" s="7">
        <f t="shared" ca="1" si="13"/>
        <v>0.27081770378313574</v>
      </c>
      <c r="F146" s="7">
        <f t="shared" ca="1" si="14"/>
        <v>1.735958835510704E-2</v>
      </c>
      <c r="G146" s="7">
        <f t="shared" ca="1" si="10"/>
        <v>268.53703735217846</v>
      </c>
      <c r="H146" s="7">
        <f ca="1">(G146+DCF!$D$40+DCF!$D$41+DCF!$D$42-DCF!$D$43-DCF!$D$44)/DCF!$C$35</f>
        <v>2.1577155285708232</v>
      </c>
    </row>
    <row r="147" spans="3:8" x14ac:dyDescent="0.35">
      <c r="C147" s="8">
        <f t="shared" ca="1" si="11"/>
        <v>0.34641954614651094</v>
      </c>
      <c r="D147" s="7">
        <f t="shared" ca="1" si="12"/>
        <v>8.2992671614902494E-2</v>
      </c>
      <c r="E147" s="7">
        <f t="shared" ca="1" si="13"/>
        <v>0.59201078182275413</v>
      </c>
      <c r="F147" s="7">
        <f t="shared" ca="1" si="14"/>
        <v>2.0966847525063625E-2</v>
      </c>
      <c r="G147" s="7">
        <f t="shared" ca="1" si="10"/>
        <v>270.82536879326528</v>
      </c>
      <c r="H147" s="7">
        <f ca="1">(G147+DCF!$D$40+DCF!$D$41+DCF!$D$42-DCF!$D$43-DCF!$D$44)/DCF!$C$35</f>
        <v>2.1706308205963722</v>
      </c>
    </row>
    <row r="148" spans="3:8" x14ac:dyDescent="0.35">
      <c r="C148" s="8">
        <f t="shared" ca="1" si="11"/>
        <v>0.12899589996535865</v>
      </c>
      <c r="D148" s="7">
        <f t="shared" ca="1" si="12"/>
        <v>7.790151982742774E-2</v>
      </c>
      <c r="E148" s="7">
        <f t="shared" ca="1" si="13"/>
        <v>0.99101039362815213</v>
      </c>
      <c r="F148" s="7">
        <f t="shared" ca="1" si="14"/>
        <v>2.8659134132595816E-2</v>
      </c>
      <c r="G148" s="7">
        <f t="shared" ca="1" si="10"/>
        <v>331.5646703856562</v>
      </c>
      <c r="H148" s="7">
        <f ca="1">(G148+DCF!$D$40+DCF!$D$41+DCF!$D$42-DCF!$D$43-DCF!$D$44)/DCF!$C$35</f>
        <v>2.5134420949636311</v>
      </c>
    </row>
    <row r="149" spans="3:8" x14ac:dyDescent="0.35">
      <c r="C149" s="8">
        <f t="shared" ca="1" si="11"/>
        <v>0.84159782132984928</v>
      </c>
      <c r="D149" s="7">
        <f t="shared" ca="1" si="12"/>
        <v>9.6704255139485856E-2</v>
      </c>
      <c r="E149" s="7">
        <f t="shared" ca="1" si="13"/>
        <v>0.34564133838307998</v>
      </c>
      <c r="F149" s="7">
        <f t="shared" ca="1" si="14"/>
        <v>1.8314341084933669E-2</v>
      </c>
      <c r="G149" s="7">
        <f t="shared" ca="1" si="10"/>
        <v>214.1241781284956</v>
      </c>
      <c r="H149" s="7">
        <f ca="1">(G149+DCF!$D$40+DCF!$D$41+DCF!$D$42-DCF!$D$43-DCF!$D$44)/DCF!$C$35</f>
        <v>1.8506105549638536</v>
      </c>
    </row>
    <row r="150" spans="3:8" x14ac:dyDescent="0.35">
      <c r="C150" s="8">
        <f t="shared" ca="1" si="11"/>
        <v>0.77354327831597625</v>
      </c>
      <c r="D150" s="7">
        <f t="shared" ca="1" si="12"/>
        <v>9.4102651120410968E-2</v>
      </c>
      <c r="E150" s="7">
        <f t="shared" ca="1" si="13"/>
        <v>0.45252196657736532</v>
      </c>
      <c r="F150" s="7">
        <f t="shared" ca="1" si="14"/>
        <v>1.9513379699952749E-2</v>
      </c>
      <c r="G150" s="7">
        <f t="shared" ca="1" si="10"/>
        <v>224.44965986595577</v>
      </c>
      <c r="H150" s="7">
        <f ca="1">(G150+DCF!$D$40+DCF!$D$41+DCF!$D$42-DCF!$D$43-DCF!$D$44)/DCF!$C$35</f>
        <v>1.9088873454450601</v>
      </c>
    </row>
    <row r="151" spans="3:8" x14ac:dyDescent="0.35">
      <c r="C151" s="8">
        <f t="shared" ca="1" si="11"/>
        <v>9.7064383217646655E-2</v>
      </c>
      <c r="D151" s="7">
        <f t="shared" ca="1" si="12"/>
        <v>7.6854134626438336E-2</v>
      </c>
      <c r="E151" s="7">
        <f t="shared" ca="1" si="13"/>
        <v>0.80526406872808254</v>
      </c>
      <c r="F151" s="7">
        <f t="shared" ca="1" si="14"/>
        <v>2.375923191791399E-2</v>
      </c>
      <c r="G151" s="7">
        <f t="shared" ca="1" si="10"/>
        <v>314.30305333122931</v>
      </c>
      <c r="H151" s="7">
        <f ca="1">(G151+DCF!$D$40+DCF!$D$41+DCF!$D$42-DCF!$D$43-DCF!$D$44)/DCF!$C$35</f>
        <v>2.41601791021125</v>
      </c>
    </row>
    <row r="152" spans="3:8" x14ac:dyDescent="0.35">
      <c r="C152" s="8">
        <f t="shared" ca="1" si="11"/>
        <v>0.3616655866591264</v>
      </c>
      <c r="D152" s="7">
        <f t="shared" ca="1" si="12"/>
        <v>8.3309529691509468E-2</v>
      </c>
      <c r="E152" s="7">
        <f t="shared" ca="1" si="13"/>
        <v>0.15042624742654986</v>
      </c>
      <c r="F152" s="7">
        <f t="shared" ca="1" si="14"/>
        <v>1.5485002232024155E-2</v>
      </c>
      <c r="G152" s="7">
        <f t="shared" ca="1" si="10"/>
        <v>253.21604972555298</v>
      </c>
      <c r="H152" s="7">
        <f ca="1">(G152+DCF!$D$40+DCF!$D$41+DCF!$D$42-DCF!$D$43-DCF!$D$44)/DCF!$C$35</f>
        <v>2.0712442133737046</v>
      </c>
    </row>
    <row r="153" spans="3:8" x14ac:dyDescent="0.35">
      <c r="C153" s="8">
        <f t="shared" ca="1" si="11"/>
        <v>7.5046814173535648E-2</v>
      </c>
      <c r="D153" s="7">
        <f t="shared" ca="1" si="12"/>
        <v>7.6026828192340593E-2</v>
      </c>
      <c r="E153" s="7">
        <f t="shared" ca="1" si="13"/>
        <v>0.49225908094660042</v>
      </c>
      <c r="F153" s="7">
        <f t="shared" ca="1" si="14"/>
        <v>1.9922288858389484E-2</v>
      </c>
      <c r="G153" s="7">
        <f t="shared" ca="1" si="10"/>
        <v>302.51258167647177</v>
      </c>
      <c r="H153" s="7">
        <f ca="1">(G153+DCF!$D$40+DCF!$D$41+DCF!$D$42-DCF!$D$43-DCF!$D$44)/DCF!$C$35</f>
        <v>2.3494727490488301</v>
      </c>
    </row>
    <row r="154" spans="3:8" x14ac:dyDescent="0.35">
      <c r="C154" s="8">
        <f t="shared" ca="1" si="11"/>
        <v>0.96475689474306703</v>
      </c>
      <c r="D154" s="7">
        <f t="shared" ca="1" si="12"/>
        <v>0.10372853243118191</v>
      </c>
      <c r="E154" s="7">
        <f t="shared" ca="1" si="13"/>
        <v>0.80112023553022094</v>
      </c>
      <c r="F154" s="7">
        <f t="shared" ca="1" si="14"/>
        <v>2.3693182031011534E-2</v>
      </c>
      <c r="G154" s="7">
        <f t="shared" ca="1" si="10"/>
        <v>204.14498067522157</v>
      </c>
      <c r="H154" s="7">
        <f ca="1">(G154+DCF!$D$40+DCF!$D$41+DCF!$D$42-DCF!$D$43-DCF!$D$44)/DCF!$C$35</f>
        <v>1.794288185321264</v>
      </c>
    </row>
    <row r="155" spans="3:8" x14ac:dyDescent="0.35">
      <c r="C155" s="8">
        <f t="shared" ca="1" si="11"/>
        <v>0.68454946378321624</v>
      </c>
      <c r="D155" s="7">
        <f t="shared" ca="1" si="12"/>
        <v>9.1237196413703772E-2</v>
      </c>
      <c r="E155" s="7">
        <f t="shared" ca="1" si="13"/>
        <v>0.48418438131875097</v>
      </c>
      <c r="F155" s="7">
        <f t="shared" ca="1" si="14"/>
        <v>1.9840572964200318E-2</v>
      </c>
      <c r="G155" s="7">
        <f t="shared" ca="1" si="10"/>
        <v>234.73730293079137</v>
      </c>
      <c r="H155" s="7">
        <f ca="1">(G155+DCF!$D$40+DCF!$D$41+DCF!$D$42-DCF!$D$43-DCF!$D$44)/DCF!$C$35</f>
        <v>1.9669505752951313</v>
      </c>
    </row>
    <row r="156" spans="3:8" x14ac:dyDescent="0.35">
      <c r="C156" s="8">
        <f t="shared" ca="1" si="11"/>
        <v>0.46064949971356173</v>
      </c>
      <c r="D156" s="7">
        <f t="shared" ca="1" si="12"/>
        <v>8.5466040712521243E-2</v>
      </c>
      <c r="E156" s="7">
        <f t="shared" ca="1" si="13"/>
        <v>0.59219675292725327</v>
      </c>
      <c r="F156" s="7">
        <f t="shared" ca="1" si="14"/>
        <v>2.0968906521658115E-2</v>
      </c>
      <c r="G156" s="7">
        <f t="shared" ca="1" si="10"/>
        <v>259.9060379091685</v>
      </c>
      <c r="H156" s="7">
        <f ca="1">(G156+DCF!$D$40+DCF!$D$41+DCF!$D$42-DCF!$D$43-DCF!$D$44)/DCF!$C$35</f>
        <v>2.109002358670101</v>
      </c>
    </row>
    <row r="157" spans="3:8" x14ac:dyDescent="0.35">
      <c r="C157" s="8">
        <f t="shared" ca="1" si="11"/>
        <v>0.78107217366036286</v>
      </c>
      <c r="D157" s="7">
        <f t="shared" ca="1" si="12"/>
        <v>9.4369150560668982E-2</v>
      </c>
      <c r="E157" s="7">
        <f t="shared" ca="1" si="13"/>
        <v>0.33542385532188879</v>
      </c>
      <c r="F157" s="7">
        <f t="shared" ca="1" si="14"/>
        <v>1.8190529351902584E-2</v>
      </c>
      <c r="G157" s="7">
        <f t="shared" ca="1" si="10"/>
        <v>220.88031594604229</v>
      </c>
      <c r="H157" s="7">
        <f ca="1">(G157+DCF!$D$40+DCF!$D$41+DCF!$D$42-DCF!$D$43-DCF!$D$44)/DCF!$C$35</f>
        <v>1.8887420473306371</v>
      </c>
    </row>
    <row r="158" spans="3:8" x14ac:dyDescent="0.35">
      <c r="C158" s="8">
        <f t="shared" ca="1" si="11"/>
        <v>3.1575532875538159E-2</v>
      </c>
      <c r="D158" s="7">
        <f t="shared" ca="1" si="12"/>
        <v>7.3909291228824031E-2</v>
      </c>
      <c r="E158" s="7">
        <f t="shared" ca="1" si="13"/>
        <v>0.59250516245521267</v>
      </c>
      <c r="F158" s="7">
        <f t="shared" ca="1" si="14"/>
        <v>2.0972322141937193E-2</v>
      </c>
      <c r="G158" s="7">
        <f t="shared" ca="1" si="10"/>
        <v>319.78574599016787</v>
      </c>
      <c r="H158" s="7">
        <f ca="1">(G158+DCF!$D$40+DCF!$D$41+DCF!$D$42-DCF!$D$43-DCF!$D$44)/DCF!$C$35</f>
        <v>2.4469621062770508</v>
      </c>
    </row>
    <row r="159" spans="3:8" x14ac:dyDescent="0.35">
      <c r="C159" s="8">
        <f t="shared" ca="1" si="11"/>
        <v>4.1500815758017784E-2</v>
      </c>
      <c r="D159" s="7">
        <f t="shared" ca="1" si="12"/>
        <v>7.4481784781410265E-2</v>
      </c>
      <c r="E159" s="7">
        <f t="shared" ca="1" si="13"/>
        <v>2.4573393965429902E-2</v>
      </c>
      <c r="F159" s="7">
        <f t="shared" ca="1" si="14"/>
        <v>1.2216907484106178E-2</v>
      </c>
      <c r="G159" s="7">
        <f t="shared" ca="1" si="10"/>
        <v>281.80171300321564</v>
      </c>
      <c r="H159" s="7">
        <f ca="1">(G159+DCF!$D$40+DCF!$D$41+DCF!$D$42-DCF!$D$43-DCF!$D$44)/DCF!$C$35</f>
        <v>2.232581064472376</v>
      </c>
    </row>
    <row r="160" spans="3:8" x14ac:dyDescent="0.35">
      <c r="C160" s="8">
        <f t="shared" ca="1" si="11"/>
        <v>0.57468156069429943</v>
      </c>
      <c r="D160" s="7">
        <f t="shared" ca="1" si="12"/>
        <v>8.8213412881656711E-2</v>
      </c>
      <c r="E160" s="7">
        <f t="shared" ca="1" si="13"/>
        <v>0.6764161227205201</v>
      </c>
      <c r="F160" s="7">
        <f t="shared" ca="1" si="14"/>
        <v>2.1955326267902718E-2</v>
      </c>
      <c r="G160" s="7">
        <f t="shared" ca="1" si="10"/>
        <v>251.40345124708335</v>
      </c>
      <c r="H160" s="7">
        <f ca="1">(G160+DCF!$D$40+DCF!$D$41+DCF!$D$42-DCF!$D$43-DCF!$D$44)/DCF!$C$35</f>
        <v>2.0610139476638634</v>
      </c>
    </row>
    <row r="161" spans="3:8" x14ac:dyDescent="0.35">
      <c r="C161" s="8">
        <f t="shared" ca="1" si="11"/>
        <v>0.67971661357588498</v>
      </c>
      <c r="D161" s="7">
        <f t="shared" ca="1" si="12"/>
        <v>9.1094015253118596E-2</v>
      </c>
      <c r="E161" s="7">
        <f t="shared" ca="1" si="13"/>
        <v>0.6609099218861344</v>
      </c>
      <c r="F161" s="7">
        <f t="shared" ca="1" si="14"/>
        <v>2.1764830565023381E-2</v>
      </c>
      <c r="G161" s="7">
        <f t="shared" ca="1" si="10"/>
        <v>239.88862658547521</v>
      </c>
      <c r="H161" s="7">
        <f ca="1">(G161+DCF!$D$40+DCF!$D$41+DCF!$D$42-DCF!$D$43-DCF!$D$44)/DCF!$C$35</f>
        <v>1.9960245320322565</v>
      </c>
    </row>
    <row r="162" spans="3:8" x14ac:dyDescent="0.35">
      <c r="C162" s="8">
        <f t="shared" ca="1" si="11"/>
        <v>0.72309062015853331</v>
      </c>
      <c r="D162" s="7">
        <f t="shared" ca="1" si="12"/>
        <v>9.2420726183852858E-2</v>
      </c>
      <c r="E162" s="7">
        <f t="shared" ca="1" si="13"/>
        <v>0.38736285535427639</v>
      </c>
      <c r="F162" s="7">
        <f t="shared" ca="1" si="14"/>
        <v>1.8801850434474292E-2</v>
      </c>
      <c r="G162" s="7">
        <f t="shared" ca="1" si="10"/>
        <v>228.37766872351793</v>
      </c>
      <c r="H162" s="7">
        <f ca="1">(G162+DCF!$D$40+DCF!$D$41+DCF!$D$42-DCF!$D$43-DCF!$D$44)/DCF!$C$35</f>
        <v>1.9310569405323281</v>
      </c>
    </row>
    <row r="163" spans="3:8" x14ac:dyDescent="0.35">
      <c r="C163" s="8">
        <f t="shared" ca="1" si="11"/>
        <v>0.13893206478407216</v>
      </c>
      <c r="D163" s="7">
        <f t="shared" ca="1" si="12"/>
        <v>7.8200190202397199E-2</v>
      </c>
      <c r="E163" s="7">
        <f t="shared" ca="1" si="13"/>
        <v>0.26256772286714947</v>
      </c>
      <c r="F163" s="7">
        <f t="shared" ca="1" si="14"/>
        <v>1.7246622977182536E-2</v>
      </c>
      <c r="G163" s="7">
        <f t="shared" ca="1" si="10"/>
        <v>281.02262920002789</v>
      </c>
      <c r="H163" s="7">
        <f ca="1">(G163+DCF!$D$40+DCF!$D$41+DCF!$D$42-DCF!$D$43-DCF!$D$44)/DCF!$C$35</f>
        <v>2.2281839327239412</v>
      </c>
    </row>
    <row r="164" spans="3:8" x14ac:dyDescent="0.35">
      <c r="C164" s="8">
        <f t="shared" ca="1" si="11"/>
        <v>0.49332657288743487</v>
      </c>
      <c r="D164" s="7">
        <f t="shared" ca="1" si="12"/>
        <v>8.6220859042900166E-2</v>
      </c>
      <c r="E164" s="7">
        <f t="shared" ca="1" si="13"/>
        <v>0.36776341837290094</v>
      </c>
      <c r="F164" s="7">
        <f t="shared" ca="1" si="14"/>
        <v>1.8576286123642344E-2</v>
      </c>
      <c r="G164" s="7">
        <f t="shared" ca="1" si="10"/>
        <v>250.08842690818523</v>
      </c>
      <c r="H164" s="7">
        <f ca="1">(G164+DCF!$D$40+DCF!$D$41+DCF!$D$42-DCF!$D$43-DCF!$D$44)/DCF!$C$35</f>
        <v>2.0535919793892381</v>
      </c>
    </row>
    <row r="165" spans="3:8" x14ac:dyDescent="0.35">
      <c r="C165" s="8">
        <f t="shared" ca="1" si="11"/>
        <v>0.95241960291913064</v>
      </c>
      <c r="D165" s="7">
        <f t="shared" ca="1" si="12"/>
        <v>0.10271304431588539</v>
      </c>
      <c r="E165" s="7">
        <f t="shared" ca="1" si="13"/>
        <v>0.4444993476680591</v>
      </c>
      <c r="F165" s="7">
        <f t="shared" ca="1" si="14"/>
        <v>1.9428672734463311E-2</v>
      </c>
      <c r="G165" s="7">
        <f t="shared" ca="1" si="10"/>
        <v>199.66840585160298</v>
      </c>
      <c r="H165" s="7">
        <f ca="1">(G165+DCF!$D$40+DCF!$D$41+DCF!$D$42-DCF!$D$43-DCF!$D$44)/DCF!$C$35</f>
        <v>1.7690224960582626</v>
      </c>
    </row>
    <row r="166" spans="3:8" x14ac:dyDescent="0.35">
      <c r="C166" s="8">
        <f t="shared" ca="1" si="11"/>
        <v>0.88610774961478045</v>
      </c>
      <c r="D166" s="7">
        <f t="shared" ca="1" si="12"/>
        <v>9.8725970044837338E-2</v>
      </c>
      <c r="E166" s="7">
        <f t="shared" ca="1" si="13"/>
        <v>0.35050494157864709</v>
      </c>
      <c r="F166" s="7">
        <f t="shared" ca="1" si="14"/>
        <v>1.837263329638468E-2</v>
      </c>
      <c r="G166" s="7">
        <f t="shared" ca="1" si="10"/>
        <v>208.49262025906029</v>
      </c>
      <c r="H166" s="7">
        <f ca="1">(G166+DCF!$D$40+DCF!$D$41+DCF!$D$42-DCF!$D$43-DCF!$D$44)/DCF!$C$35</f>
        <v>1.8188261669435617</v>
      </c>
    </row>
    <row r="167" spans="3:8" x14ac:dyDescent="0.35">
      <c r="C167" s="8">
        <f t="shared" ca="1" si="11"/>
        <v>0.27675535658680417</v>
      </c>
      <c r="D167" s="7">
        <f t="shared" ca="1" si="12"/>
        <v>8.1573659429411832E-2</v>
      </c>
      <c r="E167" s="7">
        <f t="shared" ca="1" si="13"/>
        <v>3.54839604204924E-2</v>
      </c>
      <c r="F167" s="7">
        <f t="shared" ca="1" si="14"/>
        <v>1.2663980496193335E-2</v>
      </c>
      <c r="G167" s="7">
        <f t="shared" ca="1" si="10"/>
        <v>252.47662897637744</v>
      </c>
      <c r="H167" s="7">
        <f ca="1">(G167+DCF!$D$40+DCF!$D$41+DCF!$D$42-DCF!$D$43-DCF!$D$44)/DCF!$C$35</f>
        <v>2.0670709390245934</v>
      </c>
    </row>
    <row r="168" spans="3:8" x14ac:dyDescent="0.35">
      <c r="C168" s="8">
        <f t="shared" ca="1" si="11"/>
        <v>8.630141401810143E-2</v>
      </c>
      <c r="D168" s="7">
        <f t="shared" ca="1" si="12"/>
        <v>7.6462962508382762E-2</v>
      </c>
      <c r="E168" s="7">
        <f t="shared" ca="1" si="13"/>
        <v>0.444010664611873</v>
      </c>
      <c r="F168" s="7">
        <f t="shared" ca="1" si="14"/>
        <v>1.9423488362722938E-2</v>
      </c>
      <c r="G168" s="7">
        <f t="shared" ca="1" si="10"/>
        <v>298.0625067775901</v>
      </c>
      <c r="H168" s="7">
        <f ca="1">(G168+DCF!$D$40+DCF!$D$41+DCF!$D$42-DCF!$D$43-DCF!$D$44)/DCF!$C$35</f>
        <v>2.3243566247747491</v>
      </c>
    </row>
    <row r="169" spans="3:8" x14ac:dyDescent="0.35">
      <c r="C169" s="8">
        <f t="shared" ca="1" si="11"/>
        <v>0.16835929837136732</v>
      </c>
      <c r="D169" s="7">
        <f t="shared" ca="1" si="12"/>
        <v>7.9026954104887304E-2</v>
      </c>
      <c r="E169" s="7">
        <f t="shared" ca="1" si="13"/>
        <v>3.4039552344754198E-2</v>
      </c>
      <c r="F169" s="7">
        <f t="shared" ca="1" si="14"/>
        <v>1.2609197284405845E-2</v>
      </c>
      <c r="G169" s="7">
        <f t="shared" ca="1" si="10"/>
        <v>262.63053919824858</v>
      </c>
      <c r="H169" s="7">
        <f ca="1">(G169+DCF!$D$40+DCF!$D$41+DCF!$D$42-DCF!$D$43-DCF!$D$44)/DCF!$C$35</f>
        <v>2.1243793836677307</v>
      </c>
    </row>
    <row r="170" spans="3:8" x14ac:dyDescent="0.35">
      <c r="C170" s="8">
        <f t="shared" ca="1" si="11"/>
        <v>0.5531646924782978</v>
      </c>
      <c r="D170" s="7">
        <f t="shared" ca="1" si="12"/>
        <v>8.7669119963731404E-2</v>
      </c>
      <c r="E170" s="7">
        <f t="shared" ca="1" si="13"/>
        <v>0.71457805846408418</v>
      </c>
      <c r="F170" s="7">
        <f t="shared" ca="1" si="14"/>
        <v>2.2444578879560508E-2</v>
      </c>
      <c r="G170" s="7">
        <f t="shared" ca="1" si="10"/>
        <v>254.98798625147779</v>
      </c>
      <c r="H170" s="7">
        <f ca="1">(G170+DCF!$D$40+DCF!$D$41+DCF!$D$42-DCF!$D$43-DCF!$D$44)/DCF!$C$35</f>
        <v>2.0812449839230034</v>
      </c>
    </row>
    <row r="171" spans="3:8" x14ac:dyDescent="0.35">
      <c r="C171" s="8">
        <f t="shared" ca="1" si="11"/>
        <v>0.90702890447548934</v>
      </c>
      <c r="D171" s="7">
        <f t="shared" ca="1" si="12"/>
        <v>9.9813943716758974E-2</v>
      </c>
      <c r="E171" s="7">
        <f t="shared" ca="1" si="13"/>
        <v>0.46478879327285005</v>
      </c>
      <c r="F171" s="7">
        <f t="shared" ca="1" si="14"/>
        <v>1.9641460400508317E-2</v>
      </c>
      <c r="G171" s="7">
        <f t="shared" ca="1" si="10"/>
        <v>207.73422785289898</v>
      </c>
      <c r="H171" s="7">
        <f ca="1">(G171+DCF!$D$40+DCF!$D$41+DCF!$D$42-DCF!$D$43-DCF!$D$44)/DCF!$C$35</f>
        <v>1.8145458169821591</v>
      </c>
    </row>
    <row r="172" spans="3:8" x14ac:dyDescent="0.35">
      <c r="C172" s="8">
        <f t="shared" ca="1" si="11"/>
        <v>8.0021596317717547E-2</v>
      </c>
      <c r="D172" s="7">
        <f t="shared" ca="1" si="12"/>
        <v>7.6223379517414577E-2</v>
      </c>
      <c r="E172" s="7">
        <f t="shared" ca="1" si="13"/>
        <v>0.8617434586205206</v>
      </c>
      <c r="F172" s="7">
        <f t="shared" ca="1" si="14"/>
        <v>2.4741548871017639E-2</v>
      </c>
      <c r="G172" s="7">
        <f t="shared" ca="1" si="10"/>
        <v>322.96368652167712</v>
      </c>
      <c r="H172" s="7">
        <f ca="1">(G172+DCF!$D$40+DCF!$D$41+DCF!$D$42-DCF!$D$43-DCF!$D$44)/DCF!$C$35</f>
        <v>2.4648983323268827</v>
      </c>
    </row>
    <row r="173" spans="3:8" x14ac:dyDescent="0.35">
      <c r="C173" s="8">
        <f t="shared" ca="1" si="11"/>
        <v>0.11552101075098076</v>
      </c>
      <c r="D173" s="7">
        <f t="shared" ca="1" si="12"/>
        <v>7.7477444028775794E-2</v>
      </c>
      <c r="E173" s="7">
        <f t="shared" ca="1" si="13"/>
        <v>0.83822691752806111</v>
      </c>
      <c r="F173" s="7">
        <f t="shared" ca="1" si="14"/>
        <v>2.4311888143295018E-2</v>
      </c>
      <c r="G173" s="7">
        <f t="shared" ca="1" si="10"/>
        <v>312.98772409145488</v>
      </c>
      <c r="H173" s="7">
        <f ca="1">(G173+DCF!$D$40+DCF!$D$41+DCF!$D$42-DCF!$D$43-DCF!$D$44)/DCF!$C$35</f>
        <v>2.4085942210828244</v>
      </c>
    </row>
    <row r="174" spans="3:8" x14ac:dyDescent="0.35">
      <c r="C174" s="8">
        <f t="shared" ca="1" si="11"/>
        <v>0.93245022771993713</v>
      </c>
      <c r="D174" s="7">
        <f t="shared" ca="1" si="12"/>
        <v>0.10131751499485601</v>
      </c>
      <c r="E174" s="7">
        <f t="shared" ca="1" si="13"/>
        <v>0.52974552744662118</v>
      </c>
      <c r="F174" s="7">
        <f t="shared" ca="1" si="14"/>
        <v>2.0302015956361046E-2</v>
      </c>
      <c r="G174" s="7">
        <f t="shared" ca="1" si="10"/>
        <v>204.78791240159097</v>
      </c>
      <c r="H174" s="7">
        <f ca="1">(G174+DCF!$D$40+DCF!$D$41+DCF!$D$42-DCF!$D$43-DCF!$D$44)/DCF!$C$35</f>
        <v>1.7979168777604186</v>
      </c>
    </row>
    <row r="175" spans="3:8" x14ac:dyDescent="0.35">
      <c r="C175" s="8">
        <f t="shared" ca="1" si="11"/>
        <v>5.3644874329807912E-2</v>
      </c>
      <c r="D175" s="7">
        <f t="shared" ca="1" si="12"/>
        <v>7.5095499894576298E-2</v>
      </c>
      <c r="E175" s="7">
        <f t="shared" ca="1" si="13"/>
        <v>0.60573079544651043</v>
      </c>
      <c r="F175" s="7">
        <f t="shared" ca="1" si="14"/>
        <v>2.1120031480309297E-2</v>
      </c>
      <c r="G175" s="7">
        <f t="shared" ca="1" si="10"/>
        <v>313.11673155621247</v>
      </c>
      <c r="H175" s="7">
        <f ca="1">(G175+DCF!$D$40+DCF!$D$41+DCF!$D$42-DCF!$D$43-DCF!$D$44)/DCF!$C$35</f>
        <v>2.4093223363597045</v>
      </c>
    </row>
    <row r="176" spans="3:8" x14ac:dyDescent="0.35">
      <c r="C176" s="8">
        <f t="shared" ca="1" si="11"/>
        <v>0.98434475103096875</v>
      </c>
      <c r="D176" s="7">
        <f t="shared" ca="1" si="12"/>
        <v>0.10582013662311328</v>
      </c>
      <c r="E176" s="7">
        <f t="shared" ca="1" si="13"/>
        <v>0.22984474749008144</v>
      </c>
      <c r="F176" s="7">
        <f t="shared" ca="1" si="14"/>
        <v>1.6780040523331426E-2</v>
      </c>
      <c r="G176" s="7">
        <f t="shared" ca="1" si="10"/>
        <v>188.21115736484981</v>
      </c>
      <c r="H176" s="7">
        <f ca="1">(G176+DCF!$D$40+DCF!$D$41+DCF!$D$42-DCF!$D$43-DCF!$D$44)/DCF!$C$35</f>
        <v>1.704358039083699</v>
      </c>
    </row>
    <row r="177" spans="3:8" x14ac:dyDescent="0.35">
      <c r="C177" s="8">
        <f t="shared" ca="1" si="11"/>
        <v>0.89827655487659785</v>
      </c>
      <c r="D177" s="7">
        <f t="shared" ca="1" si="12"/>
        <v>9.9345265617683531E-2</v>
      </c>
      <c r="E177" s="7">
        <f t="shared" ca="1" si="13"/>
        <v>0.14502749168506202</v>
      </c>
      <c r="F177" s="7">
        <f t="shared" ca="1" si="14"/>
        <v>1.5385675290714471E-2</v>
      </c>
      <c r="G177" s="7">
        <f t="shared" ca="1" si="10"/>
        <v>201.7770657991752</v>
      </c>
      <c r="H177" s="7">
        <f ca="1">(G177+DCF!$D$40+DCF!$D$41+DCF!$D$42-DCF!$D$43-DCF!$D$44)/DCF!$C$35</f>
        <v>1.7809237261495383</v>
      </c>
    </row>
    <row r="178" spans="3:8" x14ac:dyDescent="0.35">
      <c r="C178" s="8">
        <f t="shared" ca="1" si="11"/>
        <v>0.86478198042649934</v>
      </c>
      <c r="D178" s="7">
        <f t="shared" ca="1" si="12"/>
        <v>9.7715729169216975E-2</v>
      </c>
      <c r="E178" s="7">
        <f t="shared" ca="1" si="13"/>
        <v>0.46510957360870031</v>
      </c>
      <c r="F178" s="7">
        <f t="shared" ca="1" si="14"/>
        <v>1.964478691945758E-2</v>
      </c>
      <c r="G178" s="7">
        <f t="shared" ca="1" si="10"/>
        <v>213.68970056694297</v>
      </c>
      <c r="H178" s="7">
        <f ca="1">(G178+DCF!$D$40+DCF!$D$41+DCF!$D$42-DCF!$D$43-DCF!$D$44)/DCF!$C$35</f>
        <v>1.848158373219003</v>
      </c>
    </row>
    <row r="179" spans="3:8" x14ac:dyDescent="0.35">
      <c r="C179" s="8">
        <f t="shared" ca="1" si="11"/>
        <v>0.82904318872093408</v>
      </c>
      <c r="D179" s="7">
        <f t="shared" ca="1" si="12"/>
        <v>9.6187404248750441E-2</v>
      </c>
      <c r="E179" s="7">
        <f t="shared" ca="1" si="13"/>
        <v>0.92361284813822098</v>
      </c>
      <c r="F179" s="7">
        <f t="shared" ca="1" si="14"/>
        <v>2.6091364640650677E-2</v>
      </c>
      <c r="G179" s="7">
        <f t="shared" ca="1" si="10"/>
        <v>232.18298325406428</v>
      </c>
      <c r="H179" s="7">
        <f ca="1">(G179+DCF!$D$40+DCF!$D$41+DCF!$D$42-DCF!$D$43-DCF!$D$44)/DCF!$C$35</f>
        <v>1.9525340515524567</v>
      </c>
    </row>
    <row r="180" spans="3:8" x14ac:dyDescent="0.35">
      <c r="C180" s="8">
        <f t="shared" ca="1" si="11"/>
        <v>0.95738519539217359</v>
      </c>
      <c r="D180" s="7">
        <f t="shared" ca="1" si="12"/>
        <v>0.10310376030417052</v>
      </c>
      <c r="E180" s="7">
        <f t="shared" ca="1" si="13"/>
        <v>0.91620435259654198</v>
      </c>
      <c r="F180" s="7">
        <f t="shared" ca="1" si="14"/>
        <v>2.5906208422416744E-2</v>
      </c>
      <c r="G180" s="7">
        <f t="shared" ca="1" si="10"/>
        <v>209.88663274204686</v>
      </c>
      <c r="H180" s="7">
        <f ca="1">(G180+DCF!$D$40+DCF!$D$41+DCF!$D$42-DCF!$D$43-DCF!$D$44)/DCF!$C$35</f>
        <v>1.8266939425558575</v>
      </c>
    </row>
    <row r="181" spans="3:8" x14ac:dyDescent="0.35">
      <c r="C181" s="8">
        <f t="shared" ca="1" si="11"/>
        <v>0.61492978510954432</v>
      </c>
      <c r="D181" s="7">
        <f t="shared" ca="1" si="12"/>
        <v>8.926986831161586E-2</v>
      </c>
      <c r="E181" s="7">
        <f t="shared" ca="1" si="13"/>
        <v>0.24736702742897543</v>
      </c>
      <c r="F181" s="7">
        <f t="shared" ca="1" si="14"/>
        <v>1.7033733395985028E-2</v>
      </c>
      <c r="G181" s="7">
        <f t="shared" ca="1" si="10"/>
        <v>235.03564460500644</v>
      </c>
      <c r="H181" s="7">
        <f ca="1">(G181+DCF!$D$40+DCF!$D$41+DCF!$D$42-DCF!$D$43-DCF!$D$44)/DCF!$C$35</f>
        <v>1.9686344091037726</v>
      </c>
    </row>
    <row r="182" spans="3:8" x14ac:dyDescent="0.35">
      <c r="C182" s="8">
        <f t="shared" ca="1" si="11"/>
        <v>0.72075240365653148</v>
      </c>
      <c r="D182" s="7">
        <f t="shared" ca="1" si="12"/>
        <v>9.2346662708730945E-2</v>
      </c>
      <c r="E182" s="7">
        <f t="shared" ca="1" si="13"/>
        <v>0.96374354813193464</v>
      </c>
      <c r="F182" s="7">
        <f t="shared" ca="1" si="14"/>
        <v>2.730717799072923E-2</v>
      </c>
      <c r="G182" s="7">
        <f t="shared" ca="1" si="10"/>
        <v>249.7095252601751</v>
      </c>
      <c r="H182" s="7">
        <f ca="1">(G182+DCF!$D$40+DCF!$D$41+DCF!$D$42-DCF!$D$43-DCF!$D$44)/DCF!$C$35</f>
        <v>2.051453466870838</v>
      </c>
    </row>
    <row r="183" spans="3:8" x14ac:dyDescent="0.35">
      <c r="C183" s="8">
        <f t="shared" ca="1" si="11"/>
        <v>0.15701702578597754</v>
      </c>
      <c r="D183" s="7">
        <f t="shared" ca="1" si="12"/>
        <v>7.8717582261178448E-2</v>
      </c>
      <c r="E183" s="7">
        <f t="shared" ca="1" si="13"/>
        <v>0.39131250889958746</v>
      </c>
      <c r="F183" s="7">
        <f t="shared" ca="1" si="14"/>
        <v>1.8846609620635325E-2</v>
      </c>
      <c r="G183" s="7">
        <f t="shared" ca="1" si="10"/>
        <v>284.0879229610992</v>
      </c>
      <c r="H183" s="7">
        <f ca="1">(G183+DCF!$D$40+DCF!$D$41+DCF!$D$42-DCF!$D$43-DCF!$D$44)/DCF!$C$35</f>
        <v>2.2454843828936628</v>
      </c>
    </row>
    <row r="184" spans="3:8" x14ac:dyDescent="0.35">
      <c r="C184" s="8">
        <f t="shared" ca="1" si="11"/>
        <v>0.14626858196912662</v>
      </c>
      <c r="D184" s="7">
        <f t="shared" ca="1" si="12"/>
        <v>7.8413916666633762E-2</v>
      </c>
      <c r="E184" s="7">
        <f t="shared" ca="1" si="13"/>
        <v>0.93100971425422041</v>
      </c>
      <c r="F184" s="7">
        <f t="shared" ca="1" si="14"/>
        <v>2.6285426383936383E-2</v>
      </c>
      <c r="G184" s="7">
        <f t="shared" ca="1" si="10"/>
        <v>316.29779431109694</v>
      </c>
      <c r="H184" s="7">
        <f ca="1">(G184+DCF!$D$40+DCF!$D$41+DCF!$D$42-DCF!$D$43-DCF!$D$44)/DCF!$C$35</f>
        <v>2.4272761841691892</v>
      </c>
    </row>
    <row r="185" spans="3:8" x14ac:dyDescent="0.35">
      <c r="C185" s="8">
        <f t="shared" ca="1" si="11"/>
        <v>0.80395022236873537</v>
      </c>
      <c r="D185" s="7">
        <f t="shared" ca="1" si="12"/>
        <v>9.5208395900495069E-2</v>
      </c>
      <c r="E185" s="7">
        <f t="shared" ca="1" si="13"/>
        <v>0.72558801467059308</v>
      </c>
      <c r="F185" s="7">
        <f t="shared" ca="1" si="14"/>
        <v>2.2591734544045998E-2</v>
      </c>
      <c r="G185" s="7">
        <f t="shared" ca="1" si="10"/>
        <v>227.50658524116923</v>
      </c>
      <c r="H185" s="7">
        <f ca="1">(G185+DCF!$D$40+DCF!$D$41+DCF!$D$42-DCF!$D$43-DCF!$D$44)/DCF!$C$35</f>
        <v>1.9261405646301455</v>
      </c>
    </row>
    <row r="186" spans="3:8" x14ac:dyDescent="0.35">
      <c r="C186" s="8">
        <f t="shared" ca="1" si="11"/>
        <v>0.78395744444814153</v>
      </c>
      <c r="D186" s="7">
        <f t="shared" ca="1" si="12"/>
        <v>9.4472492408764569E-2</v>
      </c>
      <c r="E186" s="7">
        <f t="shared" ca="1" si="13"/>
        <v>3.273810682228262E-2</v>
      </c>
      <c r="F186" s="7">
        <f t="shared" ca="1" si="14"/>
        <v>1.25588320313097E-2</v>
      </c>
      <c r="G186" s="7">
        <f t="shared" ca="1" si="10"/>
        <v>209.99709561704373</v>
      </c>
      <c r="H186" s="7">
        <f ca="1">(G186+DCF!$D$40+DCF!$D$41+DCF!$D$42-DCF!$D$43-DCF!$D$44)/DCF!$C$35</f>
        <v>1.8273173925784159</v>
      </c>
    </row>
    <row r="187" spans="3:8" x14ac:dyDescent="0.35">
      <c r="C187" s="8">
        <f t="shared" ca="1" si="11"/>
        <v>0.64789923631022828</v>
      </c>
      <c r="D187" s="7">
        <f t="shared" ca="1" si="12"/>
        <v>9.0177173453874312E-2</v>
      </c>
      <c r="E187" s="7">
        <f t="shared" ca="1" si="13"/>
        <v>0.33155083335253044</v>
      </c>
      <c r="F187" s="7">
        <f t="shared" ca="1" si="14"/>
        <v>1.8143105468462636E-2</v>
      </c>
      <c r="G187" s="7">
        <f t="shared" ca="1" si="10"/>
        <v>234.46502019914496</v>
      </c>
      <c r="H187" s="7">
        <f ca="1">(G187+DCF!$D$40+DCF!$D$41+DCF!$D$42-DCF!$D$43-DCF!$D$44)/DCF!$C$35</f>
        <v>1.9654138175818092</v>
      </c>
    </row>
    <row r="188" spans="3:8" x14ac:dyDescent="0.35">
      <c r="C188" s="8">
        <f t="shared" ca="1" si="11"/>
        <v>0.11870242020826172</v>
      </c>
      <c r="D188" s="7">
        <f t="shared" ca="1" si="12"/>
        <v>7.7579707869093559E-2</v>
      </c>
      <c r="E188" s="7">
        <f t="shared" ca="1" si="13"/>
        <v>9.6552615768050631E-2</v>
      </c>
      <c r="F188" s="7">
        <f t="shared" ca="1" si="14"/>
        <v>1.4394374034331867E-2</v>
      </c>
      <c r="G188" s="7">
        <f t="shared" ca="1" si="10"/>
        <v>274.44193209895491</v>
      </c>
      <c r="H188" s="7">
        <f ca="1">(G188+DCF!$D$40+DCF!$D$41+DCF!$D$42-DCF!$D$43-DCF!$D$44)/DCF!$C$35</f>
        <v>2.1910426238794156</v>
      </c>
    </row>
    <row r="189" spans="3:8" x14ac:dyDescent="0.35">
      <c r="C189" s="8">
        <f t="shared" ca="1" si="11"/>
        <v>0.44719942912941779</v>
      </c>
      <c r="D189" s="7">
        <f t="shared" ca="1" si="12"/>
        <v>8.5162016243431324E-2</v>
      </c>
      <c r="E189" s="7">
        <f t="shared" ca="1" si="13"/>
        <v>1.8907365109996244E-2</v>
      </c>
      <c r="F189" s="7">
        <f t="shared" ca="1" si="14"/>
        <v>1.1944600993005827E-2</v>
      </c>
      <c r="G189" s="7">
        <f t="shared" ca="1" si="10"/>
        <v>237.51301478968497</v>
      </c>
      <c r="H189" s="7">
        <f ca="1">(G189+DCF!$D$40+DCF!$D$41+DCF!$D$42-DCF!$D$43-DCF!$D$44)/DCF!$C$35</f>
        <v>1.9826166316157861</v>
      </c>
    </row>
    <row r="190" spans="3:8" x14ac:dyDescent="0.35">
      <c r="C190" s="8">
        <f t="shared" ca="1" si="11"/>
        <v>0.57448959620915863</v>
      </c>
      <c r="D190" s="7">
        <f t="shared" ca="1" si="12"/>
        <v>8.8208496824895746E-2</v>
      </c>
      <c r="E190" s="7">
        <f t="shared" ca="1" si="13"/>
        <v>0.14986639014619907</v>
      </c>
      <c r="F190" s="7">
        <f t="shared" ca="1" si="14"/>
        <v>1.5474785660575198E-2</v>
      </c>
      <c r="G190" s="7">
        <f t="shared" ca="1" si="10"/>
        <v>235.10670197497166</v>
      </c>
      <c r="H190" s="7">
        <f ca="1">(G190+DCF!$D$40+DCF!$D$41+DCF!$D$42-DCF!$D$43-DCF!$D$44)/DCF!$C$35</f>
        <v>1.9690354553277551</v>
      </c>
    </row>
    <row r="191" spans="3:8" x14ac:dyDescent="0.35">
      <c r="C191" s="8">
        <f t="shared" ca="1" si="11"/>
        <v>0.66017217555151242</v>
      </c>
      <c r="D191" s="7">
        <f t="shared" ca="1" si="12"/>
        <v>9.0525713053246026E-2</v>
      </c>
      <c r="E191" s="7">
        <f t="shared" ca="1" si="13"/>
        <v>0.36992546875559629</v>
      </c>
      <c r="F191" s="7">
        <f t="shared" ca="1" si="14"/>
        <v>1.8601458815289372E-2</v>
      </c>
      <c r="G191" s="7">
        <f t="shared" ca="1" si="10"/>
        <v>234.3213098515559</v>
      </c>
      <c r="H191" s="7">
        <f ca="1">(G191+DCF!$D$40+DCF!$D$41+DCF!$D$42-DCF!$D$43-DCF!$D$44)/DCF!$C$35</f>
        <v>1.9646027195595206</v>
      </c>
    </row>
    <row r="192" spans="3:8" x14ac:dyDescent="0.35">
      <c r="C192" s="8">
        <f t="shared" ca="1" si="11"/>
        <v>0.48804614527211243</v>
      </c>
      <c r="D192" s="7">
        <f t="shared" ca="1" si="12"/>
        <v>8.6097269991142811E-2</v>
      </c>
      <c r="E192" s="7">
        <f t="shared" ca="1" si="13"/>
        <v>0.68103822623812094</v>
      </c>
      <c r="F192" s="7">
        <f t="shared" ca="1" si="14"/>
        <v>2.2012988371588795E-2</v>
      </c>
      <c r="G192" s="7">
        <f t="shared" ca="1" si="10"/>
        <v>260.32195572755785</v>
      </c>
      <c r="H192" s="7">
        <f ca="1">(G192+DCF!$D$40+DCF!$D$41+DCF!$D$42-DCF!$D$43-DCF!$D$44)/DCF!$C$35</f>
        <v>2.111349789635161</v>
      </c>
    </row>
    <row r="193" spans="3:8" x14ac:dyDescent="0.35">
      <c r="C193" s="8">
        <f t="shared" ca="1" si="11"/>
        <v>0.28178111719560317</v>
      </c>
      <c r="D193" s="7">
        <f t="shared" ca="1" si="12"/>
        <v>8.167827301970082E-2</v>
      </c>
      <c r="E193" s="7">
        <f t="shared" ca="1" si="13"/>
        <v>0.86688560936836712</v>
      </c>
      <c r="F193" s="7">
        <f t="shared" ca="1" si="14"/>
        <v>2.4840263754189892E-2</v>
      </c>
      <c r="G193" s="7">
        <f t="shared" ca="1" si="10"/>
        <v>291.11543648174063</v>
      </c>
      <c r="H193" s="7">
        <f ca="1">(G193+DCF!$D$40+DCF!$D$41+DCF!$D$42-DCF!$D$43-DCF!$D$44)/DCF!$C$35</f>
        <v>2.2851475137246902</v>
      </c>
    </row>
    <row r="194" spans="3:8" x14ac:dyDescent="0.35">
      <c r="C194" s="8">
        <f t="shared" ca="1" si="11"/>
        <v>0.53917099567658244</v>
      </c>
      <c r="D194" s="7">
        <f t="shared" ca="1" si="12"/>
        <v>8.732214364572935E-2</v>
      </c>
      <c r="E194" s="7">
        <f t="shared" ca="1" si="13"/>
        <v>0.5904156215476275</v>
      </c>
      <c r="F194" s="7">
        <f t="shared" ca="1" si="14"/>
        <v>2.0949205797805667E-2</v>
      </c>
      <c r="G194" s="7">
        <f t="shared" ca="1" si="10"/>
        <v>252.19038328619578</v>
      </c>
      <c r="H194" s="7">
        <f ca="1">(G194+DCF!$D$40+DCF!$D$41+DCF!$D$42-DCF!$D$43-DCF!$D$44)/DCF!$C$35</f>
        <v>2.0654553746822204</v>
      </c>
    </row>
    <row r="195" spans="3:8" x14ac:dyDescent="0.35">
      <c r="C195" s="8">
        <f t="shared" ca="1" si="11"/>
        <v>0.98154914000404869</v>
      </c>
      <c r="D195" s="7">
        <f t="shared" ca="1" si="12"/>
        <v>0.10546225168663118</v>
      </c>
      <c r="E195" s="7">
        <f t="shared" ca="1" si="13"/>
        <v>0.88476822840594394</v>
      </c>
      <c r="F195" s="7">
        <f t="shared" ca="1" si="14"/>
        <v>2.5199338137421964E-2</v>
      </c>
      <c r="G195" s="7">
        <f t="shared" ca="1" si="10"/>
        <v>202.08515605645783</v>
      </c>
      <c r="H195" s="7">
        <f ca="1">(G195+DCF!$D$40+DCF!$D$41+DCF!$D$42-DCF!$D$43-DCF!$D$44)/DCF!$C$35</f>
        <v>1.7826625807453313</v>
      </c>
    </row>
    <row r="196" spans="3:8" x14ac:dyDescent="0.35">
      <c r="C196" s="8">
        <f t="shared" ca="1" si="11"/>
        <v>0.35145911144168041</v>
      </c>
      <c r="D196" s="7">
        <f t="shared" ca="1" si="12"/>
        <v>8.3096995862337514E-2</v>
      </c>
      <c r="E196" s="7">
        <f t="shared" ca="1" si="13"/>
        <v>5.4232654366993982E-2</v>
      </c>
      <c r="F196" s="7">
        <f t="shared" ca="1" si="14"/>
        <v>1.329340718305508E-2</v>
      </c>
      <c r="G196" s="7">
        <f t="shared" ca="1" si="10"/>
        <v>248.26506735471605</v>
      </c>
      <c r="H196" s="7">
        <f ca="1">(G196+DCF!$D$40+DCF!$D$41+DCF!$D$42-DCF!$D$43-DCF!$D$44)/DCF!$C$35</f>
        <v>2.0433009784101821</v>
      </c>
    </row>
    <row r="197" spans="3:8" x14ac:dyDescent="0.35">
      <c r="C197" s="8">
        <f t="shared" ca="1" si="11"/>
        <v>0.2462610385749695</v>
      </c>
      <c r="D197" s="7">
        <f t="shared" ca="1" si="12"/>
        <v>8.0917432970725553E-2</v>
      </c>
      <c r="E197" s="7">
        <f t="shared" ca="1" si="13"/>
        <v>0.58783913128560095</v>
      </c>
      <c r="F197" s="7">
        <f t="shared" ca="1" si="14"/>
        <v>2.0920783417999116E-2</v>
      </c>
      <c r="G197" s="7">
        <f t="shared" ca="1" si="10"/>
        <v>280.53004658418081</v>
      </c>
      <c r="H197" s="7">
        <f ca="1">(G197+DCF!$D$40+DCF!$D$41+DCF!$D$42-DCF!$D$43-DCF!$D$44)/DCF!$C$35</f>
        <v>2.2254038073381914</v>
      </c>
    </row>
    <row r="198" spans="3:8" x14ac:dyDescent="0.35">
      <c r="C198" s="8">
        <f t="shared" ca="1" si="11"/>
        <v>0.961209898683413</v>
      </c>
      <c r="D198" s="7">
        <f t="shared" ca="1" si="12"/>
        <v>0.1034205051053055</v>
      </c>
      <c r="E198" s="7">
        <f t="shared" ca="1" si="13"/>
        <v>6.5590787023658725E-2</v>
      </c>
      <c r="F198" s="7">
        <f t="shared" ca="1" si="14"/>
        <v>1.3621899695564712E-2</v>
      </c>
      <c r="G198" s="7">
        <f t="shared" ca="1" si="10"/>
        <v>189.27887709693081</v>
      </c>
      <c r="H198" s="7">
        <f ca="1">(G198+DCF!$D$40+DCF!$D$41+DCF!$D$42-DCF!$D$43-DCF!$D$44)/DCF!$C$35</f>
        <v>1.710384225628913</v>
      </c>
    </row>
    <row r="199" spans="3:8" x14ac:dyDescent="0.35">
      <c r="C199" s="8">
        <f t="shared" ca="1" si="11"/>
        <v>0.43415183201528107</v>
      </c>
      <c r="D199" s="7">
        <f t="shared" ca="1" si="12"/>
        <v>8.487060375832825E-2</v>
      </c>
      <c r="E199" s="7">
        <f t="shared" ca="1" si="13"/>
        <v>0.80105289427354254</v>
      </c>
      <c r="F199" s="7">
        <f t="shared" ca="1" si="14"/>
        <v>2.3692114368087235E-2</v>
      </c>
      <c r="G199" s="7">
        <f t="shared" ca="1" si="10"/>
        <v>271.06716320202514</v>
      </c>
      <c r="H199" s="7">
        <f ca="1">(G199+DCF!$D$40+DCF!$D$41+DCF!$D$42-DCF!$D$43-DCF!$D$44)/DCF!$C$35</f>
        <v>2.1719955028898585</v>
      </c>
    </row>
    <row r="200" spans="3:8" x14ac:dyDescent="0.35">
      <c r="C200" s="8">
        <f t="shared" ca="1" si="11"/>
        <v>2.0979770575548784E-3</v>
      </c>
      <c r="D200" s="7">
        <f t="shared" ca="1" si="12"/>
        <v>7.1007680949436172E-2</v>
      </c>
      <c r="E200" s="7">
        <f t="shared" ca="1" si="13"/>
        <v>0.36212975440621209</v>
      </c>
      <c r="F200" s="7">
        <f t="shared" ca="1" si="14"/>
        <v>1.8510343758112384E-2</v>
      </c>
      <c r="G200" s="7">
        <f t="shared" ca="1" si="10"/>
        <v>326.67149473870859</v>
      </c>
      <c r="H200" s="7">
        <f ca="1">(G200+DCF!$D$40+DCF!$D$41+DCF!$D$42-DCF!$D$43-DCF!$D$44)/DCF!$C$35</f>
        <v>2.4858251198708015</v>
      </c>
    </row>
    <row r="201" spans="3:8" x14ac:dyDescent="0.35">
      <c r="C201" s="8">
        <f t="shared" ca="1" si="11"/>
        <v>0.61508456156739344</v>
      </c>
      <c r="D201" s="7">
        <f t="shared" ca="1" si="12"/>
        <v>8.9274034900859528E-2</v>
      </c>
      <c r="E201" s="7">
        <f t="shared" ca="1" si="13"/>
        <v>4.8995674161200764E-4</v>
      </c>
      <c r="F201" s="7">
        <f t="shared" ca="1" si="14"/>
        <v>1.0313035698159813E-2</v>
      </c>
      <c r="G201" s="7">
        <f t="shared" ca="1" si="10"/>
        <v>220.8101332023823</v>
      </c>
      <c r="H201" s="7">
        <f ca="1">(G201+DCF!$D$40+DCF!$D$41+DCF!$D$42-DCF!$D$43-DCF!$D$44)/DCF!$C$35</f>
        <v>1.8883459374781708</v>
      </c>
    </row>
    <row r="202" spans="3:8" x14ac:dyDescent="0.35">
      <c r="C202" s="8">
        <f t="shared" ca="1" si="11"/>
        <v>0.12191715630781663</v>
      </c>
      <c r="D202" s="7">
        <f t="shared" ca="1" si="12"/>
        <v>7.7681660214626996E-2</v>
      </c>
      <c r="E202" s="7">
        <f t="shared" ca="1" si="13"/>
        <v>0.91694902825349822</v>
      </c>
      <c r="F202" s="7">
        <f t="shared" ca="1" si="14"/>
        <v>2.5924439382207599E-2</v>
      </c>
      <c r="G202" s="7">
        <f t="shared" ca="1" si="10"/>
        <v>319.24607016071297</v>
      </c>
      <c r="H202" s="7">
        <f ca="1">(G202+DCF!$D$40+DCF!$D$41+DCF!$D$42-DCF!$D$43-DCF!$D$44)/DCF!$C$35</f>
        <v>2.4439161878356077</v>
      </c>
    </row>
    <row r="203" spans="3:8" x14ac:dyDescent="0.35">
      <c r="C203" s="8">
        <f t="shared" ca="1" si="11"/>
        <v>0.53077094279864423</v>
      </c>
      <c r="D203" s="7">
        <f t="shared" ca="1" si="12"/>
        <v>8.7116389536685587E-2</v>
      </c>
      <c r="E203" s="7">
        <f t="shared" ca="1" si="13"/>
        <v>7.6211929343240947E-2</v>
      </c>
      <c r="F203" s="7">
        <f t="shared" ca="1" si="14"/>
        <v>1.3904149826613752E-2</v>
      </c>
      <c r="G203" s="7">
        <f t="shared" ca="1" si="10"/>
        <v>235.26660243378615</v>
      </c>
      <c r="H203" s="7">
        <f ca="1">(G203+DCF!$D$40+DCF!$D$41+DCF!$D$42-DCF!$D$43-DCF!$D$44)/DCF!$C$35</f>
        <v>1.9699379299796034</v>
      </c>
    </row>
    <row r="204" spans="3:8" x14ac:dyDescent="0.35">
      <c r="C204" s="8">
        <f t="shared" ca="1" si="11"/>
        <v>0.36785166711376405</v>
      </c>
      <c r="D204" s="7">
        <f t="shared" ca="1" si="12"/>
        <v>8.3439172838538356E-2</v>
      </c>
      <c r="E204" s="7">
        <f t="shared" ca="1" si="13"/>
        <v>0.32134020828407683</v>
      </c>
      <c r="F204" s="7">
        <f t="shared" ca="1" si="14"/>
        <v>1.8016735099578591E-2</v>
      </c>
      <c r="G204" s="7">
        <f t="shared" ca="1" si="10"/>
        <v>259.79733808471849</v>
      </c>
      <c r="H204" s="7">
        <f ca="1">(G204+DCF!$D$40+DCF!$D$41+DCF!$D$42-DCF!$D$43-DCF!$D$44)/DCF!$C$35</f>
        <v>2.1083888592658226</v>
      </c>
    </row>
    <row r="205" spans="3:8" x14ac:dyDescent="0.35">
      <c r="C205" s="8">
        <f t="shared" ca="1" si="11"/>
        <v>0.22669401762166341</v>
      </c>
      <c r="D205" s="7">
        <f t="shared" ca="1" si="12"/>
        <v>8.0474726942927205E-2</v>
      </c>
      <c r="E205" s="7">
        <f t="shared" ca="1" si="13"/>
        <v>0.57102422630677319</v>
      </c>
      <c r="F205" s="7">
        <f t="shared" ca="1" si="14"/>
        <v>2.0737432605446512E-2</v>
      </c>
      <c r="G205" s="7">
        <f t="shared" ca="1" si="10"/>
        <v>282.06894260461922</v>
      </c>
      <c r="H205" s="7">
        <f ca="1">(G205+DCF!$D$40+DCF!$D$41+DCF!$D$42-DCF!$D$43-DCF!$D$44)/DCF!$C$35</f>
        <v>2.2340893024304052</v>
      </c>
    </row>
    <row r="206" spans="3:8" x14ac:dyDescent="0.35">
      <c r="C206" s="8">
        <f t="shared" ca="1" si="11"/>
        <v>0.18294537011766809</v>
      </c>
      <c r="D206" s="7">
        <f t="shared" ca="1" si="12"/>
        <v>7.9409864990367895E-2</v>
      </c>
      <c r="E206" s="7">
        <f t="shared" ca="1" si="13"/>
        <v>6.09250368651999E-2</v>
      </c>
      <c r="F206" s="7">
        <f t="shared" ca="1" si="14"/>
        <v>1.3490702991238295E-2</v>
      </c>
      <c r="G206" s="7">
        <f t="shared" ca="1" si="10"/>
        <v>263.58149308501487</v>
      </c>
      <c r="H206" s="7">
        <f ca="1">(G206+DCF!$D$40+DCF!$D$41+DCF!$D$42-DCF!$D$43-DCF!$D$44)/DCF!$C$35</f>
        <v>2.1297465463653622</v>
      </c>
    </row>
    <row r="207" spans="3:8" x14ac:dyDescent="0.35">
      <c r="C207" s="8">
        <f t="shared" ca="1" si="11"/>
        <v>0.74731750063617564</v>
      </c>
      <c r="D207" s="7">
        <f t="shared" ca="1" si="12"/>
        <v>9.3207332871457618E-2</v>
      </c>
      <c r="E207" s="7">
        <f t="shared" ca="1" si="13"/>
        <v>0.97618502244727778</v>
      </c>
      <c r="F207" s="7">
        <f t="shared" ca="1" si="14"/>
        <v>2.7817571190039764E-2</v>
      </c>
      <c r="G207" s="7">
        <f t="shared" ca="1" si="10"/>
        <v>247.68651741466851</v>
      </c>
      <c r="H207" s="7">
        <f ca="1">(G207+DCF!$D$40+DCF!$D$41+DCF!$D$42-DCF!$D$43-DCF!$D$44)/DCF!$C$35</f>
        <v>2.0400356553486199</v>
      </c>
    </row>
    <row r="208" spans="3:8" x14ac:dyDescent="0.35">
      <c r="C208" s="8">
        <f t="shared" ca="1" si="11"/>
        <v>8.0358174823095374E-2</v>
      </c>
      <c r="D208" s="7">
        <f t="shared" ca="1" si="12"/>
        <v>7.6236453849294339E-2</v>
      </c>
      <c r="E208" s="7">
        <f t="shared" ca="1" si="13"/>
        <v>0.25499027057335089</v>
      </c>
      <c r="F208" s="7">
        <f t="shared" ca="1" si="14"/>
        <v>1.714129218801963E-2</v>
      </c>
      <c r="G208" s="7">
        <f t="shared" ref="G208:G271" ca="1" si="15">$C$11/(1+D208)^1
 +$D$11/(1+D208)^2
 +$E$11/(1+D208)^3
 +$F$11/(1+D208)^4
 +$G$11/(1+D208)^5
 +$H$11/(1+D208)^6
 +$I$11/(1+D208)^7
 + ( $I$11*(1+F208)/(D208-F208) )/(1+D208)^7</f>
        <v>290.49691641597116</v>
      </c>
      <c r="H208" s="7">
        <f ca="1">(G208+DCF!$D$40+DCF!$D$41+DCF!$D$42-DCF!$D$43-DCF!$D$44)/DCF!$C$35</f>
        <v>2.2816566001578686</v>
      </c>
    </row>
    <row r="209" spans="3:8" x14ac:dyDescent="0.35">
      <c r="C209" s="8">
        <f t="shared" ref="C209:C272" ca="1" si="16">RAND()</f>
        <v>0.62847636227397718</v>
      </c>
      <c r="D209" s="7">
        <f t="shared" ref="D209:D272" ca="1" si="17">IF(C209&lt;($C$6-0.07)/(0.11-0.07),0.07+SQRT(C209*(0.11-0.07)*($C$6-0.07)),0.11-SQRT((1-C209)*(0.11-0.07)*(0.11-$C$6)))</f>
        <v>8.9637770758037291E-2</v>
      </c>
      <c r="E209" s="7">
        <f t="shared" ref="E209:E272" ca="1" si="18">RAND()</f>
        <v>0.63717440160777539</v>
      </c>
      <c r="F209" s="7">
        <f t="shared" ref="F209:F272" ca="1" si="19">MIN(
 IF(E209&lt;(0.02-0.01)/(0.03-0.01),
   0.01+SQRT(E209*(0.03-0.01)*(0.02-0.01)),
   0.03-SQRT((1-E209)*(0.03-0.01)*(0.03-0.02))
 ),
 D209-0.005
)</f>
        <v>2.148148371613666E-2</v>
      </c>
      <c r="G209" s="7">
        <f t="shared" ca="1" si="15"/>
        <v>244.58972889113403</v>
      </c>
      <c r="H209" s="7">
        <f ca="1">(G209+DCF!$D$40+DCF!$D$41+DCF!$D$42-DCF!$D$43-DCF!$D$44)/DCF!$C$35</f>
        <v>2.0225574494363587</v>
      </c>
    </row>
    <row r="210" spans="3:8" x14ac:dyDescent="0.35">
      <c r="C210" s="8">
        <f t="shared" ca="1" si="16"/>
        <v>0.43009754484732909</v>
      </c>
      <c r="D210" s="7">
        <f t="shared" ca="1" si="17"/>
        <v>8.4780738711247305E-2</v>
      </c>
      <c r="E210" s="7">
        <f t="shared" ca="1" si="18"/>
        <v>0.7085100651197157</v>
      </c>
      <c r="F210" s="7">
        <f t="shared" ca="1" si="19"/>
        <v>2.2364688154629383E-2</v>
      </c>
      <c r="G210" s="7">
        <f t="shared" ca="1" si="15"/>
        <v>267.18108440373328</v>
      </c>
      <c r="H210" s="7">
        <f ca="1">(G210+DCF!$D$40+DCF!$D$41+DCF!$D$42-DCF!$D$43-DCF!$D$44)/DCF!$C$35</f>
        <v>2.150062560129435</v>
      </c>
    </row>
    <row r="211" spans="3:8" x14ac:dyDescent="0.35">
      <c r="C211" s="8">
        <f t="shared" ca="1" si="16"/>
        <v>0.83504915130574053</v>
      </c>
      <c r="D211" s="7">
        <f t="shared" ca="1" si="17"/>
        <v>9.643220183143951E-2</v>
      </c>
      <c r="E211" s="7">
        <f t="shared" ca="1" si="18"/>
        <v>0.1965913079835081</v>
      </c>
      <c r="F211" s="7">
        <f t="shared" ca="1" si="19"/>
        <v>1.6270427544968654E-2</v>
      </c>
      <c r="G211" s="7">
        <f t="shared" ca="1" si="15"/>
        <v>211.13361464360884</v>
      </c>
      <c r="H211" s="7">
        <f ca="1">(G211+DCF!$D$40+DCF!$D$41+DCF!$D$42-DCF!$D$43-DCF!$D$44)/DCF!$C$35</f>
        <v>1.8337318808195553</v>
      </c>
    </row>
    <row r="212" spans="3:8" x14ac:dyDescent="0.35">
      <c r="C212" s="8">
        <f t="shared" ca="1" si="16"/>
        <v>0.55536089676697276</v>
      </c>
      <c r="D212" s="7">
        <f t="shared" ca="1" si="17"/>
        <v>8.7724065918393948E-2</v>
      </c>
      <c r="E212" s="7">
        <f t="shared" ca="1" si="18"/>
        <v>0.86121519568958949</v>
      </c>
      <c r="F212" s="7">
        <f t="shared" ca="1" si="19"/>
        <v>2.4731512469210723E-2</v>
      </c>
      <c r="G212" s="7">
        <f t="shared" ca="1" si="15"/>
        <v>261.52750517271113</v>
      </c>
      <c r="H212" s="7">
        <f ca="1">(G212+DCF!$D$40+DCF!$D$41+DCF!$D$42-DCF!$D$43-DCF!$D$44)/DCF!$C$35</f>
        <v>2.1181538840315559</v>
      </c>
    </row>
    <row r="213" spans="3:8" x14ac:dyDescent="0.35">
      <c r="C213" s="8">
        <f t="shared" ca="1" si="16"/>
        <v>0.2154450042983862</v>
      </c>
      <c r="D213" s="7">
        <f t="shared" ca="1" si="17"/>
        <v>8.0211531818508874E-2</v>
      </c>
      <c r="E213" s="7">
        <f t="shared" ca="1" si="18"/>
        <v>0.58905033280247354</v>
      </c>
      <c r="F213" s="7">
        <f t="shared" ca="1" si="19"/>
        <v>2.0934133607894648E-2</v>
      </c>
      <c r="G213" s="7">
        <f t="shared" ca="1" si="15"/>
        <v>284.08823502975065</v>
      </c>
      <c r="H213" s="7">
        <f ca="1">(G213+DCF!$D$40+DCF!$D$41+DCF!$D$42-DCF!$D$43-DCF!$D$44)/DCF!$C$35</f>
        <v>2.2454861442022271</v>
      </c>
    </row>
    <row r="214" spans="3:8" x14ac:dyDescent="0.35">
      <c r="C214" s="8">
        <f t="shared" ca="1" si="16"/>
        <v>0.10146696673968947</v>
      </c>
      <c r="D214" s="7">
        <f t="shared" ca="1" si="17"/>
        <v>7.7007853587369654E-2</v>
      </c>
      <c r="E214" s="7">
        <f t="shared" ca="1" si="18"/>
        <v>1.2822379573510845E-2</v>
      </c>
      <c r="F214" s="7">
        <f t="shared" ca="1" si="19"/>
        <v>1.1601398112494882E-2</v>
      </c>
      <c r="G214" s="7">
        <f t="shared" ca="1" si="15"/>
        <v>268.29053963807542</v>
      </c>
      <c r="H214" s="7">
        <f ca="1">(G214+DCF!$D$40+DCF!$D$41+DCF!$D$42-DCF!$D$43-DCF!$D$44)/DCF!$C$35</f>
        <v>2.156324300926038</v>
      </c>
    </row>
    <row r="215" spans="3:8" x14ac:dyDescent="0.35">
      <c r="C215" s="8">
        <f t="shared" ca="1" si="16"/>
        <v>0.6292638927138865</v>
      </c>
      <c r="D215" s="7">
        <f t="shared" ca="1" si="17"/>
        <v>8.9659363438394993E-2</v>
      </c>
      <c r="E215" s="7">
        <f t="shared" ca="1" si="18"/>
        <v>0.40207728564726697</v>
      </c>
      <c r="F215" s="7">
        <f t="shared" ca="1" si="19"/>
        <v>1.8967466594833428E-2</v>
      </c>
      <c r="G215" s="7">
        <f t="shared" ca="1" si="15"/>
        <v>238.229671402592</v>
      </c>
      <c r="H215" s="7">
        <f ca="1">(G215+DCF!$D$40+DCF!$D$41+DCF!$D$42-DCF!$D$43-DCF!$D$44)/DCF!$C$35</f>
        <v>1.9866614256834403</v>
      </c>
    </row>
    <row r="216" spans="3:8" x14ac:dyDescent="0.35">
      <c r="C216" s="8">
        <f t="shared" ca="1" si="16"/>
        <v>0.42319193326127613</v>
      </c>
      <c r="D216" s="7">
        <f t="shared" ca="1" si="17"/>
        <v>8.4628405598378031E-2</v>
      </c>
      <c r="E216" s="7">
        <f t="shared" ca="1" si="18"/>
        <v>0.85221427894224278</v>
      </c>
      <c r="F216" s="7">
        <f t="shared" ca="1" si="19"/>
        <v>2.4563351748406795E-2</v>
      </c>
      <c r="G216" s="7">
        <f t="shared" ca="1" si="15"/>
        <v>275.14356071967904</v>
      </c>
      <c r="H216" s="7">
        <f ca="1">(G216+DCF!$D$40+DCF!$D$41+DCF!$D$42-DCF!$D$43-DCF!$D$44)/DCF!$C$35</f>
        <v>2.1950026002916752</v>
      </c>
    </row>
    <row r="217" spans="3:8" x14ac:dyDescent="0.35">
      <c r="C217" s="8">
        <f t="shared" ca="1" si="16"/>
        <v>0.10794806041239835</v>
      </c>
      <c r="D217" s="7">
        <f t="shared" ca="1" si="17"/>
        <v>7.7228199031543113E-2</v>
      </c>
      <c r="E217" s="7">
        <f t="shared" ca="1" si="18"/>
        <v>0.11935261834503963</v>
      </c>
      <c r="F217" s="7">
        <f t="shared" ca="1" si="19"/>
        <v>1.4885746991915149E-2</v>
      </c>
      <c r="G217" s="7">
        <f t="shared" ca="1" si="15"/>
        <v>277.68425822948581</v>
      </c>
      <c r="H217" s="7">
        <f ca="1">(G217+DCF!$D$40+DCF!$D$41+DCF!$D$42-DCF!$D$43-DCF!$D$44)/DCF!$C$35</f>
        <v>2.2093422408256336</v>
      </c>
    </row>
    <row r="218" spans="3:8" x14ac:dyDescent="0.35">
      <c r="C218" s="8">
        <f t="shared" ca="1" si="16"/>
        <v>0.80905472653508237</v>
      </c>
      <c r="D218" s="7">
        <f t="shared" ca="1" si="17"/>
        <v>9.5402228759606897E-2</v>
      </c>
      <c r="E218" s="7">
        <f t="shared" ca="1" si="18"/>
        <v>0.86163889106564884</v>
      </c>
      <c r="F218" s="7">
        <f t="shared" ca="1" si="19"/>
        <v>2.4739560684993105E-2</v>
      </c>
      <c r="G218" s="7">
        <f t="shared" ca="1" si="15"/>
        <v>231.7344665300397</v>
      </c>
      <c r="H218" s="7">
        <f ca="1">(G218+DCF!$D$40+DCF!$D$41+DCF!$D$42-DCF!$D$43-DCF!$D$44)/DCF!$C$35</f>
        <v>1.9500026330852223</v>
      </c>
    </row>
    <row r="219" spans="3:8" x14ac:dyDescent="0.35">
      <c r="C219" s="8">
        <f t="shared" ca="1" si="16"/>
        <v>2.2795543784124961E-2</v>
      </c>
      <c r="D219" s="7">
        <f t="shared" ca="1" si="17"/>
        <v>7.3321602503539002E-2</v>
      </c>
      <c r="E219" s="7">
        <f t="shared" ca="1" si="18"/>
        <v>0.85666851605504057</v>
      </c>
      <c r="F219" s="7">
        <f t="shared" ca="1" si="19"/>
        <v>2.4645908406742384E-2</v>
      </c>
      <c r="G219" s="7">
        <f t="shared" ca="1" si="15"/>
        <v>342.53864178795163</v>
      </c>
      <c r="H219" s="7">
        <f ca="1">(G219+DCF!$D$40+DCF!$D$41+DCF!$D$42-DCF!$D$43-DCF!$D$44)/DCF!$C$35</f>
        <v>2.5753789467657278</v>
      </c>
    </row>
    <row r="220" spans="3:8" x14ac:dyDescent="0.35">
      <c r="C220" s="8">
        <f t="shared" ca="1" si="16"/>
        <v>0.27634067055284672</v>
      </c>
      <c r="D220" s="7">
        <f t="shared" ca="1" si="17"/>
        <v>8.1564985280906235E-2</v>
      </c>
      <c r="E220" s="7">
        <f t="shared" ca="1" si="18"/>
        <v>6.9202875932760977E-2</v>
      </c>
      <c r="F220" s="7">
        <f t="shared" ca="1" si="19"/>
        <v>1.3720292352296012E-2</v>
      </c>
      <c r="G220" s="7">
        <f t="shared" ca="1" si="15"/>
        <v>255.35467292763343</v>
      </c>
      <c r="H220" s="7">
        <f ca="1">(G220+DCF!$D$40+DCF!$D$41+DCF!$D$42-DCF!$D$43-DCF!$D$44)/DCF!$C$35</f>
        <v>2.0833145554105057</v>
      </c>
    </row>
    <row r="221" spans="3:8" x14ac:dyDescent="0.35">
      <c r="C221" s="8">
        <f t="shared" ca="1" si="16"/>
        <v>0.59053956203623825</v>
      </c>
      <c r="D221" s="7">
        <f t="shared" ca="1" si="17"/>
        <v>8.8623427572046123E-2</v>
      </c>
      <c r="E221" s="7">
        <f t="shared" ca="1" si="18"/>
        <v>0.25237952180757606</v>
      </c>
      <c r="F221" s="7">
        <f t="shared" ca="1" si="19"/>
        <v>1.7104639636288051E-2</v>
      </c>
      <c r="G221" s="7">
        <f t="shared" ca="1" si="15"/>
        <v>237.45860191520725</v>
      </c>
      <c r="H221" s="7">
        <f ca="1">(G221+DCF!$D$40+DCF!$D$41+DCF!$D$42-DCF!$D$43-DCF!$D$44)/DCF!$C$35</f>
        <v>1.9823095265560857</v>
      </c>
    </row>
    <row r="222" spans="3:8" x14ac:dyDescent="0.35">
      <c r="C222" s="8">
        <f t="shared" ca="1" si="16"/>
        <v>0.62191808218820699</v>
      </c>
      <c r="D222" s="7">
        <f t="shared" ca="1" si="17"/>
        <v>8.9458835956110941E-2</v>
      </c>
      <c r="E222" s="7">
        <f t="shared" ca="1" si="18"/>
        <v>0.78180848540207037</v>
      </c>
      <c r="F222" s="7">
        <f t="shared" ca="1" si="19"/>
        <v>2.3394070624084305E-2</v>
      </c>
      <c r="G222" s="7">
        <f t="shared" ca="1" si="15"/>
        <v>250.40116899014055</v>
      </c>
      <c r="H222" s="7">
        <f ca="1">(G222+DCF!$D$40+DCF!$D$41+DCF!$D$42-DCF!$D$43-DCF!$D$44)/DCF!$C$35</f>
        <v>2.055357088780565</v>
      </c>
    </row>
    <row r="223" spans="3:8" x14ac:dyDescent="0.35">
      <c r="C223" s="8">
        <f t="shared" ca="1" si="16"/>
        <v>0.65677459600947896</v>
      </c>
      <c r="D223" s="7">
        <f t="shared" ca="1" si="17"/>
        <v>9.0428603758203108E-2</v>
      </c>
      <c r="E223" s="7">
        <f t="shared" ca="1" si="18"/>
        <v>7.9370225868325761E-2</v>
      </c>
      <c r="F223" s="7">
        <f t="shared" ca="1" si="19"/>
        <v>1.3984224538560189E-2</v>
      </c>
      <c r="G223" s="7">
        <f t="shared" ca="1" si="15"/>
        <v>224.57899847469071</v>
      </c>
      <c r="H223" s="7">
        <f ca="1">(G223+DCF!$D$40+DCF!$D$41+DCF!$D$42-DCF!$D$43-DCF!$D$44)/DCF!$C$35</f>
        <v>1.9096173296912218</v>
      </c>
    </row>
    <row r="224" spans="3:8" x14ac:dyDescent="0.35">
      <c r="C224" s="8">
        <f t="shared" ca="1" si="16"/>
        <v>0.33238699648522652</v>
      </c>
      <c r="D224" s="7">
        <f t="shared" ca="1" si="17"/>
        <v>8.270428400055263E-2</v>
      </c>
      <c r="E224" s="7">
        <f t="shared" ca="1" si="18"/>
        <v>0.37158395945556855</v>
      </c>
      <c r="F224" s="7">
        <f t="shared" ca="1" si="19"/>
        <v>1.8620718757221679E-2</v>
      </c>
      <c r="G224" s="7">
        <f t="shared" ca="1" si="15"/>
        <v>264.73960331538217</v>
      </c>
      <c r="H224" s="7">
        <f ca="1">(G224+DCF!$D$40+DCF!$D$41+DCF!$D$42-DCF!$D$43-DCF!$D$44)/DCF!$C$35</f>
        <v>2.136282894883069</v>
      </c>
    </row>
    <row r="225" spans="3:8" x14ac:dyDescent="0.35">
      <c r="C225" s="8">
        <f t="shared" ca="1" si="16"/>
        <v>0.9671949326848357</v>
      </c>
      <c r="D225" s="7">
        <f t="shared" ca="1" si="17"/>
        <v>0.10394934258747668</v>
      </c>
      <c r="E225" s="7">
        <f t="shared" ca="1" si="18"/>
        <v>1.0608163779144419E-2</v>
      </c>
      <c r="F225" s="7">
        <f t="shared" ca="1" si="19"/>
        <v>1.1456582560594793E-2</v>
      </c>
      <c r="G225" s="7">
        <f t="shared" ca="1" si="15"/>
        <v>185.20000598475434</v>
      </c>
      <c r="H225" s="7">
        <f ca="1">(G225+DCF!$D$40+DCF!$D$41+DCF!$D$42-DCF!$D$43-DCF!$D$44)/DCF!$C$35</f>
        <v>1.6873631673143374</v>
      </c>
    </row>
    <row r="226" spans="3:8" x14ac:dyDescent="0.35">
      <c r="C226" s="8">
        <f t="shared" ca="1" si="16"/>
        <v>0.79492862332449288</v>
      </c>
      <c r="D226" s="7">
        <f t="shared" ca="1" si="17"/>
        <v>9.4871891844322834E-2</v>
      </c>
      <c r="E226" s="7">
        <f t="shared" ca="1" si="18"/>
        <v>0.79837571881781944</v>
      </c>
      <c r="F226" s="7">
        <f t="shared" ca="1" si="19"/>
        <v>2.3649814472282239E-2</v>
      </c>
      <c r="G226" s="7">
        <f t="shared" ca="1" si="15"/>
        <v>231.03108150438584</v>
      </c>
      <c r="H226" s="7">
        <f ca="1">(G226+DCF!$D$40+DCF!$D$41+DCF!$D$42-DCF!$D$43-DCF!$D$44)/DCF!$C$35</f>
        <v>1.9460327435623987</v>
      </c>
    </row>
    <row r="227" spans="3:8" x14ac:dyDescent="0.35">
      <c r="C227" s="8">
        <f t="shared" ca="1" si="16"/>
        <v>0.9992557265146329</v>
      </c>
      <c r="D227" s="7">
        <f t="shared" ca="1" si="17"/>
        <v>0.10908862235617189</v>
      </c>
      <c r="E227" s="7">
        <f t="shared" ca="1" si="18"/>
        <v>0.12955816988998825</v>
      </c>
      <c r="F227" s="7">
        <f t="shared" ca="1" si="19"/>
        <v>1.5090347137278326E-2</v>
      </c>
      <c r="G227" s="7">
        <f t="shared" ca="1" si="15"/>
        <v>178.95022158545359</v>
      </c>
      <c r="H227" s="7">
        <f ca="1">(G227+DCF!$D$40+DCF!$D$41+DCF!$D$42-DCF!$D$43-DCF!$D$44)/DCF!$C$35</f>
        <v>1.6520895224373722</v>
      </c>
    </row>
    <row r="228" spans="3:8" x14ac:dyDescent="0.35">
      <c r="C228" s="8">
        <f t="shared" ca="1" si="16"/>
        <v>0.67700134902818709</v>
      </c>
      <c r="D228" s="7">
        <f t="shared" ca="1" si="17"/>
        <v>9.1014044809793138E-2</v>
      </c>
      <c r="E228" s="7">
        <f t="shared" ca="1" si="18"/>
        <v>0.34670658483920702</v>
      </c>
      <c r="F228" s="7">
        <f t="shared" ca="1" si="19"/>
        <v>1.8327143385810131E-2</v>
      </c>
      <c r="G228" s="7">
        <f t="shared" ca="1" si="15"/>
        <v>232.02221088798217</v>
      </c>
      <c r="H228" s="7">
        <f ca="1">(G228+DCF!$D$40+DCF!$D$41+DCF!$D$42-DCF!$D$43-DCF!$D$44)/DCF!$C$35</f>
        <v>1.9516266558752802</v>
      </c>
    </row>
    <row r="229" spans="3:8" x14ac:dyDescent="0.35">
      <c r="C229" s="8">
        <f t="shared" ca="1" si="16"/>
        <v>0.73501063693678703</v>
      </c>
      <c r="D229" s="7">
        <f t="shared" ca="1" si="17"/>
        <v>9.2803252366259914E-2</v>
      </c>
      <c r="E229" s="7">
        <f t="shared" ca="1" si="18"/>
        <v>0.54214890458792531</v>
      </c>
      <c r="F229" s="7">
        <f t="shared" ca="1" si="19"/>
        <v>2.0430767058827813E-2</v>
      </c>
      <c r="G229" s="7">
        <f t="shared" ca="1" si="15"/>
        <v>230.72209472997378</v>
      </c>
      <c r="H229" s="7">
        <f ca="1">(G229+DCF!$D$40+DCF!$D$41+DCF!$D$42-DCF!$D$43-DCF!$D$44)/DCF!$C$35</f>
        <v>1.9442888290437621</v>
      </c>
    </row>
    <row r="230" spans="3:8" x14ac:dyDescent="0.35">
      <c r="C230" s="8">
        <f t="shared" ca="1" si="16"/>
        <v>0.47448640594461922</v>
      </c>
      <c r="D230" s="7">
        <f t="shared" ca="1" si="17"/>
        <v>8.5782791842043293E-2</v>
      </c>
      <c r="E230" s="7">
        <f t="shared" ca="1" si="18"/>
        <v>0.42188926037438279</v>
      </c>
      <c r="F230" s="7">
        <f t="shared" ca="1" si="19"/>
        <v>1.9185741781417361E-2</v>
      </c>
      <c r="G230" s="7">
        <f t="shared" ca="1" si="15"/>
        <v>253.48767787592601</v>
      </c>
      <c r="H230" s="7">
        <f ca="1">(G230+DCF!$D$40+DCF!$D$41+DCF!$D$42-DCF!$D$43-DCF!$D$44)/DCF!$C$35</f>
        <v>2.072777276644802</v>
      </c>
    </row>
    <row r="231" spans="3:8" x14ac:dyDescent="0.35">
      <c r="C231" s="8">
        <f t="shared" ca="1" si="16"/>
        <v>0.61377321902930648</v>
      </c>
      <c r="D231" s="7">
        <f t="shared" ca="1" si="17"/>
        <v>8.9238759970481196E-2</v>
      </c>
      <c r="E231" s="7">
        <f t="shared" ca="1" si="18"/>
        <v>0.16023674364672735</v>
      </c>
      <c r="F231" s="7">
        <f t="shared" ca="1" si="19"/>
        <v>1.5661037778477147E-2</v>
      </c>
      <c r="G231" s="7">
        <f t="shared" ca="1" si="15"/>
        <v>232.02614488696304</v>
      </c>
      <c r="H231" s="7">
        <f ca="1">(G231+DCF!$D$40+DCF!$D$41+DCF!$D$42-DCF!$D$43-DCF!$D$44)/DCF!$C$35</f>
        <v>1.9516488592784909</v>
      </c>
    </row>
    <row r="232" spans="3:8" x14ac:dyDescent="0.35">
      <c r="C232" s="8">
        <f t="shared" ca="1" si="16"/>
        <v>0.57960343059396724</v>
      </c>
      <c r="D232" s="7">
        <f t="shared" ca="1" si="17"/>
        <v>8.8339839071301149E-2</v>
      </c>
      <c r="E232" s="7">
        <f t="shared" ca="1" si="18"/>
        <v>7.6747516405573757E-2</v>
      </c>
      <c r="F232" s="7">
        <f t="shared" ca="1" si="19"/>
        <v>1.3917844213482047E-2</v>
      </c>
      <c r="G232" s="7">
        <f t="shared" ca="1" si="15"/>
        <v>231.17474572708417</v>
      </c>
      <c r="H232" s="7">
        <f ca="1">(G232+DCF!$D$40+DCF!$D$41+DCF!$D$42-DCF!$D$43-DCF!$D$44)/DCF!$C$35</f>
        <v>1.9468435812568246</v>
      </c>
    </row>
    <row r="233" spans="3:8" x14ac:dyDescent="0.35">
      <c r="C233" s="8">
        <f t="shared" ca="1" si="16"/>
        <v>0.37618259767421225</v>
      </c>
      <c r="D233" s="7">
        <f t="shared" ca="1" si="17"/>
        <v>8.3614772674930796E-2</v>
      </c>
      <c r="E233" s="7">
        <f t="shared" ca="1" si="18"/>
        <v>0.90718319481478937</v>
      </c>
      <c r="F233" s="7">
        <f t="shared" ca="1" si="19"/>
        <v>2.5691478091381902E-2</v>
      </c>
      <c r="G233" s="7">
        <f t="shared" ca="1" si="15"/>
        <v>284.1984101269183</v>
      </c>
      <c r="H233" s="7">
        <f ca="1">(G233+DCF!$D$40+DCF!$D$41+DCF!$D$42-DCF!$D$43-DCF!$D$44)/DCF!$C$35</f>
        <v>2.2461079700130844</v>
      </c>
    </row>
    <row r="234" spans="3:8" x14ac:dyDescent="0.35">
      <c r="C234" s="8">
        <f t="shared" ca="1" si="16"/>
        <v>0.30565228974237613</v>
      </c>
      <c r="D234" s="7">
        <f t="shared" ca="1" si="17"/>
        <v>8.2163117188745652E-2</v>
      </c>
      <c r="E234" s="7">
        <f t="shared" ca="1" si="18"/>
        <v>0.30984416284752514</v>
      </c>
      <c r="F234" s="7">
        <f t="shared" ca="1" si="19"/>
        <v>1.7872028491405824E-2</v>
      </c>
      <c r="G234" s="7">
        <f t="shared" ca="1" si="15"/>
        <v>264.82058775085954</v>
      </c>
      <c r="H234" s="7">
        <f ca="1">(G234+DCF!$D$40+DCF!$D$41+DCF!$D$42-DCF!$D$43-DCF!$D$44)/DCF!$C$35</f>
        <v>2.1367399692451716</v>
      </c>
    </row>
    <row r="235" spans="3:8" x14ac:dyDescent="0.35">
      <c r="C235" s="8">
        <f t="shared" ca="1" si="16"/>
        <v>0.86161800367742813</v>
      </c>
      <c r="D235" s="7">
        <f t="shared" ca="1" si="17"/>
        <v>9.7572839910261472E-2</v>
      </c>
      <c r="E235" s="7">
        <f t="shared" ca="1" si="18"/>
        <v>0.14029505451032931</v>
      </c>
      <c r="F235" s="7">
        <f t="shared" ca="1" si="19"/>
        <v>1.5297075693443116E-2</v>
      </c>
      <c r="G235" s="7">
        <f t="shared" ca="1" si="15"/>
        <v>206.29172367692871</v>
      </c>
      <c r="H235" s="7">
        <f ca="1">(G235+DCF!$D$40+DCF!$D$41+DCF!$D$42-DCF!$D$43-DCF!$D$44)/DCF!$C$35</f>
        <v>1.8064043553275126</v>
      </c>
    </row>
    <row r="236" spans="3:8" x14ac:dyDescent="0.35">
      <c r="C236" s="8">
        <f t="shared" ca="1" si="16"/>
        <v>0.86003390360509691</v>
      </c>
      <c r="D236" s="7">
        <f t="shared" ca="1" si="17"/>
        <v>9.7501913603406654E-2</v>
      </c>
      <c r="E236" s="7">
        <f t="shared" ca="1" si="18"/>
        <v>0.60896589379854726</v>
      </c>
      <c r="F236" s="7">
        <f t="shared" ca="1" si="19"/>
        <v>2.1156537938098532E-2</v>
      </c>
      <c r="G236" s="7">
        <f t="shared" ca="1" si="15"/>
        <v>217.24636411202175</v>
      </c>
      <c r="H236" s="7">
        <f ca="1">(G236+DCF!$D$40+DCF!$D$41+DCF!$D$42-DCF!$D$43-DCF!$D$44)/DCF!$C$35</f>
        <v>1.8682321035784046</v>
      </c>
    </row>
    <row r="237" spans="3:8" x14ac:dyDescent="0.35">
      <c r="C237" s="8">
        <f t="shared" ca="1" si="16"/>
        <v>5.5998029438816932E-2</v>
      </c>
      <c r="D237" s="7">
        <f t="shared" ca="1" si="17"/>
        <v>7.52060586097726E-2</v>
      </c>
      <c r="E237" s="7">
        <f t="shared" ca="1" si="18"/>
        <v>0.11875644068830515</v>
      </c>
      <c r="F237" s="7">
        <f t="shared" ca="1" si="19"/>
        <v>1.4873529330747998E-2</v>
      </c>
      <c r="G237" s="7">
        <f t="shared" ca="1" si="15"/>
        <v>287.48501457063793</v>
      </c>
      <c r="H237" s="7">
        <f ca="1">(G237+DCF!$D$40+DCF!$D$41+DCF!$D$42-DCF!$D$43-DCF!$D$44)/DCF!$C$35</f>
        <v>2.2646574927793086</v>
      </c>
    </row>
    <row r="238" spans="3:8" x14ac:dyDescent="0.35">
      <c r="C238" s="8">
        <f t="shared" ca="1" si="16"/>
        <v>0.65025458612197318</v>
      </c>
      <c r="D238" s="7">
        <f t="shared" ca="1" si="17"/>
        <v>9.0243586310064322E-2</v>
      </c>
      <c r="E238" s="7">
        <f t="shared" ca="1" si="18"/>
        <v>0.39377802080778057</v>
      </c>
      <c r="F238" s="7">
        <f t="shared" ca="1" si="19"/>
        <v>1.8874435427764187E-2</v>
      </c>
      <c r="G238" s="7">
        <f t="shared" ca="1" si="15"/>
        <v>235.94088754889054</v>
      </c>
      <c r="H238" s="7">
        <f ca="1">(G238+DCF!$D$40+DCF!$D$41+DCF!$D$42-DCF!$D$43-DCF!$D$44)/DCF!$C$35</f>
        <v>1.9737435802511036</v>
      </c>
    </row>
    <row r="239" spans="3:8" x14ac:dyDescent="0.35">
      <c r="C239" s="8">
        <f t="shared" ca="1" si="16"/>
        <v>0.24895956372046768</v>
      </c>
      <c r="D239" s="7">
        <f t="shared" ca="1" si="17"/>
        <v>8.0977086536996354E-2</v>
      </c>
      <c r="E239" s="7">
        <f t="shared" ca="1" si="18"/>
        <v>0.71522171791184452</v>
      </c>
      <c r="F239" s="7">
        <f t="shared" ca="1" si="19"/>
        <v>2.2453102861597286E-2</v>
      </c>
      <c r="G239" s="7">
        <f t="shared" ca="1" si="15"/>
        <v>285.74259751950046</v>
      </c>
      <c r="H239" s="7">
        <f ca="1">(G239+DCF!$D$40+DCF!$D$41+DCF!$D$42-DCF!$D$43-DCF!$D$44)/DCF!$C$35</f>
        <v>2.2548233294926088</v>
      </c>
    </row>
    <row r="240" spans="3:8" x14ac:dyDescent="0.35">
      <c r="C240" s="8">
        <f t="shared" ca="1" si="16"/>
        <v>0.50269855457834767</v>
      </c>
      <c r="D240" s="7">
        <f t="shared" ca="1" si="17"/>
        <v>8.6441807940961096E-2</v>
      </c>
      <c r="E240" s="7">
        <f t="shared" ca="1" si="18"/>
        <v>0.67066445066691704</v>
      </c>
      <c r="F240" s="7">
        <f t="shared" ca="1" si="19"/>
        <v>2.1884144538829156E-2</v>
      </c>
      <c r="G240" s="7">
        <f t="shared" ca="1" si="15"/>
        <v>258.47690003471098</v>
      </c>
      <c r="H240" s="7">
        <f ca="1">(G240+DCF!$D$40+DCF!$D$41+DCF!$D$42-DCF!$D$43-DCF!$D$44)/DCF!$C$35</f>
        <v>2.1009363361254709</v>
      </c>
    </row>
    <row r="241" spans="3:8" x14ac:dyDescent="0.35">
      <c r="C241" s="8">
        <f t="shared" ca="1" si="16"/>
        <v>0.73453719868543976</v>
      </c>
      <c r="D241" s="7">
        <f t="shared" ca="1" si="17"/>
        <v>9.2787897099219724E-2</v>
      </c>
      <c r="E241" s="7">
        <f t="shared" ca="1" si="18"/>
        <v>0.46608080254386375</v>
      </c>
      <c r="F241" s="7">
        <f t="shared" ca="1" si="19"/>
        <v>1.9654851656487154E-2</v>
      </c>
      <c r="G241" s="7">
        <f t="shared" ca="1" si="15"/>
        <v>229.03924443460869</v>
      </c>
      <c r="H241" s="7">
        <f ca="1">(G241+DCF!$D$40+DCF!$D$41+DCF!$D$42-DCF!$D$43-DCF!$D$44)/DCF!$C$35</f>
        <v>1.9347908592087633</v>
      </c>
    </row>
    <row r="242" spans="3:8" x14ac:dyDescent="0.35">
      <c r="C242" s="8">
        <f t="shared" ca="1" si="16"/>
        <v>0.1363453505331671</v>
      </c>
      <c r="D242" s="7">
        <f t="shared" ca="1" si="17"/>
        <v>7.8123493685481202E-2</v>
      </c>
      <c r="E242" s="7">
        <f t="shared" ca="1" si="18"/>
        <v>2.6645905056465469E-2</v>
      </c>
      <c r="F242" s="7">
        <f t="shared" ca="1" si="19"/>
        <v>1.2308501897615225E-2</v>
      </c>
      <c r="G242" s="7">
        <f t="shared" ca="1" si="15"/>
        <v>265.58338799808803</v>
      </c>
      <c r="H242" s="7">
        <f ca="1">(G242+DCF!$D$40+DCF!$D$41+DCF!$D$42-DCF!$D$43-DCF!$D$44)/DCF!$C$35</f>
        <v>2.1410451969640367</v>
      </c>
    </row>
    <row r="243" spans="3:8" x14ac:dyDescent="0.35">
      <c r="C243" s="8">
        <f t="shared" ca="1" si="16"/>
        <v>4.4561729249575133E-2</v>
      </c>
      <c r="D243" s="7">
        <f t="shared" ca="1" si="17"/>
        <v>7.4644122840407473E-2</v>
      </c>
      <c r="E243" s="7">
        <f t="shared" ca="1" si="18"/>
        <v>0.61031734070880439</v>
      </c>
      <c r="F243" s="7">
        <f t="shared" ca="1" si="19"/>
        <v>2.1171833040872012E-2</v>
      </c>
      <c r="G243" s="7">
        <f t="shared" ca="1" si="15"/>
        <v>316.11673421734639</v>
      </c>
      <c r="H243" s="7">
        <f ca="1">(G243+DCF!$D$40+DCF!$D$41+DCF!$D$42-DCF!$D$43-DCF!$D$44)/DCF!$C$35</f>
        <v>2.4262542850059057</v>
      </c>
    </row>
    <row r="244" spans="3:8" x14ac:dyDescent="0.35">
      <c r="C244" s="8">
        <f t="shared" ca="1" si="16"/>
        <v>0.79434017520115585</v>
      </c>
      <c r="D244" s="7">
        <f t="shared" ca="1" si="17"/>
        <v>9.4850202493910685E-2</v>
      </c>
      <c r="E244" s="7">
        <f t="shared" ca="1" si="18"/>
        <v>0.19444939244279458</v>
      </c>
      <c r="F244" s="7">
        <f t="shared" ca="1" si="19"/>
        <v>1.6236174988609516E-2</v>
      </c>
      <c r="G244" s="7">
        <f t="shared" ca="1" si="15"/>
        <v>215.61190613665187</v>
      </c>
      <c r="H244" s="7">
        <f ca="1">(G244+DCF!$D$40+DCF!$D$41+DCF!$D$42-DCF!$D$43-DCF!$D$44)/DCF!$C$35</f>
        <v>1.8590072589268083</v>
      </c>
    </row>
    <row r="245" spans="3:8" x14ac:dyDescent="0.35">
      <c r="C245" s="8">
        <f t="shared" ca="1" si="16"/>
        <v>0.82808773838192207</v>
      </c>
      <c r="D245" s="7">
        <f t="shared" ca="1" si="17"/>
        <v>9.6148859831559894E-2</v>
      </c>
      <c r="E245" s="7">
        <f t="shared" ca="1" si="18"/>
        <v>0.60047066118924153</v>
      </c>
      <c r="F245" s="7">
        <f t="shared" ca="1" si="19"/>
        <v>2.1060991790911497E-2</v>
      </c>
      <c r="G245" s="7">
        <f t="shared" ca="1" si="15"/>
        <v>221.21076853362746</v>
      </c>
      <c r="H245" s="7">
        <f ca="1">(G245+DCF!$D$40+DCF!$D$41+DCF!$D$42-DCF!$D$43-DCF!$D$44)/DCF!$C$35</f>
        <v>1.8906071144239047</v>
      </c>
    </row>
    <row r="246" spans="3:8" x14ac:dyDescent="0.35">
      <c r="C246" s="8">
        <f t="shared" ca="1" si="16"/>
        <v>0.81663791779898698</v>
      </c>
      <c r="D246" s="7">
        <f t="shared" ca="1" si="17"/>
        <v>9.5695032899851512E-2</v>
      </c>
      <c r="E246" s="7">
        <f t="shared" ca="1" si="18"/>
        <v>0.35312222116196779</v>
      </c>
      <c r="F246" s="7">
        <f t="shared" ca="1" si="19"/>
        <v>1.8403835090742414E-2</v>
      </c>
      <c r="G246" s="7">
        <f t="shared" ca="1" si="15"/>
        <v>217.27436614380244</v>
      </c>
      <c r="H246" s="7">
        <f ca="1">(G246+DCF!$D$40+DCF!$D$41+DCF!$D$42-DCF!$D$43-DCF!$D$44)/DCF!$C$35</f>
        <v>1.8683901464262471</v>
      </c>
    </row>
    <row r="247" spans="3:8" x14ac:dyDescent="0.35">
      <c r="C247" s="8">
        <f t="shared" ca="1" si="16"/>
        <v>3.748171445453008E-2</v>
      </c>
      <c r="D247" s="7">
        <f t="shared" ca="1" si="17"/>
        <v>7.4259242866518957E-2</v>
      </c>
      <c r="E247" s="7">
        <f t="shared" ca="1" si="18"/>
        <v>0.11455316124936288</v>
      </c>
      <c r="F247" s="7">
        <f t="shared" ca="1" si="19"/>
        <v>1.4786505223006926E-2</v>
      </c>
      <c r="G247" s="7">
        <f t="shared" ca="1" si="15"/>
        <v>292.00177940791707</v>
      </c>
      <c r="H247" s="7">
        <f ca="1">(G247+DCF!$D$40+DCF!$D$41+DCF!$D$42-DCF!$D$43-DCF!$D$44)/DCF!$C$35</f>
        <v>2.2901500135902304</v>
      </c>
    </row>
    <row r="248" spans="3:8" x14ac:dyDescent="0.35">
      <c r="C248" s="8">
        <f t="shared" ca="1" si="16"/>
        <v>0.46431773781764885</v>
      </c>
      <c r="D248" s="7">
        <f t="shared" ca="1" si="17"/>
        <v>8.5549613406011277E-2</v>
      </c>
      <c r="E248" s="7">
        <f t="shared" ca="1" si="18"/>
        <v>0.89339838524009774</v>
      </c>
      <c r="F248" s="7">
        <f t="shared" ca="1" si="19"/>
        <v>2.5382606476378643E-2</v>
      </c>
      <c r="G248" s="7">
        <f t="shared" ca="1" si="15"/>
        <v>273.53687478257154</v>
      </c>
      <c r="H248" s="7">
        <f ca="1">(G248+DCF!$D$40+DCF!$D$41+DCF!$D$42-DCF!$D$43-DCF!$D$44)/DCF!$C$35</f>
        <v>2.185934500409592</v>
      </c>
    </row>
    <row r="249" spans="3:8" x14ac:dyDescent="0.35">
      <c r="C249" s="8">
        <f t="shared" ca="1" si="16"/>
        <v>0.64471552459688153</v>
      </c>
      <c r="D249" s="7">
        <f t="shared" ca="1" si="17"/>
        <v>9.0087755662661223E-2</v>
      </c>
      <c r="E249" s="7">
        <f t="shared" ca="1" si="18"/>
        <v>0.50905579191900485</v>
      </c>
      <c r="F249" s="7">
        <f t="shared" ca="1" si="19"/>
        <v>2.0090971711807508E-2</v>
      </c>
      <c r="G249" s="7">
        <f t="shared" ca="1" si="15"/>
        <v>239.41887965615314</v>
      </c>
      <c r="H249" s="7">
        <f ca="1">(G249+DCF!$D$40+DCF!$D$41+DCF!$D$42-DCF!$D$43-DCF!$D$44)/DCF!$C$35</f>
        <v>1.9933732907560284</v>
      </c>
    </row>
    <row r="250" spans="3:8" x14ac:dyDescent="0.35">
      <c r="C250" s="8">
        <f t="shared" ca="1" si="16"/>
        <v>1.4203230908167219E-2</v>
      </c>
      <c r="D250" s="7">
        <f t="shared" ca="1" si="17"/>
        <v>7.2621900791325439E-2</v>
      </c>
      <c r="E250" s="7">
        <f t="shared" ca="1" si="18"/>
        <v>0.13332928879861139</v>
      </c>
      <c r="F250" s="7">
        <f t="shared" ca="1" si="19"/>
        <v>1.5163899472271151E-2</v>
      </c>
      <c r="G250" s="7">
        <f t="shared" ca="1" si="15"/>
        <v>302.22883737415407</v>
      </c>
      <c r="H250" s="7">
        <f ca="1">(G250+DCF!$D$40+DCF!$D$41+DCF!$D$42-DCF!$D$43-DCF!$D$44)/DCF!$C$35</f>
        <v>2.3478713024842195</v>
      </c>
    </row>
    <row r="251" spans="3:8" x14ac:dyDescent="0.35">
      <c r="C251" s="8">
        <f t="shared" ca="1" si="16"/>
        <v>0.13326121160365667</v>
      </c>
      <c r="D251" s="7">
        <f t="shared" ca="1" si="17"/>
        <v>7.8031091234456867E-2</v>
      </c>
      <c r="E251" s="7">
        <f t="shared" ca="1" si="18"/>
        <v>0.43734745499465588</v>
      </c>
      <c r="F251" s="7">
        <f t="shared" ca="1" si="19"/>
        <v>1.9352512550054726E-2</v>
      </c>
      <c r="G251" s="7">
        <f t="shared" ca="1" si="15"/>
        <v>289.42583922861058</v>
      </c>
      <c r="H251" s="7">
        <f ca="1">(G251+DCF!$D$40+DCF!$D$41+DCF!$D$42-DCF!$D$43-DCF!$D$44)/DCF!$C$35</f>
        <v>2.2756114642093381</v>
      </c>
    </row>
    <row r="252" spans="3:8" x14ac:dyDescent="0.35">
      <c r="C252" s="8">
        <f t="shared" ca="1" si="16"/>
        <v>0.79223832523609328</v>
      </c>
      <c r="D252" s="7">
        <f t="shared" ca="1" si="17"/>
        <v>9.4772983580605166E-2</v>
      </c>
      <c r="E252" s="7">
        <f t="shared" ca="1" si="18"/>
        <v>0.19005792574364178</v>
      </c>
      <c r="F252" s="7">
        <f t="shared" ca="1" si="19"/>
        <v>1.6165353611004671E-2</v>
      </c>
      <c r="G252" s="7">
        <f t="shared" ca="1" si="15"/>
        <v>215.70398925316783</v>
      </c>
      <c r="H252" s="7">
        <f ca="1">(G252+DCF!$D$40+DCF!$D$41+DCF!$D$42-DCF!$D$43-DCF!$D$44)/DCF!$C$35</f>
        <v>1.8595269739991411</v>
      </c>
    </row>
    <row r="253" spans="3:8" x14ac:dyDescent="0.35">
      <c r="C253" s="8">
        <f t="shared" ca="1" si="16"/>
        <v>0.35926573609489842</v>
      </c>
      <c r="D253" s="7">
        <f t="shared" ca="1" si="17"/>
        <v>8.32594046715842E-2</v>
      </c>
      <c r="E253" s="7">
        <f t="shared" ca="1" si="18"/>
        <v>0.52279153450710658</v>
      </c>
      <c r="F253" s="7">
        <f t="shared" ca="1" si="19"/>
        <v>2.0230573553243841E-2</v>
      </c>
      <c r="G253" s="7">
        <f t="shared" ca="1" si="15"/>
        <v>267.26687664759635</v>
      </c>
      <c r="H253" s="7">
        <f ca="1">(G253+DCF!$D$40+DCF!$D$41+DCF!$D$42-DCF!$D$43-DCF!$D$44)/DCF!$C$35</f>
        <v>2.1505467696556968</v>
      </c>
    </row>
    <row r="254" spans="3:8" x14ac:dyDescent="0.35">
      <c r="C254" s="8">
        <f t="shared" ca="1" si="16"/>
        <v>0.80507676380267457</v>
      </c>
      <c r="D254" s="7">
        <f t="shared" ca="1" si="17"/>
        <v>9.525095489205436E-2</v>
      </c>
      <c r="E254" s="7">
        <f t="shared" ca="1" si="18"/>
        <v>0.8749690140674401</v>
      </c>
      <c r="F254" s="7">
        <f t="shared" ca="1" si="19"/>
        <v>2.4999380319749163E-2</v>
      </c>
      <c r="G254" s="7">
        <f t="shared" ca="1" si="15"/>
        <v>232.87106272356448</v>
      </c>
      <c r="H254" s="7">
        <f ca="1">(G254+DCF!$D$40+DCF!$D$41+DCF!$D$42-DCF!$D$43-DCF!$D$44)/DCF!$C$35</f>
        <v>1.9564175568549749</v>
      </c>
    </row>
    <row r="255" spans="3:8" x14ac:dyDescent="0.35">
      <c r="C255" s="8">
        <f t="shared" ca="1" si="16"/>
        <v>0.27016800434976529</v>
      </c>
      <c r="D255" s="7">
        <f t="shared" ca="1" si="17"/>
        <v>8.1435091346608757E-2</v>
      </c>
      <c r="E255" s="7">
        <f t="shared" ca="1" si="18"/>
        <v>0.40540463500370993</v>
      </c>
      <c r="F255" s="7">
        <f t="shared" ca="1" si="19"/>
        <v>1.9004494822073139E-2</v>
      </c>
      <c r="G255" s="7">
        <f t="shared" ca="1" si="15"/>
        <v>271.61939430655048</v>
      </c>
      <c r="H255" s="7">
        <f ca="1">(G255+DCF!$D$40+DCF!$D$41+DCF!$D$42-DCF!$D$43-DCF!$D$44)/DCF!$C$35</f>
        <v>2.1751122830260212</v>
      </c>
    </row>
    <row r="256" spans="3:8" x14ac:dyDescent="0.35">
      <c r="C256" s="8">
        <f t="shared" ca="1" si="16"/>
        <v>0.97827127800518832</v>
      </c>
      <c r="D256" s="7">
        <f t="shared" ca="1" si="17"/>
        <v>0.10507564687027729</v>
      </c>
      <c r="E256" s="7">
        <f t="shared" ca="1" si="18"/>
        <v>0.79432231342699211</v>
      </c>
      <c r="F256" s="7">
        <f t="shared" ca="1" si="19"/>
        <v>2.3586300808846616E-2</v>
      </c>
      <c r="G256" s="7">
        <f t="shared" ca="1" si="15"/>
        <v>200.38048757103269</v>
      </c>
      <c r="H256" s="7">
        <f ca="1">(G256+DCF!$D$40+DCF!$D$41+DCF!$D$42-DCF!$D$43-DCF!$D$44)/DCF!$C$35</f>
        <v>1.7730414695283478</v>
      </c>
    </row>
    <row r="257" spans="3:8" x14ac:dyDescent="0.35">
      <c r="C257" s="8">
        <f t="shared" ca="1" si="16"/>
        <v>0.27162793456161971</v>
      </c>
      <c r="D257" s="7">
        <f t="shared" ca="1" si="17"/>
        <v>8.1465946115686402E-2</v>
      </c>
      <c r="E257" s="7">
        <f t="shared" ca="1" si="18"/>
        <v>0.88911553964136036</v>
      </c>
      <c r="F257" s="7">
        <f t="shared" ca="1" si="19"/>
        <v>2.5290765235016634E-2</v>
      </c>
      <c r="G257" s="7">
        <f t="shared" ca="1" si="15"/>
        <v>294.04050645141456</v>
      </c>
      <c r="H257" s="7">
        <f ca="1">(G257+DCF!$D$40+DCF!$D$41+DCF!$D$42-DCF!$D$43-DCF!$D$44)/DCF!$C$35</f>
        <v>2.3016565439181313</v>
      </c>
    </row>
    <row r="258" spans="3:8" x14ac:dyDescent="0.35">
      <c r="C258" s="8">
        <f t="shared" ca="1" si="16"/>
        <v>0.43952818710147712</v>
      </c>
      <c r="D258" s="7">
        <f t="shared" ca="1" si="17"/>
        <v>8.4990271029162442E-2</v>
      </c>
      <c r="E258" s="7">
        <f t="shared" ca="1" si="18"/>
        <v>0.72183140506710264</v>
      </c>
      <c r="F258" s="7">
        <f t="shared" ca="1" si="19"/>
        <v>2.2541198555627084E-2</v>
      </c>
      <c r="G258" s="7">
        <f t="shared" ca="1" si="15"/>
        <v>266.79862996050889</v>
      </c>
      <c r="H258" s="7">
        <f ca="1">(G258+DCF!$D$40+DCF!$D$41+DCF!$D$42-DCF!$D$43-DCF!$D$44)/DCF!$C$35</f>
        <v>2.1479039957134489</v>
      </c>
    </row>
    <row r="259" spans="3:8" x14ac:dyDescent="0.35">
      <c r="C259" s="8">
        <f t="shared" ca="1" si="16"/>
        <v>0.8967806181737682</v>
      </c>
      <c r="D259" s="7">
        <f t="shared" ca="1" si="17"/>
        <v>9.9267207720351858E-2</v>
      </c>
      <c r="E259" s="7">
        <f t="shared" ca="1" si="18"/>
        <v>0.96781249651044998</v>
      </c>
      <c r="F259" s="7">
        <f t="shared" ca="1" si="19"/>
        <v>2.7462776971192718E-2</v>
      </c>
      <c r="G259" s="7">
        <f t="shared" ca="1" si="15"/>
        <v>224.87405922245171</v>
      </c>
      <c r="H259" s="7">
        <f ca="1">(G259+DCF!$D$40+DCF!$D$41+DCF!$D$42-DCF!$D$43-DCF!$D$44)/DCF!$C$35</f>
        <v>1.911282646023545</v>
      </c>
    </row>
    <row r="260" spans="3:8" x14ac:dyDescent="0.35">
      <c r="C260" s="8">
        <f t="shared" ca="1" si="16"/>
        <v>0.27780579396974237</v>
      </c>
      <c r="D260" s="7">
        <f t="shared" ca="1" si="17"/>
        <v>8.1595602799395789E-2</v>
      </c>
      <c r="E260" s="7">
        <f t="shared" ca="1" si="18"/>
        <v>0.20403457706104933</v>
      </c>
      <c r="F260" s="7">
        <f t="shared" ca="1" si="19"/>
        <v>1.6388029071021035E-2</v>
      </c>
      <c r="G260" s="7">
        <f t="shared" ca="1" si="15"/>
        <v>262.81759475191018</v>
      </c>
      <c r="H260" s="7">
        <f ca="1">(G260+DCF!$D$40+DCF!$D$41+DCF!$D$42-DCF!$D$43-DCF!$D$44)/DCF!$C$35</f>
        <v>2.1254351210741063</v>
      </c>
    </row>
    <row r="261" spans="3:8" x14ac:dyDescent="0.35">
      <c r="C261" s="8">
        <f t="shared" ca="1" si="16"/>
        <v>0.51338179689311703</v>
      </c>
      <c r="D261" s="7">
        <f t="shared" ca="1" si="17"/>
        <v>8.6696225312896599E-2</v>
      </c>
      <c r="E261" s="7">
        <f t="shared" ca="1" si="18"/>
        <v>0.69714073053882863</v>
      </c>
      <c r="F261" s="7">
        <f t="shared" ca="1" si="19"/>
        <v>2.2217207834444357E-2</v>
      </c>
      <c r="G261" s="7">
        <f t="shared" ca="1" si="15"/>
        <v>258.38334523354081</v>
      </c>
      <c r="H261" s="7">
        <f ca="1">(G261+DCF!$D$40+DCF!$D$41+DCF!$D$42-DCF!$D$43-DCF!$D$44)/DCF!$C$35</f>
        <v>2.1004083148975097</v>
      </c>
    </row>
    <row r="262" spans="3:8" x14ac:dyDescent="0.35">
      <c r="C262" s="8">
        <f t="shared" ca="1" si="16"/>
        <v>0.3037190257750978</v>
      </c>
      <c r="D262" s="7">
        <f t="shared" ca="1" si="17"/>
        <v>8.212439117732151E-2</v>
      </c>
      <c r="E262" s="7">
        <f t="shared" ca="1" si="18"/>
        <v>0.92519225278700956</v>
      </c>
      <c r="F262" s="7">
        <f t="shared" ca="1" si="19"/>
        <v>2.6131983784599903E-2</v>
      </c>
      <c r="G262" s="7">
        <f t="shared" ca="1" si="15"/>
        <v>293.79797734460715</v>
      </c>
      <c r="H262" s="7">
        <f ca="1">(G262+DCF!$D$40+DCF!$D$41+DCF!$D$42-DCF!$D$43-DCF!$D$44)/DCF!$C$35</f>
        <v>2.30028771500512</v>
      </c>
    </row>
    <row r="263" spans="3:8" x14ac:dyDescent="0.35">
      <c r="C263" s="8">
        <f t="shared" ca="1" si="16"/>
        <v>0.73733204001589026</v>
      </c>
      <c r="D263" s="7">
        <f t="shared" ca="1" si="17"/>
        <v>9.2878742939192044E-2</v>
      </c>
      <c r="E263" s="7">
        <f t="shared" ca="1" si="18"/>
        <v>0.34853447539735394</v>
      </c>
      <c r="F263" s="7">
        <f t="shared" ca="1" si="19"/>
        <v>1.8349065521330563E-2</v>
      </c>
      <c r="G263" s="7">
        <f t="shared" ca="1" si="15"/>
        <v>225.90844895924408</v>
      </c>
      <c r="H263" s="7">
        <f ca="1">(G263+DCF!$D$40+DCF!$D$41+DCF!$D$42-DCF!$D$43-DCF!$D$44)/DCF!$C$35</f>
        <v>1.9171207188127557</v>
      </c>
    </row>
    <row r="264" spans="3:8" x14ac:dyDescent="0.35">
      <c r="C264" s="8">
        <f t="shared" ca="1" si="16"/>
        <v>0.43899787018571068</v>
      </c>
      <c r="D264" s="7">
        <f t="shared" ca="1" si="17"/>
        <v>8.4978441757701292E-2</v>
      </c>
      <c r="E264" s="7">
        <f t="shared" ca="1" si="18"/>
        <v>8.3565249962189947E-2</v>
      </c>
      <c r="F264" s="7">
        <f t="shared" ca="1" si="19"/>
        <v>1.4088159731766605E-2</v>
      </c>
      <c r="G264" s="7">
        <f t="shared" ca="1" si="15"/>
        <v>243.26413244998415</v>
      </c>
      <c r="H264" s="7">
        <f ca="1">(G264+DCF!$D$40+DCF!$D$41+DCF!$D$42-DCF!$D$43-DCF!$D$44)/DCF!$C$35</f>
        <v>2.0150758124505255</v>
      </c>
    </row>
    <row r="265" spans="3:8" x14ac:dyDescent="0.35">
      <c r="C265" s="8">
        <f t="shared" ca="1" si="16"/>
        <v>0.68306259267301439</v>
      </c>
      <c r="D265" s="7">
        <f t="shared" ca="1" si="17"/>
        <v>9.1193029308872853E-2</v>
      </c>
      <c r="E265" s="7">
        <f t="shared" ca="1" si="18"/>
        <v>0.24396462302274213</v>
      </c>
      <c r="F265" s="7">
        <f t="shared" ca="1" si="19"/>
        <v>1.6985193240315433E-2</v>
      </c>
      <c r="G265" s="7">
        <f t="shared" ca="1" si="15"/>
        <v>228.45513266149243</v>
      </c>
      <c r="H265" s="7">
        <f ca="1">(G265+DCF!$D$40+DCF!$D$41+DCF!$D$42-DCF!$D$43-DCF!$D$44)/DCF!$C$35</f>
        <v>1.9314941452844137</v>
      </c>
    </row>
    <row r="266" spans="3:8" x14ac:dyDescent="0.35">
      <c r="C266" s="8">
        <f t="shared" ca="1" si="16"/>
        <v>0.52279984591503714</v>
      </c>
      <c r="D266" s="7">
        <f t="shared" ca="1" si="17"/>
        <v>8.6922838736993274E-2</v>
      </c>
      <c r="E266" s="7">
        <f t="shared" ca="1" si="18"/>
        <v>0.82941193348777587</v>
      </c>
      <c r="F266" s="7">
        <f t="shared" ca="1" si="19"/>
        <v>2.4158971554388318E-2</v>
      </c>
      <c r="G266" s="7">
        <f t="shared" ca="1" si="15"/>
        <v>263.27284472540396</v>
      </c>
      <c r="H266" s="7">
        <f ca="1">(G266+DCF!$D$40+DCF!$D$41+DCF!$D$42-DCF!$D$43-DCF!$D$44)/DCF!$C$35</f>
        <v>2.1280045418523756</v>
      </c>
    </row>
    <row r="267" spans="3:8" x14ac:dyDescent="0.35">
      <c r="C267" s="8">
        <f t="shared" ca="1" si="16"/>
        <v>4.5932053681356999E-2</v>
      </c>
      <c r="D267" s="7">
        <f t="shared" ca="1" si="17"/>
        <v>7.4714988227109036E-2</v>
      </c>
      <c r="E267" s="7">
        <f t="shared" ca="1" si="18"/>
        <v>0.90985933412395914</v>
      </c>
      <c r="F267" s="7">
        <f t="shared" ca="1" si="19"/>
        <v>2.5754045080878959E-2</v>
      </c>
      <c r="G267" s="7">
        <f t="shared" ca="1" si="15"/>
        <v>338.53457157717338</v>
      </c>
      <c r="H267" s="7">
        <f ca="1">(G267+DCF!$D$40+DCF!$D$41+DCF!$D$42-DCF!$D$43-DCF!$D$44)/DCF!$C$35</f>
        <v>2.552780063083719</v>
      </c>
    </row>
    <row r="268" spans="3:8" x14ac:dyDescent="0.35">
      <c r="C268" s="8">
        <f t="shared" ca="1" si="16"/>
        <v>0.85725742803730898</v>
      </c>
      <c r="D268" s="7">
        <f t="shared" ca="1" si="17"/>
        <v>9.7378561480149617E-2</v>
      </c>
      <c r="E268" s="7">
        <f t="shared" ca="1" si="18"/>
        <v>0.25483550589689363</v>
      </c>
      <c r="F268" s="7">
        <f t="shared" ca="1" si="19"/>
        <v>1.7139124678794922E-2</v>
      </c>
      <c r="G268" s="7">
        <f t="shared" ca="1" si="15"/>
        <v>210.0413460616204</v>
      </c>
      <c r="H268" s="7">
        <f ca="1">(G268+DCF!$D$40+DCF!$D$41+DCF!$D$42-DCF!$D$43-DCF!$D$44)/DCF!$C$35</f>
        <v>1.8275671411085923</v>
      </c>
    </row>
    <row r="269" spans="3:8" x14ac:dyDescent="0.35">
      <c r="C269" s="8">
        <f t="shared" ca="1" si="16"/>
        <v>7.4994961781725156E-2</v>
      </c>
      <c r="D269" s="7">
        <f t="shared" ca="1" si="17"/>
        <v>7.6024745762466248E-2</v>
      </c>
      <c r="E269" s="7">
        <f t="shared" ca="1" si="18"/>
        <v>0.1478431291889285</v>
      </c>
      <c r="F269" s="7">
        <f t="shared" ca="1" si="19"/>
        <v>1.5437704096195902E-2</v>
      </c>
      <c r="G269" s="7">
        <f t="shared" ca="1" si="15"/>
        <v>285.39836854810005</v>
      </c>
      <c r="H269" s="7">
        <f ca="1">(G269+DCF!$D$40+DCF!$D$41+DCF!$D$42-DCF!$D$43-DCF!$D$44)/DCF!$C$35</f>
        <v>2.2528805087938819</v>
      </c>
    </row>
    <row r="270" spans="3:8" x14ac:dyDescent="0.35">
      <c r="C270" s="8">
        <f t="shared" ca="1" si="16"/>
        <v>0.2535833677131718</v>
      </c>
      <c r="D270" s="7">
        <f t="shared" ca="1" si="17"/>
        <v>8.1078553604743503E-2</v>
      </c>
      <c r="E270" s="7">
        <f t="shared" ca="1" si="18"/>
        <v>0.86252243805792483</v>
      </c>
      <c r="F270" s="7">
        <f t="shared" ca="1" si="19"/>
        <v>2.475638365358267E-2</v>
      </c>
      <c r="G270" s="7">
        <f t="shared" ca="1" si="15"/>
        <v>294.02770785141666</v>
      </c>
      <c r="H270" s="7">
        <f ca="1">(G270+DCF!$D$40+DCF!$D$41+DCF!$D$42-DCF!$D$43-DCF!$D$44)/DCF!$C$35</f>
        <v>2.3015843089029047</v>
      </c>
    </row>
    <row r="271" spans="3:8" x14ac:dyDescent="0.35">
      <c r="C271" s="8">
        <f t="shared" ca="1" si="16"/>
        <v>0.51593721687191263</v>
      </c>
      <c r="D271" s="7">
        <f t="shared" ca="1" si="17"/>
        <v>8.6757494412801672E-2</v>
      </c>
      <c r="E271" s="7">
        <f t="shared" ca="1" si="18"/>
        <v>0.9603521466486693</v>
      </c>
      <c r="F271" s="7">
        <f t="shared" ca="1" si="19"/>
        <v>2.7184050662695414E-2</v>
      </c>
      <c r="G271" s="7">
        <f t="shared" ca="1" si="15"/>
        <v>273.92408469134989</v>
      </c>
      <c r="H271" s="7">
        <f ca="1">(G271+DCF!$D$40+DCF!$D$41+DCF!$D$42-DCF!$D$43-DCF!$D$44)/DCF!$C$35</f>
        <v>2.1881199045679529</v>
      </c>
    </row>
    <row r="272" spans="3:8" x14ac:dyDescent="0.35">
      <c r="C272" s="8">
        <f t="shared" ca="1" si="16"/>
        <v>5.111936449038279E-2</v>
      </c>
      <c r="D272" s="7">
        <f t="shared" ca="1" si="17"/>
        <v>7.4974110213228626E-2</v>
      </c>
      <c r="E272" s="7">
        <f t="shared" ca="1" si="18"/>
        <v>0.50541822415808924</v>
      </c>
      <c r="F272" s="7">
        <f t="shared" ca="1" si="19"/>
        <v>2.0054329828091917E-2</v>
      </c>
      <c r="G272" s="7">
        <f t="shared" ref="G272:G335" ca="1" si="20">$C$11/(1+D272)^1
 +$D$11/(1+D272)^2
 +$E$11/(1+D272)^3
 +$F$11/(1+D272)^4
 +$G$11/(1+D272)^5
 +$H$11/(1+D272)^6
 +$I$11/(1+D272)^7
 + ( $I$11*(1+F272)/(D272-F272) )/(1+D272)^7</f>
        <v>309.15061555457919</v>
      </c>
      <c r="H272" s="7">
        <f ca="1">(G272+DCF!$D$40+DCF!$D$41+DCF!$D$42-DCF!$D$43-DCF!$D$44)/DCF!$C$35</f>
        <v>2.3869376653943966</v>
      </c>
    </row>
    <row r="273" spans="3:8" x14ac:dyDescent="0.35">
      <c r="C273" s="8">
        <f t="shared" ref="C273:C336" ca="1" si="21">RAND()</f>
        <v>0.23536187994384739</v>
      </c>
      <c r="D273" s="7">
        <f t="shared" ref="D273:D336" ca="1" si="22">IF(C273&lt;($C$6-0.07)/(0.11-0.07),0.07+SQRT(C273*(0.11-0.07)*($C$6-0.07)),0.11-SQRT((1-C273)*(0.11-0.07)*(0.11-$C$6)))</f>
        <v>8.067310404206865E-2</v>
      </c>
      <c r="E273" s="7">
        <f t="shared" ref="E273:E336" ca="1" si="23">RAND()</f>
        <v>0.33794333739680404</v>
      </c>
      <c r="F273" s="7">
        <f t="shared" ref="F273:F336" ca="1" si="24">MIN(
 IF(E273&lt;(0.02-0.01)/(0.03-0.01),
   0.01+SQRT(E273*(0.03-0.01)*(0.02-0.01)),
   0.03-SQRT((1-E273)*(0.03-0.01)*(0.03-0.02))
 ),
 D273-0.005
)</f>
        <v>1.8221232722612883E-2</v>
      </c>
      <c r="G273" s="7">
        <f t="shared" ca="1" si="20"/>
        <v>272.58482069253421</v>
      </c>
      <c r="H273" s="7">
        <f ca="1">(G273+DCF!$D$40+DCF!$D$41+DCF!$D$42-DCF!$D$43-DCF!$D$44)/DCF!$C$35</f>
        <v>2.1805611281890402</v>
      </c>
    </row>
    <row r="274" spans="3:8" x14ac:dyDescent="0.35">
      <c r="C274" s="8">
        <f t="shared" ca="1" si="21"/>
        <v>0.18249078277990749</v>
      </c>
      <c r="D274" s="7">
        <f t="shared" ca="1" si="22"/>
        <v>7.9398166782169557E-2</v>
      </c>
      <c r="E274" s="7">
        <f t="shared" ca="1" si="23"/>
        <v>0.94513563546325474</v>
      </c>
      <c r="F274" s="7">
        <f t="shared" ca="1" si="24"/>
        <v>2.6687467297165347E-2</v>
      </c>
      <c r="G274" s="7">
        <f t="shared" ca="1" si="20"/>
        <v>312.02303597289341</v>
      </c>
      <c r="H274" s="7">
        <f ca="1">(G274+DCF!$D$40+DCF!$D$41+DCF!$D$42-DCF!$D$43-DCF!$D$44)/DCF!$C$35</f>
        <v>2.4031495426848029</v>
      </c>
    </row>
    <row r="275" spans="3:8" x14ac:dyDescent="0.35">
      <c r="C275" s="8">
        <f t="shared" ca="1" si="21"/>
        <v>0.88084257621287498</v>
      </c>
      <c r="D275" s="7">
        <f t="shared" ca="1" si="22"/>
        <v>9.8468318208239036E-2</v>
      </c>
      <c r="E275" s="7">
        <f t="shared" ca="1" si="23"/>
        <v>0.47248155782315249</v>
      </c>
      <c r="F275" s="7">
        <f t="shared" ca="1" si="24"/>
        <v>1.9720921333116037E-2</v>
      </c>
      <c r="G275" s="7">
        <f t="shared" ca="1" si="20"/>
        <v>211.65961626175596</v>
      </c>
      <c r="H275" s="7">
        <f ca="1">(G275+DCF!$D$40+DCF!$D$41+DCF!$D$42-DCF!$D$43-DCF!$D$44)/DCF!$C$35</f>
        <v>1.8367006223149112</v>
      </c>
    </row>
    <row r="276" spans="3:8" x14ac:dyDescent="0.35">
      <c r="C276" s="8">
        <f t="shared" ca="1" si="21"/>
        <v>0.95274521956540481</v>
      </c>
      <c r="D276" s="7">
        <f t="shared" ca="1" si="22"/>
        <v>0.10273802127757123</v>
      </c>
      <c r="E276" s="7">
        <f t="shared" ca="1" si="23"/>
        <v>0.94986040835866759</v>
      </c>
      <c r="F276" s="7">
        <f t="shared" ca="1" si="24"/>
        <v>2.6833311141228666E-2</v>
      </c>
      <c r="G276" s="7">
        <f t="shared" ca="1" si="20"/>
        <v>212.7245643894521</v>
      </c>
      <c r="H276" s="7">
        <f ca="1">(G276+DCF!$D$40+DCF!$D$41+DCF!$D$42-DCF!$D$43-DCF!$D$44)/DCF!$C$35</f>
        <v>1.8427111659862969</v>
      </c>
    </row>
    <row r="277" spans="3:8" x14ac:dyDescent="0.35">
      <c r="C277" s="8">
        <f t="shared" ca="1" si="21"/>
        <v>0.12606404893893841</v>
      </c>
      <c r="D277" s="7">
        <f t="shared" ca="1" si="22"/>
        <v>7.7811209873409254E-2</v>
      </c>
      <c r="E277" s="7">
        <f t="shared" ca="1" si="23"/>
        <v>0.44395245553036666</v>
      </c>
      <c r="F277" s="7">
        <f t="shared" ca="1" si="24"/>
        <v>1.9422870640419157E-2</v>
      </c>
      <c r="G277" s="7">
        <f t="shared" ca="1" si="20"/>
        <v>290.83506081151819</v>
      </c>
      <c r="H277" s="7">
        <f ca="1">(G277+DCF!$D$40+DCF!$D$41+DCF!$D$42-DCF!$D$43-DCF!$D$44)/DCF!$C$35</f>
        <v>2.2835650796450961</v>
      </c>
    </row>
    <row r="278" spans="3:8" x14ac:dyDescent="0.35">
      <c r="C278" s="8">
        <f t="shared" ca="1" si="21"/>
        <v>0.64209382722817976</v>
      </c>
      <c r="D278" s="7">
        <f t="shared" ca="1" si="22"/>
        <v>9.0014422980225189E-2</v>
      </c>
      <c r="E278" s="7">
        <f t="shared" ca="1" si="23"/>
        <v>0.33750257238879422</v>
      </c>
      <c r="F278" s="7">
        <f t="shared" ca="1" si="24"/>
        <v>1.821586967263715E-2</v>
      </c>
      <c r="G278" s="7">
        <f t="shared" ca="1" si="20"/>
        <v>235.19798888522661</v>
      </c>
      <c r="H278" s="7">
        <f ca="1">(G278+DCF!$D$40+DCF!$D$41+DCF!$D$42-DCF!$D$43-DCF!$D$44)/DCF!$C$35</f>
        <v>1.9695506766295665</v>
      </c>
    </row>
    <row r="279" spans="3:8" x14ac:dyDescent="0.35">
      <c r="C279" s="8">
        <f t="shared" ca="1" si="21"/>
        <v>0.28240375997506373</v>
      </c>
      <c r="D279" s="7">
        <f t="shared" ca="1" si="22"/>
        <v>8.169116845434754E-2</v>
      </c>
      <c r="E279" s="7">
        <f t="shared" ca="1" si="23"/>
        <v>0.47148558115226258</v>
      </c>
      <c r="F279" s="7">
        <f t="shared" ca="1" si="24"/>
        <v>1.9710670225605055E-2</v>
      </c>
      <c r="G279" s="7">
        <f t="shared" ca="1" si="20"/>
        <v>272.73591658677759</v>
      </c>
      <c r="H279" s="7">
        <f ca="1">(G279+DCF!$D$40+DCF!$D$41+DCF!$D$42-DCF!$D$43-DCF!$D$44)/DCF!$C$35</f>
        <v>2.1814139100732453</v>
      </c>
    </row>
    <row r="280" spans="3:8" x14ac:dyDescent="0.35">
      <c r="C280" s="8">
        <f t="shared" ca="1" si="21"/>
        <v>3.5871247404620665E-2</v>
      </c>
      <c r="D280" s="7">
        <f t="shared" ca="1" si="22"/>
        <v>7.4166735382027088E-2</v>
      </c>
      <c r="E280" s="7">
        <f t="shared" ca="1" si="23"/>
        <v>4.7603768617139552E-2</v>
      </c>
      <c r="F280" s="7">
        <f t="shared" ca="1" si="24"/>
        <v>1.3085571863273956E-2</v>
      </c>
      <c r="G280" s="7">
        <f t="shared" ca="1" si="20"/>
        <v>286.33093729919364</v>
      </c>
      <c r="H280" s="7">
        <f ca="1">(G280+DCF!$D$40+DCF!$D$41+DCF!$D$42-DCF!$D$43-DCF!$D$44)/DCF!$C$35</f>
        <v>2.2581439061925366</v>
      </c>
    </row>
    <row r="281" spans="3:8" x14ac:dyDescent="0.35">
      <c r="C281" s="8">
        <f t="shared" ca="1" si="21"/>
        <v>0.74639474796969774</v>
      </c>
      <c r="D281" s="7">
        <f t="shared" ca="1" si="22"/>
        <v>9.3176698859444462E-2</v>
      </c>
      <c r="E281" s="7">
        <f t="shared" ca="1" si="23"/>
        <v>0.2796628881159422</v>
      </c>
      <c r="F281" s="7">
        <f t="shared" ca="1" si="24"/>
        <v>1.7478808569764869E-2</v>
      </c>
      <c r="G281" s="7">
        <f t="shared" ca="1" si="20"/>
        <v>223.13851878312744</v>
      </c>
      <c r="H281" s="7">
        <f ca="1">(G281+DCF!$D$40+DCF!$D$41+DCF!$D$42-DCF!$D$43-DCF!$D$44)/DCF!$C$35</f>
        <v>1.901487294181778</v>
      </c>
    </row>
    <row r="282" spans="3:8" x14ac:dyDescent="0.35">
      <c r="C282" s="8">
        <f t="shared" ca="1" si="21"/>
        <v>0.22375257916427282</v>
      </c>
      <c r="D282" s="7">
        <f t="shared" ca="1" si="22"/>
        <v>8.0406548338210329E-2</v>
      </c>
      <c r="E282" s="7">
        <f t="shared" ca="1" si="23"/>
        <v>0.45133633937997342</v>
      </c>
      <c r="F282" s="7">
        <f t="shared" ca="1" si="24"/>
        <v>1.9500908792110083E-2</v>
      </c>
      <c r="G282" s="7">
        <f t="shared" ca="1" si="20"/>
        <v>278.09738586480648</v>
      </c>
      <c r="H282" s="7">
        <f ca="1">(G282+DCF!$D$40+DCF!$D$41+DCF!$D$42-DCF!$D$43-DCF!$D$44)/DCF!$C$35</f>
        <v>2.2116739240591854</v>
      </c>
    </row>
    <row r="283" spans="3:8" x14ac:dyDescent="0.35">
      <c r="C283" s="8">
        <f t="shared" ca="1" si="21"/>
        <v>0.66087183540171801</v>
      </c>
      <c r="D283" s="7">
        <f t="shared" ca="1" si="22"/>
        <v>9.0545770853316165E-2</v>
      </c>
      <c r="E283" s="7">
        <f t="shared" ca="1" si="23"/>
        <v>0.50723809510137174</v>
      </c>
      <c r="F283" s="7">
        <f t="shared" ca="1" si="24"/>
        <v>2.0072644814467168E-2</v>
      </c>
      <c r="G283" s="7">
        <f t="shared" ca="1" si="20"/>
        <v>237.72746279378538</v>
      </c>
      <c r="H283" s="7">
        <f ca="1">(G283+DCF!$D$40+DCF!$D$41+DCF!$D$42-DCF!$D$43-DCF!$D$44)/DCF!$C$35</f>
        <v>1.9838269714063967</v>
      </c>
    </row>
    <row r="284" spans="3:8" x14ac:dyDescent="0.35">
      <c r="C284" s="8">
        <f t="shared" ca="1" si="21"/>
        <v>0.5296498538525185</v>
      </c>
      <c r="D284" s="7">
        <f t="shared" ca="1" si="22"/>
        <v>8.7089068916768375E-2</v>
      </c>
      <c r="E284" s="7">
        <f t="shared" ca="1" si="23"/>
        <v>0.18696821011386833</v>
      </c>
      <c r="F284" s="7">
        <f t="shared" ca="1" si="24"/>
        <v>1.6115034098251102E-2</v>
      </c>
      <c r="G284" s="7">
        <f t="shared" ca="1" si="20"/>
        <v>240.55639636090802</v>
      </c>
      <c r="H284" s="7">
        <f ca="1">(G284+DCF!$D$40+DCF!$D$41+DCF!$D$42-DCF!$D$43-DCF!$D$44)/DCF!$C$35</f>
        <v>1.9997934098707981</v>
      </c>
    </row>
    <row r="285" spans="3:8" x14ac:dyDescent="0.35">
      <c r="C285" s="8">
        <f t="shared" ca="1" si="21"/>
        <v>0.53686407879893938</v>
      </c>
      <c r="D285" s="7">
        <f t="shared" ca="1" si="22"/>
        <v>8.7265451663593938E-2</v>
      </c>
      <c r="E285" s="7">
        <f t="shared" ca="1" si="23"/>
        <v>0.4283478689400283</v>
      </c>
      <c r="F285" s="7">
        <f t="shared" ca="1" si="24"/>
        <v>1.9255785962737346E-2</v>
      </c>
      <c r="G285" s="7">
        <f t="shared" ca="1" si="20"/>
        <v>247.83868423743525</v>
      </c>
      <c r="H285" s="7">
        <f ca="1">(G285+DCF!$D$40+DCF!$D$41+DCF!$D$42-DCF!$D$43-DCF!$D$44)/DCF!$C$35</f>
        <v>2.0408944815297168</v>
      </c>
    </row>
    <row r="286" spans="3:8" x14ac:dyDescent="0.35">
      <c r="C286" s="8">
        <f t="shared" ca="1" si="21"/>
        <v>2.4179783577788494E-2</v>
      </c>
      <c r="D286" s="7">
        <f t="shared" ca="1" si="22"/>
        <v>7.3420967005343618E-2</v>
      </c>
      <c r="E286" s="7">
        <f t="shared" ca="1" si="23"/>
        <v>0.18013232815684277</v>
      </c>
      <c r="F286" s="7">
        <f t="shared" ca="1" si="24"/>
        <v>1.600220506408841E-2</v>
      </c>
      <c r="G286" s="7">
        <f t="shared" ca="1" si="20"/>
        <v>301.16316154805247</v>
      </c>
      <c r="H286" s="7">
        <f ca="1">(G286+DCF!$D$40+DCF!$D$41+DCF!$D$42-DCF!$D$43-DCF!$D$44)/DCF!$C$35</f>
        <v>2.3418566516991333</v>
      </c>
    </row>
    <row r="287" spans="3:8" x14ac:dyDescent="0.35">
      <c r="C287" s="8">
        <f t="shared" ca="1" si="21"/>
        <v>0.12722035047382718</v>
      </c>
      <c r="D287" s="7">
        <f t="shared" ca="1" si="22"/>
        <v>7.7846951613800897E-2</v>
      </c>
      <c r="E287" s="7">
        <f t="shared" ca="1" si="23"/>
        <v>0.4839840151290149</v>
      </c>
      <c r="F287" s="7">
        <f t="shared" ca="1" si="24"/>
        <v>1.9838536630302446E-2</v>
      </c>
      <c r="G287" s="7">
        <f t="shared" ca="1" si="20"/>
        <v>292.22405787167099</v>
      </c>
      <c r="H287" s="7">
        <f ca="1">(G287+DCF!$D$40+DCF!$D$41+DCF!$D$42-DCF!$D$43-DCF!$D$44)/DCF!$C$35</f>
        <v>2.2914045483218817</v>
      </c>
    </row>
    <row r="288" spans="3:8" x14ac:dyDescent="0.35">
      <c r="C288" s="8">
        <f t="shared" ca="1" si="21"/>
        <v>0.97800546213649064</v>
      </c>
      <c r="D288" s="7">
        <f t="shared" ca="1" si="22"/>
        <v>0.10504561767162884</v>
      </c>
      <c r="E288" s="7">
        <f t="shared" ca="1" si="23"/>
        <v>0.31445535458603313</v>
      </c>
      <c r="F288" s="7">
        <f t="shared" ca="1" si="24"/>
        <v>1.7930389077290384E-2</v>
      </c>
      <c r="G288" s="7">
        <f t="shared" ca="1" si="20"/>
        <v>191.64004810699058</v>
      </c>
      <c r="H288" s="7">
        <f ca="1">(G288+DCF!$D$40+DCF!$D$41+DCF!$D$42-DCF!$D$43-DCF!$D$44)/DCF!$C$35</f>
        <v>1.7237106225702141</v>
      </c>
    </row>
    <row r="289" spans="3:8" x14ac:dyDescent="0.35">
      <c r="C289" s="8">
        <f t="shared" ca="1" si="21"/>
        <v>0.19173492942329895</v>
      </c>
      <c r="D289" s="7">
        <f t="shared" ca="1" si="22"/>
        <v>7.963326039515578E-2</v>
      </c>
      <c r="E289" s="7">
        <f t="shared" ca="1" si="23"/>
        <v>0.68297665465722834</v>
      </c>
      <c r="F289" s="7">
        <f t="shared" ca="1" si="24"/>
        <v>2.2037295116070527E-2</v>
      </c>
      <c r="G289" s="7">
        <f t="shared" ca="1" si="20"/>
        <v>291.17929177970268</v>
      </c>
      <c r="H289" s="7">
        <f ca="1">(G289+DCF!$D$40+DCF!$D$41+DCF!$D$42-DCF!$D$43-DCF!$D$44)/DCF!$C$35</f>
        <v>2.2855079116136281</v>
      </c>
    </row>
    <row r="290" spans="3:8" x14ac:dyDescent="0.35">
      <c r="C290" s="8">
        <f t="shared" ca="1" si="21"/>
        <v>1.8323973488627354E-2</v>
      </c>
      <c r="D290" s="7">
        <f t="shared" ca="1" si="22"/>
        <v>7.2978053587243796E-2</v>
      </c>
      <c r="E290" s="7">
        <f t="shared" ca="1" si="23"/>
        <v>0.92298830985839309</v>
      </c>
      <c r="F290" s="7">
        <f t="shared" ca="1" si="24"/>
        <v>2.6075418744844057E-2</v>
      </c>
      <c r="G290" s="7">
        <f t="shared" ca="1" si="20"/>
        <v>353.39739838865341</v>
      </c>
      <c r="H290" s="7">
        <f ca="1">(G290+DCF!$D$40+DCF!$D$41+DCF!$D$42-DCF!$D$43-DCF!$D$44)/DCF!$C$35</f>
        <v>2.6366655287766871</v>
      </c>
    </row>
    <row r="291" spans="3:8" x14ac:dyDescent="0.35">
      <c r="C291" s="8">
        <f t="shared" ca="1" si="21"/>
        <v>0.48867355695218473</v>
      </c>
      <c r="D291" s="7">
        <f t="shared" ca="1" si="22"/>
        <v>8.6111921164703065E-2</v>
      </c>
      <c r="E291" s="7">
        <f t="shared" ca="1" si="23"/>
        <v>0.2263038248122724</v>
      </c>
      <c r="F291" s="7">
        <f t="shared" ca="1" si="24"/>
        <v>1.6727612129311148E-2</v>
      </c>
      <c r="G291" s="7">
        <f t="shared" ca="1" si="20"/>
        <v>245.67301698267303</v>
      </c>
      <c r="H291" s="7">
        <f ca="1">(G291+DCF!$D$40+DCF!$D$41+DCF!$D$42-DCF!$D$43-DCF!$D$44)/DCF!$C$35</f>
        <v>2.0286715034579132</v>
      </c>
    </row>
    <row r="292" spans="3:8" x14ac:dyDescent="0.35">
      <c r="C292" s="8">
        <f t="shared" ca="1" si="21"/>
        <v>3.0875450360373868E-2</v>
      </c>
      <c r="D292" s="7">
        <f t="shared" ca="1" si="22"/>
        <v>7.3865710539399068E-2</v>
      </c>
      <c r="E292" s="7">
        <f t="shared" ca="1" si="23"/>
        <v>0.18346907810914581</v>
      </c>
      <c r="F292" s="7">
        <f t="shared" ca="1" si="24"/>
        <v>1.6057542044577912E-2</v>
      </c>
      <c r="G292" s="7">
        <f t="shared" ca="1" si="20"/>
        <v>298.94379984591194</v>
      </c>
      <c r="H292" s="7">
        <f ca="1">(G292+DCF!$D$40+DCF!$D$41+DCF!$D$42-DCF!$D$43-DCF!$D$44)/DCF!$C$35</f>
        <v>2.3293306233542834</v>
      </c>
    </row>
    <row r="293" spans="3:8" x14ac:dyDescent="0.35">
      <c r="C293" s="8">
        <f t="shared" ca="1" si="21"/>
        <v>0.52947080221241649</v>
      </c>
      <c r="D293" s="7">
        <f t="shared" ca="1" si="22"/>
        <v>8.7084708495614921E-2</v>
      </c>
      <c r="E293" s="7">
        <f t="shared" ca="1" si="23"/>
        <v>0.2205778873680917</v>
      </c>
      <c r="F293" s="7">
        <f t="shared" ca="1" si="24"/>
        <v>1.6641955847009098E-2</v>
      </c>
      <c r="G293" s="7">
        <f t="shared" ca="1" si="20"/>
        <v>241.85882420954368</v>
      </c>
      <c r="H293" s="7">
        <f ca="1">(G293+DCF!$D$40+DCF!$D$41+DCF!$D$42-DCF!$D$43-DCF!$D$44)/DCF!$C$35</f>
        <v>2.007144283833072</v>
      </c>
    </row>
    <row r="294" spans="3:8" x14ac:dyDescent="0.35">
      <c r="C294" s="8">
        <f t="shared" ca="1" si="21"/>
        <v>0.8107106345757753</v>
      </c>
      <c r="D294" s="7">
        <f t="shared" ca="1" si="22"/>
        <v>9.5465663695461195E-2</v>
      </c>
      <c r="E294" s="7">
        <f t="shared" ca="1" si="23"/>
        <v>0.69195115130288209</v>
      </c>
      <c r="F294" s="7">
        <f t="shared" ca="1" si="24"/>
        <v>2.2150810886504037E-2</v>
      </c>
      <c r="G294" s="7">
        <f t="shared" ca="1" si="20"/>
        <v>225.69482391331701</v>
      </c>
      <c r="H294" s="7">
        <f ca="1">(G294+DCF!$D$40+DCF!$D$41+DCF!$D$42-DCF!$D$43-DCF!$D$44)/DCF!$C$35</f>
        <v>1.9159150237798679</v>
      </c>
    </row>
    <row r="295" spans="3:8" x14ac:dyDescent="0.35">
      <c r="C295" s="8">
        <f t="shared" ca="1" si="21"/>
        <v>0.64372528565131604</v>
      </c>
      <c r="D295" s="7">
        <f t="shared" ca="1" si="22"/>
        <v>9.0060025546327013E-2</v>
      </c>
      <c r="E295" s="7">
        <f t="shared" ca="1" si="23"/>
        <v>0.48291723081975113</v>
      </c>
      <c r="F295" s="7">
        <f t="shared" ca="1" si="24"/>
        <v>1.9827687732317821E-2</v>
      </c>
      <c r="G295" s="7">
        <f t="shared" ca="1" si="20"/>
        <v>238.87586651562586</v>
      </c>
      <c r="H295" s="7">
        <f ca="1">(G295+DCF!$D$40+DCF!$D$41+DCF!$D$42-DCF!$D$43-DCF!$D$44)/DCF!$C$35</f>
        <v>1.9903085366047286</v>
      </c>
    </row>
    <row r="296" spans="3:8" x14ac:dyDescent="0.35">
      <c r="C296" s="8">
        <f t="shared" ca="1" si="21"/>
        <v>0.44568639395526999</v>
      </c>
      <c r="D296" s="7">
        <f t="shared" ca="1" si="22"/>
        <v>8.5128048240117576E-2</v>
      </c>
      <c r="E296" s="7">
        <f t="shared" ca="1" si="23"/>
        <v>0.92930658081263673</v>
      </c>
      <c r="F296" s="7">
        <f t="shared" ca="1" si="24"/>
        <v>2.6239855875438728E-2</v>
      </c>
      <c r="G296" s="7">
        <f t="shared" ca="1" si="20"/>
        <v>278.56561594087458</v>
      </c>
      <c r="H296" s="7">
        <f ca="1">(G296+DCF!$D$40+DCF!$D$41+DCF!$D$42-DCF!$D$43-DCF!$D$44)/DCF!$C$35</f>
        <v>2.2143166042492073</v>
      </c>
    </row>
    <row r="297" spans="3:8" x14ac:dyDescent="0.35">
      <c r="C297" s="8">
        <f t="shared" ca="1" si="21"/>
        <v>0.64315450989010414</v>
      </c>
      <c r="D297" s="7">
        <f t="shared" ca="1" si="22"/>
        <v>9.0044059356606532E-2</v>
      </c>
      <c r="E297" s="7">
        <f t="shared" ca="1" si="23"/>
        <v>0.18930305527929292</v>
      </c>
      <c r="F297" s="7">
        <f t="shared" ca="1" si="24"/>
        <v>1.6153097679694237E-2</v>
      </c>
      <c r="G297" s="7">
        <f t="shared" ca="1" si="20"/>
        <v>230.42702020475573</v>
      </c>
      <c r="H297" s="7">
        <f ca="1">(G297+DCF!$D$40+DCF!$D$41+DCF!$D$42-DCF!$D$43-DCF!$D$44)/DCF!$C$35</f>
        <v>1.9426234349517764</v>
      </c>
    </row>
    <row r="298" spans="3:8" x14ac:dyDescent="0.35">
      <c r="C298" s="8">
        <f t="shared" ca="1" si="21"/>
        <v>0.73821757258554221</v>
      </c>
      <c r="D298" s="7">
        <f t="shared" ca="1" si="22"/>
        <v>9.2907627754037922E-2</v>
      </c>
      <c r="E298" s="7">
        <f t="shared" ca="1" si="23"/>
        <v>0.51255197310182965</v>
      </c>
      <c r="F298" s="7">
        <f t="shared" ca="1" si="24"/>
        <v>2.0126317537026317E-2</v>
      </c>
      <c r="G298" s="7">
        <f t="shared" ca="1" si="20"/>
        <v>229.68763631029287</v>
      </c>
      <c r="H298" s="7">
        <f ca="1">(G298+DCF!$D$40+DCF!$D$41+DCF!$D$42-DCF!$D$43-DCF!$D$44)/DCF!$C$35</f>
        <v>1.938450368609848</v>
      </c>
    </row>
    <row r="299" spans="3:8" x14ac:dyDescent="0.35">
      <c r="C299" s="8">
        <f t="shared" ca="1" si="21"/>
        <v>0.8406346661863856</v>
      </c>
      <c r="D299" s="7">
        <f t="shared" ca="1" si="22"/>
        <v>9.6663894401438119E-2</v>
      </c>
      <c r="E299" s="7">
        <f t="shared" ca="1" si="23"/>
        <v>0.34754164800048137</v>
      </c>
      <c r="F299" s="7">
        <f t="shared" ca="1" si="24"/>
        <v>1.8337165561514074E-2</v>
      </c>
      <c r="G299" s="7">
        <f t="shared" ca="1" si="20"/>
        <v>214.28478435094183</v>
      </c>
      <c r="H299" s="7">
        <f ca="1">(G299+DCF!$D$40+DCF!$D$41+DCF!$D$42-DCF!$D$43-DCF!$D$44)/DCF!$C$35</f>
        <v>1.8515170129300249</v>
      </c>
    </row>
    <row r="300" spans="3:8" x14ac:dyDescent="0.35">
      <c r="C300" s="8">
        <f t="shared" ca="1" si="21"/>
        <v>0.27470548414640739</v>
      </c>
      <c r="D300" s="7">
        <f t="shared" ca="1" si="22"/>
        <v>8.1530717858262824E-2</v>
      </c>
      <c r="E300" s="7">
        <f t="shared" ca="1" si="23"/>
        <v>0.4185877535276411</v>
      </c>
      <c r="F300" s="7">
        <f t="shared" ca="1" si="24"/>
        <v>1.9149729542753065E-2</v>
      </c>
      <c r="G300" s="7">
        <f t="shared" ca="1" si="20"/>
        <v>271.65028187011092</v>
      </c>
      <c r="H300" s="7">
        <f ca="1">(G300+DCF!$D$40+DCF!$D$41+DCF!$D$42-DCF!$D$43-DCF!$D$44)/DCF!$C$35</f>
        <v>2.175286611751388</v>
      </c>
    </row>
    <row r="301" spans="3:8" x14ac:dyDescent="0.35">
      <c r="C301" s="8">
        <f t="shared" ca="1" si="21"/>
        <v>0.88962360208124491</v>
      </c>
      <c r="D301" s="7">
        <f t="shared" ca="1" si="22"/>
        <v>9.890134872710514E-2</v>
      </c>
      <c r="E301" s="7">
        <f t="shared" ca="1" si="23"/>
        <v>0.52832149377486193</v>
      </c>
      <c r="F301" s="7">
        <f t="shared" ca="1" si="24"/>
        <v>2.0287343244764201E-2</v>
      </c>
      <c r="G301" s="7">
        <f t="shared" ca="1" si="20"/>
        <v>211.46869193835522</v>
      </c>
      <c r="H301" s="7">
        <f ca="1">(G301+DCF!$D$40+DCF!$D$41+DCF!$D$42-DCF!$D$43-DCF!$D$44)/DCF!$C$35</f>
        <v>1.8356230496577222</v>
      </c>
    </row>
    <row r="302" spans="3:8" x14ac:dyDescent="0.35">
      <c r="C302" s="8">
        <f t="shared" ca="1" si="21"/>
        <v>0.7060065465743498</v>
      </c>
      <c r="D302" s="7">
        <f t="shared" ca="1" si="22"/>
        <v>9.188656040330756E-2</v>
      </c>
      <c r="E302" s="7">
        <f t="shared" ca="1" si="23"/>
        <v>0.19603641691485063</v>
      </c>
      <c r="F302" s="7">
        <f t="shared" ca="1" si="24"/>
        <v>1.6261571957820985E-2</v>
      </c>
      <c r="G302" s="7">
        <f t="shared" ca="1" si="20"/>
        <v>224.68579225985542</v>
      </c>
      <c r="H302" s="7">
        <f ca="1">(G302+DCF!$D$40+DCF!$D$41+DCF!$D$42-DCF!$D$43-DCF!$D$44)/DCF!$C$35</f>
        <v>1.9102200714519437</v>
      </c>
    </row>
    <row r="303" spans="3:8" x14ac:dyDescent="0.35">
      <c r="C303" s="8">
        <f t="shared" ca="1" si="21"/>
        <v>1.1822073725466398E-2</v>
      </c>
      <c r="D303" s="7">
        <f t="shared" ca="1" si="22"/>
        <v>7.2392045919945053E-2</v>
      </c>
      <c r="E303" s="7">
        <f t="shared" ca="1" si="23"/>
        <v>0.13983150957714019</v>
      </c>
      <c r="F303" s="7">
        <f t="shared" ca="1" si="24"/>
        <v>1.5288317493818619E-2</v>
      </c>
      <c r="G303" s="7">
        <f t="shared" ca="1" si="20"/>
        <v>304.01189258006104</v>
      </c>
      <c r="H303" s="7">
        <f ca="1">(G303+DCF!$D$40+DCF!$D$41+DCF!$D$42-DCF!$D$43-DCF!$D$44)/DCF!$C$35</f>
        <v>2.3579348266173441</v>
      </c>
    </row>
    <row r="304" spans="3:8" x14ac:dyDescent="0.35">
      <c r="C304" s="8">
        <f t="shared" ca="1" si="21"/>
        <v>0.77828261130620191</v>
      </c>
      <c r="D304" s="7">
        <f t="shared" ca="1" si="22"/>
        <v>9.4269882206980182E-2</v>
      </c>
      <c r="E304" s="7">
        <f t="shared" ca="1" si="23"/>
        <v>0.82079020032061234</v>
      </c>
      <c r="F304" s="7">
        <f t="shared" ca="1" si="24"/>
        <v>2.4013184491244319E-2</v>
      </c>
      <c r="G304" s="7">
        <f t="shared" ca="1" si="20"/>
        <v>233.97048338607274</v>
      </c>
      <c r="H304" s="7">
        <f ca="1">(G304+DCF!$D$40+DCF!$D$41+DCF!$D$42-DCF!$D$43-DCF!$D$44)/DCF!$C$35</f>
        <v>1.9626226627501564</v>
      </c>
    </row>
    <row r="305" spans="3:8" x14ac:dyDescent="0.35">
      <c r="C305" s="8">
        <f t="shared" ca="1" si="21"/>
        <v>0.49689018477454849</v>
      </c>
      <c r="D305" s="7">
        <f t="shared" ca="1" si="22"/>
        <v>8.6304630119122344E-2</v>
      </c>
      <c r="E305" s="7">
        <f t="shared" ca="1" si="23"/>
        <v>0.41079079273780605</v>
      </c>
      <c r="F305" s="7">
        <f t="shared" ca="1" si="24"/>
        <v>1.9064113776181387E-2</v>
      </c>
      <c r="G305" s="7">
        <f t="shared" ca="1" si="20"/>
        <v>251.0744955130487</v>
      </c>
      <c r="H305" s="7">
        <f ca="1">(G305+DCF!$D$40+DCF!$D$41+DCF!$D$42-DCF!$D$43-DCF!$D$44)/DCF!$C$35</f>
        <v>2.0591573287789178</v>
      </c>
    </row>
    <row r="306" spans="3:8" x14ac:dyDescent="0.35">
      <c r="C306" s="8">
        <f t="shared" ca="1" si="21"/>
        <v>4.4279781919828176E-2</v>
      </c>
      <c r="D306" s="7">
        <f t="shared" ca="1" si="22"/>
        <v>7.4629407570002554E-2</v>
      </c>
      <c r="E306" s="7">
        <f t="shared" ca="1" si="23"/>
        <v>0.27526836216539097</v>
      </c>
      <c r="F306" s="7">
        <f t="shared" ca="1" si="24"/>
        <v>1.7419816199413445E-2</v>
      </c>
      <c r="G306" s="7">
        <f t="shared" ca="1" si="20"/>
        <v>300.15820124404911</v>
      </c>
      <c r="H306" s="7">
        <f ca="1">(G306+DCF!$D$40+DCF!$D$41+DCF!$D$42-DCF!$D$43-DCF!$D$44)/DCF!$C$35</f>
        <v>2.3361846779774753</v>
      </c>
    </row>
    <row r="307" spans="3:8" x14ac:dyDescent="0.35">
      <c r="C307" s="8">
        <f t="shared" ca="1" si="21"/>
        <v>0.94850526727250495</v>
      </c>
      <c r="D307" s="7">
        <f t="shared" ca="1" si="22"/>
        <v>0.10241922683864736</v>
      </c>
      <c r="E307" s="7">
        <f t="shared" ca="1" si="23"/>
        <v>0.19588527796060073</v>
      </c>
      <c r="F307" s="7">
        <f t="shared" ca="1" si="24"/>
        <v>1.6259157738236045E-2</v>
      </c>
      <c r="G307" s="7">
        <f t="shared" ca="1" si="20"/>
        <v>195.4479207782876</v>
      </c>
      <c r="H307" s="7">
        <f ca="1">(G307+DCF!$D$40+DCF!$D$41+DCF!$D$42-DCF!$D$43-DCF!$D$44)/DCF!$C$35</f>
        <v>1.745202171680142</v>
      </c>
    </row>
    <row r="308" spans="3:8" x14ac:dyDescent="0.35">
      <c r="C308" s="8">
        <f t="shared" ca="1" si="21"/>
        <v>0.32882212740542283</v>
      </c>
      <c r="D308" s="7">
        <f t="shared" ca="1" si="22"/>
        <v>8.2631505232922509E-2</v>
      </c>
      <c r="E308" s="7">
        <f t="shared" ca="1" si="23"/>
        <v>8.1926191572682106E-2</v>
      </c>
      <c r="F308" s="7">
        <f t="shared" ca="1" si="24"/>
        <v>1.4047868366750137E-2</v>
      </c>
      <c r="G308" s="7">
        <f t="shared" ca="1" si="20"/>
        <v>252.02392536004666</v>
      </c>
      <c r="H308" s="7">
        <f ca="1">(G308+DCF!$D$40+DCF!$D$41+DCF!$D$42-DCF!$D$43-DCF!$D$44)/DCF!$C$35</f>
        <v>2.0645158898298148</v>
      </c>
    </row>
    <row r="309" spans="3:8" x14ac:dyDescent="0.35">
      <c r="C309" s="8">
        <f t="shared" ca="1" si="21"/>
        <v>7.8470678768553959E-2</v>
      </c>
      <c r="D309" s="7">
        <f t="shared" ca="1" si="22"/>
        <v>7.6162776040387986E-2</v>
      </c>
      <c r="E309" s="7">
        <f t="shared" ca="1" si="23"/>
        <v>0.75066240440549337</v>
      </c>
      <c r="F309" s="7">
        <f t="shared" ca="1" si="24"/>
        <v>2.2938306214589779E-2</v>
      </c>
      <c r="G309" s="7">
        <f t="shared" ca="1" si="20"/>
        <v>314.81438465998559</v>
      </c>
      <c r="H309" s="7">
        <f ca="1">(G309+DCF!$D$40+DCF!$D$41+DCF!$D$42-DCF!$D$43-DCF!$D$44)/DCF!$C$35</f>
        <v>2.4189038529178553</v>
      </c>
    </row>
    <row r="310" spans="3:8" x14ac:dyDescent="0.35">
      <c r="C310" s="8">
        <f t="shared" ca="1" si="21"/>
        <v>0.83291673361784668</v>
      </c>
      <c r="D310" s="7">
        <f t="shared" ca="1" si="22"/>
        <v>9.634478395328426E-2</v>
      </c>
      <c r="E310" s="7">
        <f t="shared" ca="1" si="23"/>
        <v>0.74081259911578923</v>
      </c>
      <c r="F310" s="7">
        <f t="shared" ca="1" si="24"/>
        <v>2.2800174989845785E-2</v>
      </c>
      <c r="G310" s="7">
        <f t="shared" ca="1" si="20"/>
        <v>224.24457402266054</v>
      </c>
      <c r="H310" s="7">
        <f ca="1">(G310+DCF!$D$40+DCF!$D$41+DCF!$D$42-DCF!$D$43-DCF!$D$44)/DCF!$C$35</f>
        <v>1.9077298454829019</v>
      </c>
    </row>
    <row r="311" spans="3:8" x14ac:dyDescent="0.35">
      <c r="C311" s="8">
        <f t="shared" ca="1" si="21"/>
        <v>0.59047744984601092</v>
      </c>
      <c r="D311" s="7">
        <f t="shared" ca="1" si="22"/>
        <v>8.8621806297728242E-2</v>
      </c>
      <c r="E311" s="7">
        <f t="shared" ca="1" si="23"/>
        <v>0.75013675393513979</v>
      </c>
      <c r="F311" s="7">
        <f t="shared" ca="1" si="24"/>
        <v>2.2930866445385827E-2</v>
      </c>
      <c r="G311" s="7">
        <f t="shared" ca="1" si="20"/>
        <v>252.47630227639763</v>
      </c>
      <c r="H311" s="7">
        <f ca="1">(G311+DCF!$D$40+DCF!$D$41+DCF!$D$42-DCF!$D$43-DCF!$D$44)/DCF!$C$35</f>
        <v>2.0670690951371351</v>
      </c>
    </row>
    <row r="312" spans="3:8" x14ac:dyDescent="0.35">
      <c r="C312" s="8">
        <f t="shared" ca="1" si="21"/>
        <v>0.61797147738665115</v>
      </c>
      <c r="D312" s="7">
        <f t="shared" ca="1" si="22"/>
        <v>8.9351904900536294E-2</v>
      </c>
      <c r="E312" s="7">
        <f t="shared" ca="1" si="23"/>
        <v>0.77326935673157715</v>
      </c>
      <c r="F312" s="7">
        <f t="shared" ca="1" si="24"/>
        <v>2.3266046580671607E-2</v>
      </c>
      <c r="G312" s="7">
        <f t="shared" ca="1" si="20"/>
        <v>250.47451899340467</v>
      </c>
      <c r="H312" s="7">
        <f ca="1">(G312+DCF!$D$40+DCF!$D$41+DCF!$D$42-DCF!$D$43-DCF!$D$44)/DCF!$C$35</f>
        <v>2.0557710745761635</v>
      </c>
    </row>
    <row r="313" spans="3:8" x14ac:dyDescent="0.35">
      <c r="C313" s="8">
        <f t="shared" ca="1" si="21"/>
        <v>0.45755641280672921</v>
      </c>
      <c r="D313" s="7">
        <f t="shared" ca="1" si="22"/>
        <v>8.5395792162565154E-2</v>
      </c>
      <c r="E313" s="7">
        <f t="shared" ca="1" si="23"/>
        <v>2.9440677915672175E-2</v>
      </c>
      <c r="F313" s="7">
        <f t="shared" ca="1" si="24"/>
        <v>1.242654807970797E-2</v>
      </c>
      <c r="G313" s="7">
        <f t="shared" ca="1" si="20"/>
        <v>237.81386159209143</v>
      </c>
      <c r="H313" s="7">
        <f ca="1">(G313+DCF!$D$40+DCF!$D$41+DCF!$D$42-DCF!$D$43-DCF!$D$44)/DCF!$C$35</f>
        <v>1.9843146043125151</v>
      </c>
    </row>
    <row r="314" spans="3:8" x14ac:dyDescent="0.35">
      <c r="C314" s="8">
        <f t="shared" ca="1" si="21"/>
        <v>0.77314416579342637</v>
      </c>
      <c r="D314" s="7">
        <f t="shared" ca="1" si="22"/>
        <v>9.4088648361168814E-2</v>
      </c>
      <c r="E314" s="7">
        <f t="shared" ca="1" si="23"/>
        <v>2.7701517786305807E-2</v>
      </c>
      <c r="F314" s="7">
        <f t="shared" ca="1" si="24"/>
        <v>1.2353784942865674E-2</v>
      </c>
      <c r="G314" s="7">
        <f t="shared" ca="1" si="20"/>
        <v>210.69693168184267</v>
      </c>
      <c r="H314" s="7">
        <f ca="1">(G314+DCF!$D$40+DCF!$D$41+DCF!$D$42-DCF!$D$43-DCF!$D$44)/DCF!$C$35</f>
        <v>1.8312672518446926</v>
      </c>
    </row>
    <row r="315" spans="3:8" x14ac:dyDescent="0.35">
      <c r="C315" s="8">
        <f t="shared" ca="1" si="21"/>
        <v>0.46744256398398987</v>
      </c>
      <c r="D315" s="7">
        <f t="shared" ca="1" si="22"/>
        <v>8.5621031633929479E-2</v>
      </c>
      <c r="E315" s="7">
        <f t="shared" ca="1" si="23"/>
        <v>0.60235319527648712</v>
      </c>
      <c r="F315" s="7">
        <f t="shared" ca="1" si="24"/>
        <v>2.108207642190725E-2</v>
      </c>
      <c r="G315" s="7">
        <f t="shared" ca="1" si="20"/>
        <v>259.58316968430904</v>
      </c>
      <c r="H315" s="7">
        <f ca="1">(G315+DCF!$D$40+DCF!$D$41+DCF!$D$42-DCF!$D$43-DCF!$D$44)/DCF!$C$35</f>
        <v>2.1071800975522579</v>
      </c>
    </row>
    <row r="316" spans="3:8" x14ac:dyDescent="0.35">
      <c r="C316" s="8">
        <f t="shared" ca="1" si="21"/>
        <v>0.54237137155767645</v>
      </c>
      <c r="D316" s="7">
        <f t="shared" ca="1" si="22"/>
        <v>8.7401027692799102E-2</v>
      </c>
      <c r="E316" s="7">
        <f t="shared" ca="1" si="23"/>
        <v>0.95007371660226425</v>
      </c>
      <c r="F316" s="7">
        <f t="shared" ca="1" si="24"/>
        <v>2.6840054323323398E-2</v>
      </c>
      <c r="G316" s="7">
        <f t="shared" ca="1" si="20"/>
        <v>269.71339372677733</v>
      </c>
      <c r="H316" s="7">
        <f ca="1">(G316+DCF!$D$40+DCF!$D$41+DCF!$D$42-DCF!$D$43-DCF!$D$44)/DCF!$C$35</f>
        <v>2.1643548579228882</v>
      </c>
    </row>
    <row r="317" spans="3:8" x14ac:dyDescent="0.35">
      <c r="C317" s="8">
        <f t="shared" ca="1" si="21"/>
        <v>0.3383038238253715</v>
      </c>
      <c r="D317" s="7">
        <f t="shared" ca="1" si="22"/>
        <v>8.2825509524355662E-2</v>
      </c>
      <c r="E317" s="7">
        <f t="shared" ca="1" si="23"/>
        <v>0.72176498953988744</v>
      </c>
      <c r="F317" s="7">
        <f t="shared" ca="1" si="24"/>
        <v>2.2540308177141463E-2</v>
      </c>
      <c r="G317" s="7">
        <f t="shared" ca="1" si="20"/>
        <v>276.86925314293592</v>
      </c>
      <c r="H317" s="7">
        <f ca="1">(G317+DCF!$D$40+DCF!$D$41+DCF!$D$42-DCF!$D$43-DCF!$D$44)/DCF!$C$35</f>
        <v>2.2047423701486393</v>
      </c>
    </row>
    <row r="318" spans="3:8" x14ac:dyDescent="0.35">
      <c r="C318" s="8">
        <f t="shared" ca="1" si="21"/>
        <v>0.42648640790337677</v>
      </c>
      <c r="D318" s="7">
        <f t="shared" ca="1" si="22"/>
        <v>8.470096506228289E-2</v>
      </c>
      <c r="E318" s="7">
        <f t="shared" ca="1" si="23"/>
        <v>0.29066638176870996</v>
      </c>
      <c r="F318" s="7">
        <f t="shared" ca="1" si="24"/>
        <v>1.7624518106329212E-2</v>
      </c>
      <c r="G318" s="7">
        <f t="shared" ca="1" si="20"/>
        <v>253.5172368073693</v>
      </c>
      <c r="H318" s="7">
        <f ca="1">(G318+DCF!$D$40+DCF!$D$41+DCF!$D$42-DCF!$D$43-DCF!$D$44)/DCF!$C$35</f>
        <v>2.0729441065998944</v>
      </c>
    </row>
    <row r="319" spans="3:8" x14ac:dyDescent="0.35">
      <c r="C319" s="8">
        <f t="shared" ca="1" si="21"/>
        <v>7.4436256957487457E-3</v>
      </c>
      <c r="D319" s="7">
        <f t="shared" ca="1" si="22"/>
        <v>7.1898081883571524E-2</v>
      </c>
      <c r="E319" s="7">
        <f t="shared" ca="1" si="23"/>
        <v>0.21415053817616592</v>
      </c>
      <c r="F319" s="7">
        <f t="shared" ca="1" si="24"/>
        <v>1.6544471532158513E-2</v>
      </c>
      <c r="G319" s="7">
        <f t="shared" ca="1" si="20"/>
        <v>312.1303329407267</v>
      </c>
      <c r="H319" s="7">
        <f ca="1">(G319+DCF!$D$40+DCF!$D$41+DCF!$D$42-DCF!$D$43-DCF!$D$44)/DCF!$C$35</f>
        <v>2.4037551243973736</v>
      </c>
    </row>
    <row r="320" spans="3:8" x14ac:dyDescent="0.35">
      <c r="C320" s="8">
        <f t="shared" ca="1" si="21"/>
        <v>0.18629877848527365</v>
      </c>
      <c r="D320" s="7">
        <f t="shared" ca="1" si="22"/>
        <v>7.9495715285689258E-2</v>
      </c>
      <c r="E320" s="7">
        <f t="shared" ca="1" si="23"/>
        <v>0.52898050774643313</v>
      </c>
      <c r="F320" s="7">
        <f t="shared" ca="1" si="24"/>
        <v>2.0294130721531772E-2</v>
      </c>
      <c r="G320" s="7">
        <f t="shared" ca="1" si="20"/>
        <v>285.38540885433093</v>
      </c>
      <c r="H320" s="7">
        <f ca="1">(G320+DCF!$D$40+DCF!$D$41+DCF!$D$42-DCF!$D$43-DCF!$D$44)/DCF!$C$35</f>
        <v>2.2528073645689743</v>
      </c>
    </row>
    <row r="321" spans="3:8" x14ac:dyDescent="0.35">
      <c r="C321" s="8">
        <f t="shared" ca="1" si="21"/>
        <v>0.91044776890353118</v>
      </c>
      <c r="D321" s="7">
        <f t="shared" ca="1" si="22"/>
        <v>0.10000298595061209</v>
      </c>
      <c r="E321" s="7">
        <f t="shared" ca="1" si="23"/>
        <v>0.44933561542683442</v>
      </c>
      <c r="F321" s="7">
        <f t="shared" ca="1" si="24"/>
        <v>1.9479827165374212E-2</v>
      </c>
      <c r="G321" s="7">
        <f t="shared" ca="1" si="20"/>
        <v>206.9295443957426</v>
      </c>
      <c r="H321" s="7">
        <f ca="1">(G321+DCF!$D$40+DCF!$D$41+DCF!$D$42-DCF!$D$43-DCF!$D$44)/DCF!$C$35</f>
        <v>1.8100042013531019</v>
      </c>
    </row>
    <row r="322" spans="3:8" x14ac:dyDescent="0.35">
      <c r="C322" s="8">
        <f t="shared" ca="1" si="21"/>
        <v>0.49429716630364129</v>
      </c>
      <c r="D322" s="7">
        <f t="shared" ca="1" si="22"/>
        <v>8.6243645852001283E-2</v>
      </c>
      <c r="E322" s="7">
        <f t="shared" ca="1" si="23"/>
        <v>0.18993827436222543</v>
      </c>
      <c r="F322" s="7">
        <f t="shared" ca="1" si="24"/>
        <v>1.6163412599562443E-2</v>
      </c>
      <c r="G322" s="7">
        <f t="shared" ca="1" si="20"/>
        <v>243.75873898100133</v>
      </c>
      <c r="H322" s="7">
        <f ca="1">(G322+DCF!$D$40+DCF!$D$41+DCF!$D$42-DCF!$D$43-DCF!$D$44)/DCF!$C$35</f>
        <v>2.017867360768717</v>
      </c>
    </row>
    <row r="323" spans="3:8" x14ac:dyDescent="0.35">
      <c r="C323" s="8">
        <f t="shared" ca="1" si="21"/>
        <v>0.31417562613916117</v>
      </c>
      <c r="D323" s="7">
        <f t="shared" ca="1" si="22"/>
        <v>8.2334497994276418E-2</v>
      </c>
      <c r="E323" s="7">
        <f t="shared" ca="1" si="23"/>
        <v>0.81584794216478151</v>
      </c>
      <c r="F323" s="7">
        <f t="shared" ca="1" si="24"/>
        <v>2.3931193563224831E-2</v>
      </c>
      <c r="G323" s="7">
        <f t="shared" ca="1" si="20"/>
        <v>284.24791973369298</v>
      </c>
      <c r="H323" s="7">
        <f ca="1">(G323+DCF!$D$40+DCF!$D$41+DCF!$D$42-DCF!$D$43-DCF!$D$44)/DCF!$C$35</f>
        <v>2.2463874011383504</v>
      </c>
    </row>
    <row r="324" spans="3:8" x14ac:dyDescent="0.35">
      <c r="C324" s="8">
        <f t="shared" ca="1" si="21"/>
        <v>0.52888486217325781</v>
      </c>
      <c r="D324" s="7">
        <f t="shared" ca="1" si="22"/>
        <v>8.7070444971289906E-2</v>
      </c>
      <c r="E324" s="7">
        <f t="shared" ca="1" si="23"/>
        <v>0.39743842804057672</v>
      </c>
      <c r="F324" s="7">
        <f t="shared" ca="1" si="24"/>
        <v>1.8915586666513613E-2</v>
      </c>
      <c r="G324" s="7">
        <f t="shared" ca="1" si="20"/>
        <v>247.69388295047071</v>
      </c>
      <c r="H324" s="7">
        <f ca="1">(G324+DCF!$D$40+DCF!$D$41+DCF!$D$42-DCF!$D$43-DCF!$D$44)/DCF!$C$35</f>
        <v>2.0400772262697298</v>
      </c>
    </row>
    <row r="325" spans="3:8" x14ac:dyDescent="0.35">
      <c r="C325" s="8">
        <f t="shared" ca="1" si="21"/>
        <v>0.89403177021398539</v>
      </c>
      <c r="D325" s="7">
        <f t="shared" ca="1" si="22"/>
        <v>9.9125233591419434E-2</v>
      </c>
      <c r="E325" s="7">
        <f t="shared" ca="1" si="23"/>
        <v>0.34693774223775542</v>
      </c>
      <c r="F325" s="7">
        <f t="shared" ca="1" si="24"/>
        <v>1.8329918874007783E-2</v>
      </c>
      <c r="G325" s="7">
        <f t="shared" ca="1" si="20"/>
        <v>207.31823723181697</v>
      </c>
      <c r="H325" s="7">
        <f ca="1">(G325+DCF!$D$40+DCF!$D$41+DCF!$D$42-DCF!$D$43-DCF!$D$44)/DCF!$C$35</f>
        <v>1.8121979751203123</v>
      </c>
    </row>
    <row r="326" spans="3:8" x14ac:dyDescent="0.35">
      <c r="C326" s="8">
        <f t="shared" ca="1" si="21"/>
        <v>0.75174371206054735</v>
      </c>
      <c r="D326" s="7">
        <f t="shared" ca="1" si="22"/>
        <v>9.335506030829703E-2</v>
      </c>
      <c r="E326" s="7">
        <f t="shared" ca="1" si="23"/>
        <v>2.3957372949038325E-3</v>
      </c>
      <c r="F326" s="7">
        <f t="shared" ca="1" si="24"/>
        <v>1.0692204781102216E-2</v>
      </c>
      <c r="G326" s="7">
        <f t="shared" ca="1" si="20"/>
        <v>209.81878035461801</v>
      </c>
      <c r="H326" s="7">
        <f ca="1">(G326+DCF!$D$40+DCF!$D$41+DCF!$D$42-DCF!$D$43-DCF!$D$44)/DCF!$C$35</f>
        <v>1.826310985182402</v>
      </c>
    </row>
    <row r="327" spans="3:8" x14ac:dyDescent="0.35">
      <c r="C327" s="8">
        <f t="shared" ca="1" si="21"/>
        <v>0.1964414957424121</v>
      </c>
      <c r="D327" s="7">
        <f t="shared" ca="1" si="22"/>
        <v>7.9750778632464561E-2</v>
      </c>
      <c r="E327" s="7">
        <f t="shared" ca="1" si="23"/>
        <v>0.38777340791611203</v>
      </c>
      <c r="F327" s="7">
        <f t="shared" ca="1" si="24"/>
        <v>1.8806513588431144E-2</v>
      </c>
      <c r="G327" s="7">
        <f t="shared" ca="1" si="20"/>
        <v>278.87929167357896</v>
      </c>
      <c r="H327" s="7">
        <f ca="1">(G327+DCF!$D$40+DCF!$D$41+DCF!$D$42-DCF!$D$43-DCF!$D$44)/DCF!$C$35</f>
        <v>2.2160869831447054</v>
      </c>
    </row>
    <row r="328" spans="3:8" x14ac:dyDescent="0.35">
      <c r="C328" s="8">
        <f t="shared" ca="1" si="21"/>
        <v>0.51005980668087092</v>
      </c>
      <c r="D328" s="7">
        <f t="shared" ca="1" si="22"/>
        <v>8.6616816817547099E-2</v>
      </c>
      <c r="E328" s="7">
        <f t="shared" ca="1" si="23"/>
        <v>0.83168052430510364</v>
      </c>
      <c r="F328" s="7">
        <f t="shared" ca="1" si="24"/>
        <v>2.4197940439897286E-2</v>
      </c>
      <c r="G328" s="7">
        <f t="shared" ca="1" si="20"/>
        <v>264.7499056100466</v>
      </c>
      <c r="H328" s="7">
        <f ca="1">(G328+DCF!$D$40+DCF!$D$41+DCF!$D$42-DCF!$D$43-DCF!$D$44)/DCF!$C$35</f>
        <v>2.1363410408062231</v>
      </c>
    </row>
    <row r="329" spans="3:8" x14ac:dyDescent="0.35">
      <c r="C329" s="8">
        <f t="shared" ca="1" si="21"/>
        <v>0.97039919990872914</v>
      </c>
      <c r="D329" s="7">
        <f t="shared" ca="1" si="22"/>
        <v>0.1042524359158111</v>
      </c>
      <c r="E329" s="7">
        <f t="shared" ca="1" si="23"/>
        <v>0.23625453854074652</v>
      </c>
      <c r="F329" s="7">
        <f t="shared" ca="1" si="24"/>
        <v>1.6873929568169091E-2</v>
      </c>
      <c r="G329" s="7">
        <f t="shared" ca="1" si="20"/>
        <v>191.97038620318068</v>
      </c>
      <c r="H329" s="7">
        <f ca="1">(G329+DCF!$D$40+DCF!$D$41+DCF!$D$42-DCF!$D$43-DCF!$D$44)/DCF!$C$35</f>
        <v>1.7255750434765813</v>
      </c>
    </row>
    <row r="330" spans="3:8" x14ac:dyDescent="0.35">
      <c r="C330" s="8">
        <f t="shared" ca="1" si="21"/>
        <v>0.20843057210199645</v>
      </c>
      <c r="D330" s="7">
        <f t="shared" ca="1" si="22"/>
        <v>8.0043923381695345E-2</v>
      </c>
      <c r="E330" s="7">
        <f t="shared" ca="1" si="23"/>
        <v>0.47255409114611657</v>
      </c>
      <c r="F330" s="7">
        <f t="shared" ca="1" si="24"/>
        <v>1.9721667461357815E-2</v>
      </c>
      <c r="G330" s="7">
        <f t="shared" ca="1" si="20"/>
        <v>280.618036698173</v>
      </c>
      <c r="H330" s="7">
        <f ca="1">(G330+DCF!$D$40+DCF!$D$41+DCF!$D$42-DCF!$D$43-DCF!$D$44)/DCF!$C$35</f>
        <v>2.2259004215948357</v>
      </c>
    </row>
    <row r="331" spans="3:8" x14ac:dyDescent="0.35">
      <c r="C331" s="8">
        <f t="shared" ca="1" si="21"/>
        <v>8.1992192948443954E-2</v>
      </c>
      <c r="D331" s="7">
        <f t="shared" ca="1" si="22"/>
        <v>7.6299541363230097E-2</v>
      </c>
      <c r="E331" s="7">
        <f t="shared" ca="1" si="23"/>
        <v>0.53593969103044914</v>
      </c>
      <c r="F331" s="7">
        <f t="shared" ca="1" si="24"/>
        <v>2.0366098308893216E-2</v>
      </c>
      <c r="G331" s="7">
        <f t="shared" ca="1" si="20"/>
        <v>302.80192295870137</v>
      </c>
      <c r="H331" s="7">
        <f ca="1">(G331+DCF!$D$40+DCF!$D$41+DCF!$D$42-DCF!$D$43-DCF!$D$44)/DCF!$C$35</f>
        <v>2.3511057848442336</v>
      </c>
    </row>
    <row r="332" spans="3:8" x14ac:dyDescent="0.35">
      <c r="C332" s="8">
        <f t="shared" ca="1" si="21"/>
        <v>0.1509573336218154</v>
      </c>
      <c r="D332" s="7">
        <f t="shared" ca="1" si="22"/>
        <v>7.854771018887273E-2</v>
      </c>
      <c r="E332" s="7">
        <f t="shared" ca="1" si="23"/>
        <v>0.55079402697623225</v>
      </c>
      <c r="F332" s="7">
        <f t="shared" ca="1" si="24"/>
        <v>2.0521540494112266E-2</v>
      </c>
      <c r="G332" s="7">
        <f t="shared" ca="1" si="20"/>
        <v>291.12708045922511</v>
      </c>
      <c r="H332" s="7">
        <f ca="1">(G332+DCF!$D$40+DCF!$D$41+DCF!$D$42-DCF!$D$43-DCF!$D$44)/DCF!$C$35</f>
        <v>2.2852132320759968</v>
      </c>
    </row>
    <row r="333" spans="3:8" x14ac:dyDescent="0.35">
      <c r="C333" s="8">
        <f t="shared" ca="1" si="21"/>
        <v>4.2502112255721203E-2</v>
      </c>
      <c r="D333" s="7">
        <f t="shared" ca="1" si="22"/>
        <v>7.4535528892176642E-2</v>
      </c>
      <c r="E333" s="7">
        <f t="shared" ca="1" si="23"/>
        <v>0.70585647075810876</v>
      </c>
      <c r="F333" s="7">
        <f t="shared" ca="1" si="24"/>
        <v>2.2330012656569878E-2</v>
      </c>
      <c r="G333" s="7">
        <f t="shared" ca="1" si="20"/>
        <v>322.23112123766742</v>
      </c>
      <c r="H333" s="7">
        <f ca="1">(G333+DCF!$D$40+DCF!$D$41+DCF!$D$42-DCF!$D$43-DCF!$D$44)/DCF!$C$35</f>
        <v>2.4607637500714947</v>
      </c>
    </row>
    <row r="334" spans="3:8" x14ac:dyDescent="0.35">
      <c r="C334" s="8">
        <f t="shared" ca="1" si="21"/>
        <v>0.95811039899571282</v>
      </c>
      <c r="D334" s="7">
        <f t="shared" ca="1" si="22"/>
        <v>0.1031626909737248</v>
      </c>
      <c r="E334" s="7">
        <f t="shared" ca="1" si="23"/>
        <v>0.65353462431002618</v>
      </c>
      <c r="F334" s="7">
        <f t="shared" ca="1" si="24"/>
        <v>2.1675753779590926E-2</v>
      </c>
      <c r="G334" s="7">
        <f t="shared" ca="1" si="20"/>
        <v>202.20531057469742</v>
      </c>
      <c r="H334" s="7">
        <f ca="1">(G334+DCF!$D$40+DCF!$D$41+DCF!$D$42-DCF!$D$43-DCF!$D$44)/DCF!$C$35</f>
        <v>1.7833407301879298</v>
      </c>
    </row>
    <row r="335" spans="3:8" x14ac:dyDescent="0.35">
      <c r="C335" s="8">
        <f t="shared" ca="1" si="21"/>
        <v>0.47290057079918657</v>
      </c>
      <c r="D335" s="7">
        <f t="shared" ca="1" si="22"/>
        <v>8.5746279399067288E-2</v>
      </c>
      <c r="E335" s="7">
        <f t="shared" ca="1" si="23"/>
        <v>0.50802327101801392</v>
      </c>
      <c r="F335" s="7">
        <f t="shared" ca="1" si="24"/>
        <v>2.0080557183168139E-2</v>
      </c>
      <c r="G335" s="7">
        <f t="shared" ca="1" si="20"/>
        <v>256.15252481821256</v>
      </c>
      <c r="H335" s="7">
        <f ca="1">(G335+DCF!$D$40+DCF!$D$41+DCF!$D$42-DCF!$D$43-DCF!$D$44)/DCF!$C$35</f>
        <v>2.0878176138289453</v>
      </c>
    </row>
    <row r="336" spans="3:8" x14ac:dyDescent="0.35">
      <c r="C336" s="8">
        <f t="shared" ca="1" si="21"/>
        <v>0.33275749671671118</v>
      </c>
      <c r="D336" s="7">
        <f t="shared" ca="1" si="22"/>
        <v>8.2711859102090696E-2</v>
      </c>
      <c r="E336" s="7">
        <f t="shared" ca="1" si="23"/>
        <v>0.61937580660825031</v>
      </c>
      <c r="F336" s="7">
        <f t="shared" ca="1" si="24"/>
        <v>2.1275045061528976E-2</v>
      </c>
      <c r="G336" s="7">
        <f t="shared" ref="G336:G399" ca="1" si="25">$C$11/(1+D336)^1
 +$D$11/(1+D336)^2
 +$E$11/(1+D336)^3
 +$F$11/(1+D336)^4
 +$G$11/(1+D336)^5
 +$H$11/(1+D336)^6
 +$I$11/(1+D336)^7
 + ( $I$11*(1+F336)/(D336-F336) )/(1+D336)^7</f>
        <v>273.13757081256398</v>
      </c>
      <c r="H336" s="7">
        <f ca="1">(G336+DCF!$D$40+DCF!$D$41+DCF!$D$42-DCF!$D$43-DCF!$D$44)/DCF!$C$35</f>
        <v>2.1836808376372274</v>
      </c>
    </row>
    <row r="337" spans="3:8" x14ac:dyDescent="0.35">
      <c r="C337" s="8">
        <f t="shared" ref="C337:C400" ca="1" si="26">RAND()</f>
        <v>0.53984275355746381</v>
      </c>
      <c r="D337" s="7">
        <f t="shared" ref="D337:D400" ca="1" si="27">IF(C337&lt;($C$6-0.07)/(0.11-0.07),0.07+SQRT(C337*(0.11-0.07)*($C$6-0.07)),0.11-SQRT((1-C337)*(0.11-0.07)*(0.11-$C$6)))</f>
        <v>8.7338678612449136E-2</v>
      </c>
      <c r="E337" s="7">
        <f t="shared" ref="E337:E400" ca="1" si="28">RAND()</f>
        <v>0.61301760355726687</v>
      </c>
      <c r="F337" s="7">
        <f t="shared" ref="F337:F400" ca="1" si="29">MIN(
 IF(E337&lt;(0.02-0.01)/(0.03-0.01),
   0.01+SQRT(E337*(0.03-0.01)*(0.02-0.01)),
   0.03-SQRT((1-E337)*(0.03-0.01)*(0.03-0.02))
 ),
 D337-0.005
)</f>
        <v>2.1202473115213196E-2</v>
      </c>
      <c r="G337" s="7">
        <f t="shared" ca="1" si="25"/>
        <v>252.82730690090398</v>
      </c>
      <c r="H337" s="7">
        <f ca="1">(G337+DCF!$D$40+DCF!$D$41+DCF!$D$42-DCF!$D$43-DCF!$D$44)/DCF!$C$35</f>
        <v>2.0690501574720845</v>
      </c>
    </row>
    <row r="338" spans="3:8" x14ac:dyDescent="0.35">
      <c r="C338" s="8">
        <f t="shared" ca="1" si="26"/>
        <v>0.19526294904674346</v>
      </c>
      <c r="D338" s="7">
        <f t="shared" ca="1" si="27"/>
        <v>7.9721484831990638E-2</v>
      </c>
      <c r="E338" s="7">
        <f t="shared" ca="1" si="28"/>
        <v>0.50333423936194122</v>
      </c>
      <c r="F338" s="7">
        <f t="shared" ca="1" si="29"/>
        <v>2.0033398165492326E-2</v>
      </c>
      <c r="G338" s="7">
        <f t="shared" ca="1" si="25"/>
        <v>283.31145422177525</v>
      </c>
      <c r="H338" s="7">
        <f ca="1">(G338+DCF!$D$40+DCF!$D$41+DCF!$D$42-DCF!$D$43-DCF!$D$44)/DCF!$C$35</f>
        <v>2.2411020105078183</v>
      </c>
    </row>
    <row r="339" spans="3:8" x14ac:dyDescent="0.35">
      <c r="C339" s="8">
        <f t="shared" ca="1" si="26"/>
        <v>0.58992766644069272</v>
      </c>
      <c r="D339" s="7">
        <f t="shared" ca="1" si="27"/>
        <v>8.860746101435861E-2</v>
      </c>
      <c r="E339" s="7">
        <f t="shared" ca="1" si="28"/>
        <v>0.78600531909781779</v>
      </c>
      <c r="F339" s="7">
        <f t="shared" ca="1" si="29"/>
        <v>2.3457910411769305E-2</v>
      </c>
      <c r="G339" s="7">
        <f t="shared" ca="1" si="25"/>
        <v>254.02554248989048</v>
      </c>
      <c r="H339" s="7">
        <f ca="1">(G339+DCF!$D$40+DCF!$D$41+DCF!$D$42-DCF!$D$43-DCF!$D$44)/DCF!$C$35</f>
        <v>2.075812972626089</v>
      </c>
    </row>
    <row r="340" spans="3:8" x14ac:dyDescent="0.35">
      <c r="C340" s="8">
        <f t="shared" ca="1" si="26"/>
        <v>0.69386860475451084</v>
      </c>
      <c r="D340" s="7">
        <f t="shared" ca="1" si="27"/>
        <v>9.1516422502827932E-2</v>
      </c>
      <c r="E340" s="7">
        <f t="shared" ca="1" si="28"/>
        <v>0.18276295695420486</v>
      </c>
      <c r="F340" s="7">
        <f t="shared" ca="1" si="29"/>
        <v>1.6045873914566938E-2</v>
      </c>
      <c r="G340" s="7">
        <f t="shared" ca="1" si="25"/>
        <v>225.41098021317688</v>
      </c>
      <c r="H340" s="7">
        <f ca="1">(G340+DCF!$D$40+DCF!$D$41+DCF!$D$42-DCF!$D$43-DCF!$D$44)/DCF!$C$35</f>
        <v>1.9143130162161468</v>
      </c>
    </row>
    <row r="341" spans="3:8" x14ac:dyDescent="0.35">
      <c r="C341" s="8">
        <f t="shared" ca="1" si="26"/>
        <v>0.40086596054167345</v>
      </c>
      <c r="D341" s="7">
        <f t="shared" ca="1" si="27"/>
        <v>8.4142049809865199E-2</v>
      </c>
      <c r="E341" s="7">
        <f t="shared" ca="1" si="28"/>
        <v>6.3065252420580808E-2</v>
      </c>
      <c r="F341" s="7">
        <f t="shared" ca="1" si="29"/>
        <v>1.3551485672801759E-2</v>
      </c>
      <c r="G341" s="7">
        <f t="shared" ca="1" si="25"/>
        <v>245.00883489379959</v>
      </c>
      <c r="H341" s="7">
        <f ca="1">(G341+DCF!$D$40+DCF!$D$41+DCF!$D$42-DCF!$D$43-DCF!$D$44)/DCF!$C$35</f>
        <v>2.0249228744429368</v>
      </c>
    </row>
    <row r="342" spans="3:8" x14ac:dyDescent="0.35">
      <c r="C342" s="8">
        <f t="shared" ca="1" si="26"/>
        <v>0.92940712088999677</v>
      </c>
      <c r="D342" s="7">
        <f t="shared" ca="1" si="27"/>
        <v>0.10112409705512934</v>
      </c>
      <c r="E342" s="7">
        <f t="shared" ca="1" si="28"/>
        <v>0.88591027679814549</v>
      </c>
      <c r="F342" s="7">
        <f t="shared" ca="1" si="29"/>
        <v>2.5223186769364862E-2</v>
      </c>
      <c r="G342" s="7">
        <f t="shared" ca="1" si="25"/>
        <v>214.37780739968429</v>
      </c>
      <c r="H342" s="7">
        <f ca="1">(G342+DCF!$D$40+DCF!$D$41+DCF!$D$42-DCF!$D$43-DCF!$D$44)/DCF!$C$35</f>
        <v>1.8520420329590488</v>
      </c>
    </row>
    <row r="343" spans="3:8" x14ac:dyDescent="0.35">
      <c r="C343" s="8">
        <f t="shared" ca="1" si="26"/>
        <v>0.15685207594189676</v>
      </c>
      <c r="D343" s="7">
        <f t="shared" ca="1" si="27"/>
        <v>7.8713002051869263E-2</v>
      </c>
      <c r="E343" s="7">
        <f t="shared" ca="1" si="28"/>
        <v>9.8361894841188291E-2</v>
      </c>
      <c r="F343" s="7">
        <f t="shared" ca="1" si="29"/>
        <v>1.4435355562774834E-2</v>
      </c>
      <c r="G343" s="7">
        <f t="shared" ca="1" si="25"/>
        <v>269.45153191961208</v>
      </c>
      <c r="H343" s="7">
        <f ca="1">(G343+DCF!$D$40+DCF!$D$41+DCF!$D$42-DCF!$D$43-DCF!$D$44)/DCF!$C$35</f>
        <v>2.1628769156767809</v>
      </c>
    </row>
    <row r="344" spans="3:8" x14ac:dyDescent="0.35">
      <c r="C344" s="8">
        <f t="shared" ca="1" si="26"/>
        <v>0.25350678446792974</v>
      </c>
      <c r="D344" s="7">
        <f t="shared" ca="1" si="27"/>
        <v>8.1076880593491926E-2</v>
      </c>
      <c r="E344" s="7">
        <f t="shared" ca="1" si="28"/>
        <v>0.13045023977392989</v>
      </c>
      <c r="F344" s="7">
        <f t="shared" ca="1" si="29"/>
        <v>1.510784180988272E-2</v>
      </c>
      <c r="G344" s="7">
        <f t="shared" ca="1" si="25"/>
        <v>261.26172484646827</v>
      </c>
      <c r="H344" s="7">
        <f ca="1">(G344+DCF!$D$40+DCF!$D$41+DCF!$D$42-DCF!$D$43-DCF!$D$44)/DCF!$C$35</f>
        <v>2.1166538257504697</v>
      </c>
    </row>
    <row r="345" spans="3:8" x14ac:dyDescent="0.35">
      <c r="C345" s="8">
        <f t="shared" ca="1" si="26"/>
        <v>0.86256960993042364</v>
      </c>
      <c r="D345" s="7">
        <f t="shared" ca="1" si="27"/>
        <v>9.7615642313077067E-2</v>
      </c>
      <c r="E345" s="7">
        <f t="shared" ca="1" si="28"/>
        <v>0.99369589652408807</v>
      </c>
      <c r="F345" s="7">
        <f t="shared" ca="1" si="29"/>
        <v>2.8877137276786521E-2</v>
      </c>
      <c r="G345" s="7">
        <f t="shared" ca="1" si="25"/>
        <v>233.82911903309912</v>
      </c>
      <c r="H345" s="7">
        <f ca="1">(G345+DCF!$D$40+DCF!$D$41+DCF!$D$42-DCF!$D$43-DCF!$D$44)/DCF!$C$35</f>
        <v>1.9618248054695739</v>
      </c>
    </row>
    <row r="346" spans="3:8" x14ac:dyDescent="0.35">
      <c r="C346" s="8">
        <f t="shared" ca="1" si="26"/>
        <v>0.19048515753013184</v>
      </c>
      <c r="D346" s="7">
        <f t="shared" ca="1" si="27"/>
        <v>7.9601813174842759E-2</v>
      </c>
      <c r="E346" s="7">
        <f t="shared" ca="1" si="28"/>
        <v>0.62188869709878458</v>
      </c>
      <c r="F346" s="7">
        <f t="shared" ca="1" si="29"/>
        <v>2.1303893941525147E-2</v>
      </c>
      <c r="G346" s="7">
        <f t="shared" ca="1" si="25"/>
        <v>288.56517958813873</v>
      </c>
      <c r="H346" s="7">
        <f ca="1">(G346+DCF!$D$40+DCF!$D$41+DCF!$D$42-DCF!$D$43-DCF!$D$44)/DCF!$C$35</f>
        <v>2.2707539202400877</v>
      </c>
    </row>
    <row r="347" spans="3:8" x14ac:dyDescent="0.35">
      <c r="C347" s="8">
        <f t="shared" ca="1" si="26"/>
        <v>0.67247289031112933</v>
      </c>
      <c r="D347" s="7">
        <f t="shared" ca="1" si="27"/>
        <v>9.0881415993521397E-2</v>
      </c>
      <c r="E347" s="7">
        <f t="shared" ca="1" si="28"/>
        <v>0.53478674010147897</v>
      </c>
      <c r="F347" s="7">
        <f t="shared" ca="1" si="29"/>
        <v>2.0354138090367239E-2</v>
      </c>
      <c r="G347" s="7">
        <f t="shared" ca="1" si="25"/>
        <v>237.20836473722946</v>
      </c>
      <c r="H347" s="7">
        <f ca="1">(G347+DCF!$D$40+DCF!$D$41+DCF!$D$42-DCF!$D$43-DCF!$D$44)/DCF!$C$35</f>
        <v>1.9808971934599244</v>
      </c>
    </row>
    <row r="348" spans="3:8" x14ac:dyDescent="0.35">
      <c r="C348" s="8">
        <f t="shared" ca="1" si="26"/>
        <v>0.78449052373366246</v>
      </c>
      <c r="D348" s="7">
        <f t="shared" ca="1" si="27"/>
        <v>9.4491661097550375E-2</v>
      </c>
      <c r="E348" s="7">
        <f t="shared" ca="1" si="28"/>
        <v>3.9533511356659723E-3</v>
      </c>
      <c r="F348" s="7">
        <f t="shared" ca="1" si="29"/>
        <v>1.0889196394017201E-2</v>
      </c>
      <c r="G348" s="7">
        <f t="shared" ca="1" si="25"/>
        <v>207.08743676628416</v>
      </c>
      <c r="H348" s="7">
        <f ca="1">(G348+DCF!$D$40+DCF!$D$41+DCF!$D$42-DCF!$D$43-DCF!$D$44)/DCF!$C$35</f>
        <v>1.8108953423991654</v>
      </c>
    </row>
    <row r="349" spans="3:8" x14ac:dyDescent="0.35">
      <c r="C349" s="8">
        <f t="shared" ca="1" si="26"/>
        <v>0.5057080283814479</v>
      </c>
      <c r="D349" s="7">
        <f t="shared" ca="1" si="27"/>
        <v>8.6513198593118221E-2</v>
      </c>
      <c r="E349" s="7">
        <f t="shared" ca="1" si="28"/>
        <v>0.91396695139888462</v>
      </c>
      <c r="F349" s="7">
        <f t="shared" ca="1" si="29"/>
        <v>2.5851914933342969E-2</v>
      </c>
      <c r="G349" s="7">
        <f t="shared" ca="1" si="25"/>
        <v>270.57059370512957</v>
      </c>
      <c r="H349" s="7">
        <f ca="1">(G349+DCF!$D$40+DCF!$D$41+DCF!$D$42-DCF!$D$43-DCF!$D$44)/DCF!$C$35</f>
        <v>2.1691928756356789</v>
      </c>
    </row>
    <row r="350" spans="3:8" x14ac:dyDescent="0.35">
      <c r="C350" s="8">
        <f t="shared" ca="1" si="26"/>
        <v>0.31278455438938613</v>
      </c>
      <c r="D350" s="7">
        <f t="shared" ca="1" si="27"/>
        <v>8.2306454952436214E-2</v>
      </c>
      <c r="E350" s="7">
        <f t="shared" ca="1" si="28"/>
        <v>0.28636674582713173</v>
      </c>
      <c r="F350" s="7">
        <f t="shared" ca="1" si="29"/>
        <v>1.7567915774202719E-2</v>
      </c>
      <c r="G350" s="7">
        <f t="shared" ca="1" si="25"/>
        <v>263.28444678807057</v>
      </c>
      <c r="H350" s="7">
        <f ca="1">(G350+DCF!$D$40+DCF!$D$41+DCF!$D$42-DCF!$D$43-DCF!$D$44)/DCF!$C$35</f>
        <v>2.1280700236373775</v>
      </c>
    </row>
    <row r="351" spans="3:8" x14ac:dyDescent="0.35">
      <c r="C351" s="8">
        <f t="shared" ca="1" si="26"/>
        <v>0.62553690978673848</v>
      </c>
      <c r="D351" s="7">
        <f t="shared" ca="1" si="27"/>
        <v>8.9557377646740141E-2</v>
      </c>
      <c r="E351" s="7">
        <f t="shared" ca="1" si="28"/>
        <v>0.14999219087913329</v>
      </c>
      <c r="F351" s="7">
        <f t="shared" ca="1" si="29"/>
        <v>1.5477082998807547E-2</v>
      </c>
      <c r="G351" s="7">
        <f t="shared" ca="1" si="25"/>
        <v>230.55630766884104</v>
      </c>
      <c r="H351" s="7">
        <f ca="1">(G351+DCF!$D$40+DCF!$D$41+DCF!$D$42-DCF!$D$43-DCF!$D$44)/DCF!$C$35</f>
        <v>1.9433531305386671</v>
      </c>
    </row>
    <row r="352" spans="3:8" x14ac:dyDescent="0.35">
      <c r="C352" s="8">
        <f t="shared" ca="1" si="26"/>
        <v>0.1330123596345798</v>
      </c>
      <c r="D352" s="7">
        <f t="shared" ca="1" si="27"/>
        <v>7.8023589101090404E-2</v>
      </c>
      <c r="E352" s="7">
        <f t="shared" ca="1" si="28"/>
        <v>0.35338947519216579</v>
      </c>
      <c r="F352" s="7">
        <f t="shared" ca="1" si="29"/>
        <v>1.8407014632937972E-2</v>
      </c>
      <c r="G352" s="7">
        <f t="shared" ca="1" si="25"/>
        <v>285.99474699375651</v>
      </c>
      <c r="H352" s="7">
        <f ca="1">(G352+DCF!$D$40+DCF!$D$41+DCF!$D$42-DCF!$D$43-DCF!$D$44)/DCF!$C$35</f>
        <v>2.2562464555466559</v>
      </c>
    </row>
    <row r="353" spans="3:8" x14ac:dyDescent="0.35">
      <c r="C353" s="8">
        <f t="shared" ca="1" si="26"/>
        <v>0.61161081376652249</v>
      </c>
      <c r="D353" s="7">
        <f t="shared" ca="1" si="27"/>
        <v>8.9180722110587973E-2</v>
      </c>
      <c r="E353" s="7">
        <f t="shared" ca="1" si="28"/>
        <v>0.76299229322444795</v>
      </c>
      <c r="F353" s="7">
        <f t="shared" ca="1" si="29"/>
        <v>2.3115122270140856E-2</v>
      </c>
      <c r="G353" s="7">
        <f t="shared" ca="1" si="25"/>
        <v>250.74131065622649</v>
      </c>
      <c r="H353" s="7">
        <f ca="1">(G353+DCF!$D$40+DCF!$D$41+DCF!$D$42-DCF!$D$43-DCF!$D$44)/DCF!$C$35</f>
        <v>2.0572768408185262</v>
      </c>
    </row>
    <row r="354" spans="3:8" x14ac:dyDescent="0.35">
      <c r="C354" s="8">
        <f t="shared" ca="1" si="26"/>
        <v>5.0304492965020153E-2</v>
      </c>
      <c r="D354" s="7">
        <f t="shared" ca="1" si="27"/>
        <v>7.4934305887870131E-2</v>
      </c>
      <c r="E354" s="7">
        <f t="shared" ca="1" si="28"/>
        <v>0.18380950954728714</v>
      </c>
      <c r="F354" s="7">
        <f t="shared" ca="1" si="29"/>
        <v>1.606315939997106E-2</v>
      </c>
      <c r="G354" s="7">
        <f t="shared" ca="1" si="25"/>
        <v>293.25236076386875</v>
      </c>
      <c r="H354" s="7">
        <f ca="1">(G354+DCF!$D$40+DCF!$D$41+DCF!$D$42-DCF!$D$43-DCF!$D$44)/DCF!$C$35</f>
        <v>2.2972082670948679</v>
      </c>
    </row>
    <row r="355" spans="3:8" x14ac:dyDescent="0.35">
      <c r="C355" s="8">
        <f t="shared" ca="1" si="26"/>
        <v>0.79616269602665357</v>
      </c>
      <c r="D355" s="7">
        <f t="shared" ca="1" si="27"/>
        <v>9.4917479281159442E-2</v>
      </c>
      <c r="E355" s="7">
        <f t="shared" ca="1" si="28"/>
        <v>0.30241639491743832</v>
      </c>
      <c r="F355" s="7">
        <f t="shared" ca="1" si="29"/>
        <v>1.7777099651122369E-2</v>
      </c>
      <c r="G355" s="7">
        <f t="shared" ca="1" si="25"/>
        <v>218.38379466245644</v>
      </c>
      <c r="H355" s="7">
        <f ca="1">(G355+DCF!$D$40+DCF!$D$41+DCF!$D$42-DCF!$D$43-DCF!$D$44)/DCF!$C$35</f>
        <v>1.8746517364400974</v>
      </c>
    </row>
    <row r="356" spans="3:8" x14ac:dyDescent="0.35">
      <c r="C356" s="8">
        <f t="shared" ca="1" si="26"/>
        <v>0.55270827316201765</v>
      </c>
      <c r="D356" s="7">
        <f t="shared" ca="1" si="27"/>
        <v>8.7657717951131586E-2</v>
      </c>
      <c r="E356" s="7">
        <f t="shared" ca="1" si="28"/>
        <v>8.7407446296432489E-2</v>
      </c>
      <c r="F356" s="7">
        <f t="shared" ca="1" si="29"/>
        <v>1.4181087090612499E-2</v>
      </c>
      <c r="G356" s="7">
        <f t="shared" ca="1" si="25"/>
        <v>234.04774479889872</v>
      </c>
      <c r="H356" s="7">
        <f ca="1">(G356+DCF!$D$40+DCF!$D$41+DCF!$D$42-DCF!$D$43-DCF!$D$44)/DCF!$C$35</f>
        <v>1.9630587244547846</v>
      </c>
    </row>
    <row r="357" spans="3:8" x14ac:dyDescent="0.35">
      <c r="C357" s="8">
        <f t="shared" ca="1" si="26"/>
        <v>0.84570833588527017</v>
      </c>
      <c r="D357" s="7">
        <f t="shared" ca="1" si="27"/>
        <v>9.6877900428969516E-2</v>
      </c>
      <c r="E357" s="7">
        <f t="shared" ca="1" si="28"/>
        <v>0.10352923827048244</v>
      </c>
      <c r="F357" s="7">
        <f t="shared" ca="1" si="29"/>
        <v>1.4550367859206163E-2</v>
      </c>
      <c r="G357" s="7">
        <f t="shared" ca="1" si="25"/>
        <v>206.88768260512251</v>
      </c>
      <c r="H357" s="7">
        <f ca="1">(G357+DCF!$D$40+DCF!$D$41+DCF!$D$42-DCF!$D$43-DCF!$D$44)/DCF!$C$35</f>
        <v>1.8097679343330086</v>
      </c>
    </row>
    <row r="358" spans="3:8" x14ac:dyDescent="0.35">
      <c r="C358" s="8">
        <f t="shared" ca="1" si="26"/>
        <v>0.5749890603704888</v>
      </c>
      <c r="D358" s="7">
        <f t="shared" ca="1" si="27"/>
        <v>8.8221290014637355E-2</v>
      </c>
      <c r="E358" s="7">
        <f t="shared" ca="1" si="28"/>
        <v>0.81069254312532013</v>
      </c>
      <c r="F358" s="7">
        <f t="shared" ca="1" si="29"/>
        <v>2.3846830786096E-2</v>
      </c>
      <c r="G358" s="7">
        <f t="shared" ca="1" si="25"/>
        <v>256.75127899233212</v>
      </c>
      <c r="H358" s="7">
        <f ca="1">(G358+DCF!$D$40+DCF!$D$41+DCF!$D$42-DCF!$D$43-DCF!$D$44)/DCF!$C$35</f>
        <v>2.0911969691406034</v>
      </c>
    </row>
    <row r="359" spans="3:8" x14ac:dyDescent="0.35">
      <c r="C359" s="8">
        <f t="shared" ca="1" si="26"/>
        <v>0.3547010175527312</v>
      </c>
      <c r="D359" s="7">
        <f t="shared" ca="1" si="27"/>
        <v>8.3164321055521032E-2</v>
      </c>
      <c r="E359" s="7">
        <f t="shared" ca="1" si="28"/>
        <v>8.3605426983512365E-2</v>
      </c>
      <c r="F359" s="7">
        <f t="shared" ca="1" si="29"/>
        <v>1.4089142379118447E-2</v>
      </c>
      <c r="G359" s="7">
        <f t="shared" ca="1" si="25"/>
        <v>250.06739810637075</v>
      </c>
      <c r="H359" s="7">
        <f ca="1">(G359+DCF!$D$40+DCF!$D$41+DCF!$D$42-DCF!$D$43-DCF!$D$44)/DCF!$C$35</f>
        <v>2.053473293297047</v>
      </c>
    </row>
    <row r="360" spans="3:8" x14ac:dyDescent="0.35">
      <c r="C360" s="8">
        <f t="shared" ca="1" si="26"/>
        <v>0.42490495105250803</v>
      </c>
      <c r="D360" s="7">
        <f t="shared" ca="1" si="27"/>
        <v>8.4666108182409064E-2</v>
      </c>
      <c r="E360" s="7">
        <f t="shared" ca="1" si="28"/>
        <v>0.82515716703584041</v>
      </c>
      <c r="F360" s="7">
        <f t="shared" ca="1" si="29"/>
        <v>2.4086577421422353E-2</v>
      </c>
      <c r="G360" s="7">
        <f t="shared" ca="1" si="25"/>
        <v>273.34255331492056</v>
      </c>
      <c r="H360" s="7">
        <f ca="1">(G360+DCF!$D$40+DCF!$D$41+DCF!$D$42-DCF!$D$43-DCF!$D$44)/DCF!$C$35</f>
        <v>2.1848377543454145</v>
      </c>
    </row>
    <row r="361" spans="3:8" x14ac:dyDescent="0.35">
      <c r="C361" s="8">
        <f t="shared" ca="1" si="26"/>
        <v>0.15055738018802711</v>
      </c>
      <c r="D361" s="7">
        <f t="shared" ca="1" si="27"/>
        <v>7.853637932679923E-2</v>
      </c>
      <c r="E361" s="7">
        <f t="shared" ca="1" si="28"/>
        <v>0.94082199043966619</v>
      </c>
      <c r="F361" s="7">
        <f t="shared" ca="1" si="29"/>
        <v>2.655970903671408E-2</v>
      </c>
      <c r="G361" s="7">
        <f t="shared" ca="1" si="25"/>
        <v>316.81847780823421</v>
      </c>
      <c r="H361" s="7">
        <f ca="1">(G361+DCF!$D$40+DCF!$D$41+DCF!$D$42-DCF!$D$43-DCF!$D$44)/DCF!$C$35</f>
        <v>2.4302149103072255</v>
      </c>
    </row>
    <row r="362" spans="3:8" x14ac:dyDescent="0.35">
      <c r="C362" s="8">
        <f t="shared" ca="1" si="26"/>
        <v>0.49960315340097028</v>
      </c>
      <c r="D362" s="7">
        <f t="shared" ca="1" si="27"/>
        <v>8.6368603917573616E-2</v>
      </c>
      <c r="E362" s="7">
        <f t="shared" ca="1" si="28"/>
        <v>0.21717161692061493</v>
      </c>
      <c r="F362" s="7">
        <f t="shared" ca="1" si="29"/>
        <v>1.6590472167009204E-2</v>
      </c>
      <c r="G362" s="7">
        <f t="shared" ca="1" si="25"/>
        <v>244.36651787884909</v>
      </c>
      <c r="H362" s="7">
        <f ca="1">(G362+DCF!$D$40+DCF!$D$41+DCF!$D$42-DCF!$D$43-DCF!$D$44)/DCF!$C$35</f>
        <v>2.0212976514214307</v>
      </c>
    </row>
    <row r="363" spans="3:8" x14ac:dyDescent="0.35">
      <c r="C363" s="8">
        <f t="shared" ca="1" si="26"/>
        <v>9.5729813056276258E-2</v>
      </c>
      <c r="D363" s="7">
        <f t="shared" ca="1" si="27"/>
        <v>7.6806851659852571E-2</v>
      </c>
      <c r="E363" s="7">
        <f t="shared" ca="1" si="28"/>
        <v>0.57893034212799854</v>
      </c>
      <c r="F363" s="7">
        <f t="shared" ca="1" si="29"/>
        <v>2.0823185107326163E-2</v>
      </c>
      <c r="G363" s="7">
        <f t="shared" ca="1" si="25"/>
        <v>301.81825342962281</v>
      </c>
      <c r="H363" s="7">
        <f ca="1">(G363+DCF!$D$40+DCF!$D$41+DCF!$D$42-DCF!$D$43-DCF!$D$44)/DCF!$C$35</f>
        <v>2.3455539757852062</v>
      </c>
    </row>
    <row r="364" spans="3:8" x14ac:dyDescent="0.35">
      <c r="C364" s="8">
        <f t="shared" ca="1" si="26"/>
        <v>0.51417728246638206</v>
      </c>
      <c r="D364" s="7">
        <f t="shared" ca="1" si="27"/>
        <v>8.6715280702410913E-2</v>
      </c>
      <c r="E364" s="7">
        <f t="shared" ca="1" si="28"/>
        <v>0.73951753133236853</v>
      </c>
      <c r="F364" s="7">
        <f t="shared" ca="1" si="29"/>
        <v>2.2782209913448141E-2</v>
      </c>
      <c r="G364" s="7">
        <f t="shared" ca="1" si="25"/>
        <v>259.97911597877322</v>
      </c>
      <c r="H364" s="7">
        <f ca="1">(G364+DCF!$D$40+DCF!$D$41+DCF!$D$42-DCF!$D$43-DCF!$D$44)/DCF!$C$35</f>
        <v>2.109414809678142</v>
      </c>
    </row>
    <row r="365" spans="3:8" x14ac:dyDescent="0.35">
      <c r="C365" s="8">
        <f t="shared" ca="1" si="26"/>
        <v>9.6590625569865418E-2</v>
      </c>
      <c r="D365" s="7">
        <f t="shared" ca="1" si="27"/>
        <v>7.6837387130755067E-2</v>
      </c>
      <c r="E365" s="7">
        <f t="shared" ca="1" si="28"/>
        <v>0.19199473757611185</v>
      </c>
      <c r="F365" s="7">
        <f t="shared" ca="1" si="29"/>
        <v>1.619668843134963E-2</v>
      </c>
      <c r="G365" s="7">
        <f t="shared" ca="1" si="25"/>
        <v>284.04560202527114</v>
      </c>
      <c r="H365" s="7">
        <f ca="1">(G365+DCF!$D$40+DCF!$D$41+DCF!$D$42-DCF!$D$43-DCF!$D$44)/DCF!$C$35</f>
        <v>2.2452455244681744</v>
      </c>
    </row>
    <row r="366" spans="3:8" x14ac:dyDescent="0.35">
      <c r="C366" s="8">
        <f t="shared" ca="1" si="26"/>
        <v>0.47872875616881372</v>
      </c>
      <c r="D366" s="7">
        <f t="shared" ca="1" si="27"/>
        <v>8.5880739892865626E-2</v>
      </c>
      <c r="E366" s="7">
        <f t="shared" ca="1" si="28"/>
        <v>0.1496602048378417</v>
      </c>
      <c r="F366" s="7">
        <f t="shared" ca="1" si="29"/>
        <v>1.547101827519963E-2</v>
      </c>
      <c r="G366" s="7">
        <f t="shared" ca="1" si="25"/>
        <v>243.37267625707463</v>
      </c>
      <c r="H366" s="7">
        <f ca="1">(G366+DCF!$D$40+DCF!$D$41+DCF!$D$42-DCF!$D$43-DCF!$D$44)/DCF!$C$35</f>
        <v>2.0156884312962786</v>
      </c>
    </row>
    <row r="367" spans="3:8" x14ac:dyDescent="0.35">
      <c r="C367" s="8">
        <f t="shared" ca="1" si="26"/>
        <v>0.70768755751921386</v>
      </c>
      <c r="D367" s="7">
        <f t="shared" ca="1" si="27"/>
        <v>9.1938419620405387E-2</v>
      </c>
      <c r="E367" s="7">
        <f t="shared" ca="1" si="28"/>
        <v>0.21106994436183901</v>
      </c>
      <c r="F367" s="7">
        <f t="shared" ca="1" si="29"/>
        <v>1.6497229322747334E-2</v>
      </c>
      <c r="G367" s="7">
        <f t="shared" ca="1" si="25"/>
        <v>225.01234700352728</v>
      </c>
      <c r="H367" s="7">
        <f ca="1">(G367+DCF!$D$40+DCF!$D$41+DCF!$D$42-DCF!$D$43-DCF!$D$44)/DCF!$C$35</f>
        <v>1.9120631392004022</v>
      </c>
    </row>
    <row r="368" spans="3:8" x14ac:dyDescent="0.35">
      <c r="C368" s="8">
        <f t="shared" ca="1" si="26"/>
        <v>0.34544087473652618</v>
      </c>
      <c r="D368" s="7">
        <f t="shared" ca="1" si="27"/>
        <v>8.2972458791187892E-2</v>
      </c>
      <c r="E368" s="7">
        <f t="shared" ca="1" si="28"/>
        <v>0.80453226284732626</v>
      </c>
      <c r="F368" s="7">
        <f t="shared" ca="1" si="29"/>
        <v>2.3747516698899969E-2</v>
      </c>
      <c r="G368" s="7">
        <f t="shared" ca="1" si="25"/>
        <v>280.37492697580137</v>
      </c>
      <c r="H368" s="7">
        <f ca="1">(G368+DCF!$D$40+DCF!$D$41+DCF!$D$42-DCF!$D$43-DCF!$D$44)/DCF!$C$35</f>
        <v>2.2245283157004252</v>
      </c>
    </row>
    <row r="369" spans="3:8" x14ac:dyDescent="0.35">
      <c r="C369" s="8">
        <f t="shared" ca="1" si="26"/>
        <v>0.30645754788842816</v>
      </c>
      <c r="D369" s="7">
        <f t="shared" ca="1" si="27"/>
        <v>8.2179263551147436E-2</v>
      </c>
      <c r="E369" s="7">
        <f t="shared" ca="1" si="28"/>
        <v>0.72054381013449487</v>
      </c>
      <c r="F369" s="7">
        <f t="shared" ca="1" si="29"/>
        <v>2.252395572691674E-2</v>
      </c>
      <c r="G369" s="7">
        <f t="shared" ca="1" si="25"/>
        <v>279.96133763732337</v>
      </c>
      <c r="H369" s="7">
        <f ca="1">(G369+DCF!$D$40+DCF!$D$41+DCF!$D$42-DCF!$D$43-DCF!$D$44)/DCF!$C$35</f>
        <v>2.2221940266244684</v>
      </c>
    </row>
    <row r="370" spans="3:8" x14ac:dyDescent="0.35">
      <c r="C370" s="8">
        <f t="shared" ca="1" si="26"/>
        <v>2.9814587235597045E-2</v>
      </c>
      <c r="D370" s="7">
        <f t="shared" ca="1" si="27"/>
        <v>7.3798718234092786E-2</v>
      </c>
      <c r="E370" s="7">
        <f t="shared" ca="1" si="28"/>
        <v>0.5897349506414592</v>
      </c>
      <c r="F370" s="7">
        <f t="shared" ca="1" si="29"/>
        <v>2.0941688354240172E-2</v>
      </c>
      <c r="G370" s="7">
        <f t="shared" ca="1" si="25"/>
        <v>320.34155344174906</v>
      </c>
      <c r="H370" s="7">
        <f ca="1">(G370+DCF!$D$40+DCF!$D$41+DCF!$D$42-DCF!$D$43-DCF!$D$44)/DCF!$C$35</f>
        <v>2.4500990712368722</v>
      </c>
    </row>
    <row r="371" spans="3:8" x14ac:dyDescent="0.35">
      <c r="C371" s="8">
        <f t="shared" ca="1" si="26"/>
        <v>0.34462735743320971</v>
      </c>
      <c r="D371" s="7">
        <f t="shared" ca="1" si="27"/>
        <v>8.2955668447814476E-2</v>
      </c>
      <c r="E371" s="7">
        <f t="shared" ca="1" si="28"/>
        <v>0.92100833594330744</v>
      </c>
      <c r="F371" s="7">
        <f t="shared" ca="1" si="29"/>
        <v>2.602528833607537E-2</v>
      </c>
      <c r="G371" s="7">
        <f t="shared" ca="1" si="25"/>
        <v>288.89839497090145</v>
      </c>
      <c r="H371" s="7">
        <f ca="1">(G371+DCF!$D$40+DCF!$D$41+DCF!$D$42-DCF!$D$43-DCF!$D$44)/DCF!$C$35</f>
        <v>2.2726345804882122</v>
      </c>
    </row>
    <row r="372" spans="3:8" x14ac:dyDescent="0.35">
      <c r="C372" s="8">
        <f t="shared" ca="1" si="26"/>
        <v>0.65667704204456978</v>
      </c>
      <c r="D372" s="7">
        <f t="shared" ca="1" si="27"/>
        <v>9.0425822595106065E-2</v>
      </c>
      <c r="E372" s="7">
        <f t="shared" ca="1" si="28"/>
        <v>0.13880830708192338</v>
      </c>
      <c r="F372" s="7">
        <f t="shared" ca="1" si="29"/>
        <v>1.5268933612827617E-2</v>
      </c>
      <c r="G372" s="7">
        <f t="shared" ca="1" si="25"/>
        <v>227.26787100512007</v>
      </c>
      <c r="H372" s="7">
        <f ca="1">(G372+DCF!$D$40+DCF!$D$41+DCF!$D$42-DCF!$D$43-DCF!$D$44)/DCF!$C$35</f>
        <v>1.9247932667632919</v>
      </c>
    </row>
    <row r="373" spans="3:8" x14ac:dyDescent="0.35">
      <c r="C373" s="8">
        <f t="shared" ca="1" si="26"/>
        <v>0.33656383008465351</v>
      </c>
      <c r="D373" s="7">
        <f t="shared" ca="1" si="27"/>
        <v>8.2789804013467194E-2</v>
      </c>
      <c r="E373" s="7">
        <f t="shared" ca="1" si="28"/>
        <v>0.3126885877548754</v>
      </c>
      <c r="F373" s="7">
        <f t="shared" ca="1" si="29"/>
        <v>1.7908079258010447E-2</v>
      </c>
      <c r="G373" s="7">
        <f t="shared" ca="1" si="25"/>
        <v>262.22731583842324</v>
      </c>
      <c r="H373" s="7">
        <f ca="1">(G373+DCF!$D$40+DCF!$D$41+DCF!$D$42-DCF!$D$43-DCF!$D$44)/DCF!$C$35</f>
        <v>2.122103599945949</v>
      </c>
    </row>
    <row r="374" spans="3:8" x14ac:dyDescent="0.35">
      <c r="C374" s="8">
        <f t="shared" ca="1" si="26"/>
        <v>0.32886252963999785</v>
      </c>
      <c r="D374" s="7">
        <f t="shared" ca="1" si="27"/>
        <v>8.2632328982506345E-2</v>
      </c>
      <c r="E374" s="7">
        <f t="shared" ca="1" si="28"/>
        <v>0.15392792676932987</v>
      </c>
      <c r="F374" s="7">
        <f t="shared" ca="1" si="29"/>
        <v>1.5548475948750789E-2</v>
      </c>
      <c r="G374" s="7">
        <f t="shared" ca="1" si="25"/>
        <v>256.10170415275456</v>
      </c>
      <c r="H374" s="7">
        <f ca="1">(G374+DCF!$D$40+DCF!$D$41+DCF!$D$42-DCF!$D$43-DCF!$D$44)/DCF!$C$35</f>
        <v>2.0875307831174768</v>
      </c>
    </row>
    <row r="375" spans="3:8" x14ac:dyDescent="0.35">
      <c r="C375" s="8">
        <f t="shared" ca="1" si="26"/>
        <v>0.49716294817768869</v>
      </c>
      <c r="D375" s="7">
        <f t="shared" ca="1" si="27"/>
        <v>8.6311054269265192E-2</v>
      </c>
      <c r="E375" s="7">
        <f t="shared" ca="1" si="28"/>
        <v>0.12489284439094006</v>
      </c>
      <c r="F375" s="7">
        <f t="shared" ca="1" si="29"/>
        <v>1.499785642832885E-2</v>
      </c>
      <c r="G375" s="7">
        <f t="shared" ca="1" si="25"/>
        <v>240.65338268644882</v>
      </c>
      <c r="H375" s="7">
        <f ca="1">(G375+DCF!$D$40+DCF!$D$41+DCF!$D$42-DCF!$D$43-DCF!$D$44)/DCF!$C$35</f>
        <v>2.0003407985463868</v>
      </c>
    </row>
    <row r="376" spans="3:8" x14ac:dyDescent="0.35">
      <c r="C376" s="8">
        <f t="shared" ca="1" si="26"/>
        <v>0.84725791240322601</v>
      </c>
      <c r="D376" s="7">
        <f t="shared" ca="1" si="27"/>
        <v>9.694396041067585E-2</v>
      </c>
      <c r="E376" s="7">
        <f t="shared" ca="1" si="28"/>
        <v>0.526994496568295</v>
      </c>
      <c r="F376" s="7">
        <f t="shared" ca="1" si="29"/>
        <v>2.0273690284268085E-2</v>
      </c>
      <c r="G376" s="7">
        <f t="shared" ca="1" si="25"/>
        <v>217.18722285994738</v>
      </c>
      <c r="H376" s="7">
        <f ca="1">(G376+DCF!$D$40+DCF!$D$41+DCF!$D$42-DCF!$D$43-DCF!$D$44)/DCF!$C$35</f>
        <v>1.8678983116601613</v>
      </c>
    </row>
    <row r="377" spans="3:8" x14ac:dyDescent="0.35">
      <c r="C377" s="8">
        <f t="shared" ca="1" si="26"/>
        <v>0.31177011341869254</v>
      </c>
      <c r="D377" s="7">
        <f t="shared" ca="1" si="27"/>
        <v>8.22860224178351E-2</v>
      </c>
      <c r="E377" s="7">
        <f t="shared" ca="1" si="28"/>
        <v>0.16901802086003037</v>
      </c>
      <c r="F377" s="7">
        <f t="shared" ca="1" si="29"/>
        <v>1.5814086701452436E-2</v>
      </c>
      <c r="G377" s="7">
        <f t="shared" ca="1" si="25"/>
        <v>258.26137436941235</v>
      </c>
      <c r="H377" s="7">
        <f ca="1">(G377+DCF!$D$40+DCF!$D$41+DCF!$D$42-DCF!$D$43-DCF!$D$44)/DCF!$C$35</f>
        <v>2.0997199140389</v>
      </c>
    </row>
    <row r="378" spans="3:8" x14ac:dyDescent="0.35">
      <c r="C378" s="8">
        <f t="shared" ca="1" si="26"/>
        <v>0.53320764011968214</v>
      </c>
      <c r="D378" s="7">
        <f t="shared" ca="1" si="27"/>
        <v>8.7175883946438701E-2</v>
      </c>
      <c r="E378" s="7">
        <f t="shared" ca="1" si="28"/>
        <v>0.90063552021174709</v>
      </c>
      <c r="F378" s="7">
        <f t="shared" ca="1" si="29"/>
        <v>2.5542097358886066E-2</v>
      </c>
      <c r="G378" s="7">
        <f t="shared" ca="1" si="25"/>
        <v>266.50789824028652</v>
      </c>
      <c r="H378" s="7">
        <f ca="1">(G378+DCF!$D$40+DCF!$D$41+DCF!$D$42-DCF!$D$43-DCF!$D$44)/DCF!$C$35</f>
        <v>2.1462631123167766</v>
      </c>
    </row>
    <row r="379" spans="3:8" x14ac:dyDescent="0.35">
      <c r="C379" s="8">
        <f t="shared" ca="1" si="26"/>
        <v>0.78951627309170791</v>
      </c>
      <c r="D379" s="7">
        <f t="shared" ca="1" si="27"/>
        <v>9.4673557515533691E-2</v>
      </c>
      <c r="E379" s="7">
        <f t="shared" ca="1" si="28"/>
        <v>0.41475130013721739</v>
      </c>
      <c r="F379" s="7">
        <f t="shared" ca="1" si="29"/>
        <v>1.9107703334400143E-2</v>
      </c>
      <c r="G379" s="7">
        <f t="shared" ca="1" si="25"/>
        <v>221.80296355271238</v>
      </c>
      <c r="H379" s="7">
        <f ca="1">(G379+DCF!$D$40+DCF!$D$41+DCF!$D$42-DCF!$D$43-DCF!$D$44)/DCF!$C$35</f>
        <v>1.8939494500096647</v>
      </c>
    </row>
    <row r="380" spans="3:8" x14ac:dyDescent="0.35">
      <c r="C380" s="8">
        <f t="shared" ca="1" si="26"/>
        <v>0.67615405185822475</v>
      </c>
      <c r="D380" s="7">
        <f t="shared" ca="1" si="27"/>
        <v>9.0989158931645844E-2</v>
      </c>
      <c r="E380" s="7">
        <f t="shared" ca="1" si="28"/>
        <v>7.5450171724924298E-2</v>
      </c>
      <c r="F380" s="7">
        <f t="shared" ca="1" si="29"/>
        <v>1.3884589340584775E-2</v>
      </c>
      <c r="G380" s="7">
        <f t="shared" ca="1" si="25"/>
        <v>222.63219330031237</v>
      </c>
      <c r="H380" s="7">
        <f ca="1">(G380+DCF!$D$40+DCF!$D$41+DCF!$D$42-DCF!$D$43-DCF!$D$44)/DCF!$C$35</f>
        <v>1.8986296043589137</v>
      </c>
    </row>
    <row r="381" spans="3:8" x14ac:dyDescent="0.35">
      <c r="C381" s="8">
        <f t="shared" ca="1" si="26"/>
        <v>0.17180284108629362</v>
      </c>
      <c r="D381" s="7">
        <f t="shared" ca="1" si="27"/>
        <v>7.9118803380146221E-2</v>
      </c>
      <c r="E381" s="7">
        <f t="shared" ca="1" si="28"/>
        <v>4.9038915285649187E-2</v>
      </c>
      <c r="F381" s="7">
        <f t="shared" ca="1" si="29"/>
        <v>1.3131738024983864E-2</v>
      </c>
      <c r="G381" s="7">
        <f t="shared" ca="1" si="25"/>
        <v>263.76439168809236</v>
      </c>
      <c r="H381" s="7">
        <f ca="1">(G381+DCF!$D$40+DCF!$D$41+DCF!$D$42-DCF!$D$43-DCF!$D$44)/DCF!$C$35</f>
        <v>2.1307788220346109</v>
      </c>
    </row>
    <row r="382" spans="3:8" x14ac:dyDescent="0.35">
      <c r="C382" s="8">
        <f t="shared" ca="1" si="26"/>
        <v>0.75115396392902756</v>
      </c>
      <c r="D382" s="7">
        <f t="shared" ca="1" si="27"/>
        <v>9.3335301495220346E-2</v>
      </c>
      <c r="E382" s="7">
        <f t="shared" ca="1" si="28"/>
        <v>0.23162564710311395</v>
      </c>
      <c r="F382" s="7">
        <f t="shared" ca="1" si="29"/>
        <v>1.680625663787539E-2</v>
      </c>
      <c r="G382" s="7">
        <f t="shared" ca="1" si="25"/>
        <v>221.27536469146258</v>
      </c>
      <c r="H382" s="7">
        <f ca="1">(G382+DCF!$D$40+DCF!$D$41+DCF!$D$42-DCF!$D$43-DCF!$D$44)/DCF!$C$35</f>
        <v>1.8909716937095753</v>
      </c>
    </row>
    <row r="383" spans="3:8" x14ac:dyDescent="0.35">
      <c r="C383" s="8">
        <f t="shared" ca="1" si="26"/>
        <v>0.26148563948515091</v>
      </c>
      <c r="D383" s="7">
        <f t="shared" ca="1" si="27"/>
        <v>8.1249846643879783E-2</v>
      </c>
      <c r="E383" s="7">
        <f t="shared" ca="1" si="28"/>
        <v>5.2523451355978246E-2</v>
      </c>
      <c r="F383" s="7">
        <f t="shared" ca="1" si="29"/>
        <v>1.3241093992959113E-2</v>
      </c>
      <c r="G383" s="7">
        <f t="shared" ca="1" si="25"/>
        <v>255.30507406066906</v>
      </c>
      <c r="H383" s="7">
        <f ca="1">(G383+DCF!$D$40+DCF!$D$41+DCF!$D$42-DCF!$D$43-DCF!$D$44)/DCF!$C$35</f>
        <v>2.0830346205027039</v>
      </c>
    </row>
    <row r="384" spans="3:8" x14ac:dyDescent="0.35">
      <c r="C384" s="8">
        <f t="shared" ca="1" si="26"/>
        <v>0.62125964577286052</v>
      </c>
      <c r="D384" s="7">
        <f t="shared" ca="1" si="27"/>
        <v>8.944095733460608E-2</v>
      </c>
      <c r="E384" s="7">
        <f t="shared" ca="1" si="28"/>
        <v>0.35393259551883993</v>
      </c>
      <c r="F384" s="7">
        <f t="shared" ca="1" si="29"/>
        <v>1.8413472475961871E-2</v>
      </c>
      <c r="G384" s="7">
        <f t="shared" ca="1" si="25"/>
        <v>237.6784590791932</v>
      </c>
      <c r="H384" s="7">
        <f ca="1">(G384+DCF!$D$40+DCF!$D$41+DCF!$D$42-DCF!$D$43-DCF!$D$44)/DCF!$C$35</f>
        <v>1.9835503955254159</v>
      </c>
    </row>
    <row r="385" spans="3:8" x14ac:dyDescent="0.35">
      <c r="C385" s="8">
        <f t="shared" ca="1" si="26"/>
        <v>0.12289634239299152</v>
      </c>
      <c r="D385" s="7">
        <f t="shared" ca="1" si="27"/>
        <v>7.7712446415905134E-2</v>
      </c>
      <c r="E385" s="7">
        <f t="shared" ca="1" si="28"/>
        <v>0.75262354170229184</v>
      </c>
      <c r="F385" s="7">
        <f t="shared" ca="1" si="29"/>
        <v>2.2966132524738496E-2</v>
      </c>
      <c r="G385" s="7">
        <f t="shared" ca="1" si="25"/>
        <v>305.63095413037308</v>
      </c>
      <c r="H385" s="7">
        <f ca="1">(G385+DCF!$D$40+DCF!$D$41+DCF!$D$42-DCF!$D$43-DCF!$D$44)/DCF!$C$35</f>
        <v>2.3670727741865507</v>
      </c>
    </row>
    <row r="386" spans="3:8" x14ac:dyDescent="0.35">
      <c r="C386" s="8">
        <f t="shared" ca="1" si="26"/>
        <v>0.3833857063866829</v>
      </c>
      <c r="D386" s="7">
        <f t="shared" ca="1" si="27"/>
        <v>8.3767547738107642E-2</v>
      </c>
      <c r="E386" s="7">
        <f t="shared" ca="1" si="28"/>
        <v>0.29710494749709049</v>
      </c>
      <c r="F386" s="7">
        <f t="shared" ca="1" si="29"/>
        <v>1.7708501118856902E-2</v>
      </c>
      <c r="G386" s="7">
        <f t="shared" ca="1" si="25"/>
        <v>257.54354529784928</v>
      </c>
      <c r="H386" s="7">
        <f ca="1">(G386+DCF!$D$40+DCF!$D$41+DCF!$D$42-DCF!$D$43-DCF!$D$44)/DCF!$C$35</f>
        <v>2.0956685026405308</v>
      </c>
    </row>
    <row r="387" spans="3:8" x14ac:dyDescent="0.35">
      <c r="C387" s="8">
        <f t="shared" ca="1" si="26"/>
        <v>0.94311197870634811</v>
      </c>
      <c r="D387" s="7">
        <f t="shared" ca="1" si="27"/>
        <v>0.10203212501580783</v>
      </c>
      <c r="E387" s="7">
        <f t="shared" ca="1" si="28"/>
        <v>0.11279303226505411</v>
      </c>
      <c r="F387" s="7">
        <f t="shared" ca="1" si="29"/>
        <v>1.4749590135265445E-2</v>
      </c>
      <c r="G387" s="7">
        <f t="shared" ca="1" si="25"/>
        <v>194.12601991171846</v>
      </c>
      <c r="H387" s="7">
        <f ca="1">(G387+DCF!$D$40+DCF!$D$41+DCF!$D$42-DCF!$D$43-DCF!$D$44)/DCF!$C$35</f>
        <v>1.7377413924354805</v>
      </c>
    </row>
    <row r="388" spans="3:8" x14ac:dyDescent="0.35">
      <c r="C388" s="8">
        <f t="shared" ca="1" si="26"/>
        <v>0.42648328246859002</v>
      </c>
      <c r="D388" s="7">
        <f t="shared" ca="1" si="27"/>
        <v>8.4700896127233027E-2</v>
      </c>
      <c r="E388" s="7">
        <f t="shared" ca="1" si="28"/>
        <v>0.1091131686863881</v>
      </c>
      <c r="F388" s="7">
        <f t="shared" ca="1" si="29"/>
        <v>1.4671470190130471E-2</v>
      </c>
      <c r="G388" s="7">
        <f t="shared" ca="1" si="25"/>
        <v>245.74092677717124</v>
      </c>
      <c r="H388" s="7">
        <f ca="1">(G388+DCF!$D$40+DCF!$D$41+DCF!$D$42-DCF!$D$43-DCF!$D$44)/DCF!$C$35</f>
        <v>2.0290547848355978</v>
      </c>
    </row>
    <row r="389" spans="3:8" x14ac:dyDescent="0.35">
      <c r="C389" s="8">
        <f t="shared" ca="1" si="26"/>
        <v>1.3332943223000271E-2</v>
      </c>
      <c r="D389" s="7">
        <f t="shared" ca="1" si="27"/>
        <v>7.2540304021162072E-2</v>
      </c>
      <c r="E389" s="7">
        <f t="shared" ca="1" si="28"/>
        <v>0.58696422352581634</v>
      </c>
      <c r="F389" s="7">
        <f t="shared" ca="1" si="29"/>
        <v>2.0911152147008033E-2</v>
      </c>
      <c r="G389" s="7">
        <f t="shared" ca="1" si="25"/>
        <v>328.36064091796936</v>
      </c>
      <c r="H389" s="7">
        <f ca="1">(G389+DCF!$D$40+DCF!$D$41+DCF!$D$42-DCF!$D$43-DCF!$D$44)/DCF!$C$35</f>
        <v>2.4953586235352145</v>
      </c>
    </row>
    <row r="390" spans="3:8" x14ac:dyDescent="0.35">
      <c r="C390" s="8">
        <f t="shared" ca="1" si="26"/>
        <v>0.63260042132843985</v>
      </c>
      <c r="D390" s="7">
        <f t="shared" ca="1" si="27"/>
        <v>8.9751100528733391E-2</v>
      </c>
      <c r="E390" s="7">
        <f t="shared" ca="1" si="28"/>
        <v>0.76213738292132449</v>
      </c>
      <c r="F390" s="7">
        <f t="shared" ca="1" si="29"/>
        <v>2.310271622914244E-2</v>
      </c>
      <c r="G390" s="7">
        <f t="shared" ca="1" si="25"/>
        <v>248.44738944801321</v>
      </c>
      <c r="H390" s="7">
        <f ca="1">(G390+DCF!$D$40+DCF!$D$41+DCF!$D$42-DCF!$D$43-DCF!$D$44)/DCF!$C$35</f>
        <v>2.0443300002709854</v>
      </c>
    </row>
    <row r="391" spans="3:8" x14ac:dyDescent="0.35">
      <c r="C391" s="8">
        <f t="shared" ca="1" si="26"/>
        <v>0.32045976664126863</v>
      </c>
      <c r="D391" s="7">
        <f t="shared" ca="1" si="27"/>
        <v>8.2461537798411033E-2</v>
      </c>
      <c r="E391" s="7">
        <f t="shared" ca="1" si="28"/>
        <v>0.40239260272571953</v>
      </c>
      <c r="F391" s="7">
        <f t="shared" ca="1" si="29"/>
        <v>1.8970982139383842E-2</v>
      </c>
      <c r="G391" s="7">
        <f t="shared" ca="1" si="25"/>
        <v>266.88448228392576</v>
      </c>
      <c r="H391" s="7">
        <f ca="1">(G391+DCF!$D$40+DCF!$D$41+DCF!$D$42-DCF!$D$43-DCF!$D$44)/DCF!$C$35</f>
        <v>2.1483885443273834</v>
      </c>
    </row>
    <row r="392" spans="3:8" x14ac:dyDescent="0.35">
      <c r="C392" s="8">
        <f t="shared" ca="1" si="26"/>
        <v>0.24114990060866781</v>
      </c>
      <c r="D392" s="7">
        <f t="shared" ca="1" si="27"/>
        <v>8.0803543487883753E-2</v>
      </c>
      <c r="E392" s="7">
        <f t="shared" ca="1" si="28"/>
        <v>0.42668515841344967</v>
      </c>
      <c r="F392" s="7">
        <f t="shared" ca="1" si="29"/>
        <v>1.9237804483896049E-2</v>
      </c>
      <c r="G392" s="7">
        <f t="shared" ca="1" si="25"/>
        <v>275.3205876882613</v>
      </c>
      <c r="H392" s="7">
        <f ca="1">(G392+DCF!$D$40+DCF!$D$41+DCF!$D$42-DCF!$D$43-DCF!$D$44)/DCF!$C$35</f>
        <v>2.1960017365857394</v>
      </c>
    </row>
    <row r="393" spans="3:8" x14ac:dyDescent="0.35">
      <c r="C393" s="8">
        <f t="shared" ca="1" si="26"/>
        <v>0.37436315186176028</v>
      </c>
      <c r="D393" s="7">
        <f t="shared" ca="1" si="27"/>
        <v>8.357632269114923E-2</v>
      </c>
      <c r="E393" s="7">
        <f t="shared" ca="1" si="28"/>
        <v>6.6174250250441435E-3</v>
      </c>
      <c r="F393" s="7">
        <f t="shared" ca="1" si="29"/>
        <v>1.1150428183333852E-2</v>
      </c>
      <c r="G393" s="7">
        <f t="shared" ca="1" si="25"/>
        <v>241.22319359582062</v>
      </c>
      <c r="H393" s="7">
        <f ca="1">(G393+DCF!$D$40+DCF!$D$41+DCF!$D$42-DCF!$D$43-DCF!$D$44)/DCF!$C$35</f>
        <v>2.0035567987121605</v>
      </c>
    </row>
    <row r="394" spans="3:8" x14ac:dyDescent="0.35">
      <c r="C394" s="8">
        <f t="shared" ca="1" si="26"/>
        <v>0.73934440027435</v>
      </c>
      <c r="D394" s="7">
        <f t="shared" ca="1" si="27"/>
        <v>9.2944454001884752E-2</v>
      </c>
      <c r="E394" s="7">
        <f t="shared" ca="1" si="28"/>
        <v>0.80423391577543946</v>
      </c>
      <c r="F394" s="7">
        <f t="shared" ca="1" si="29"/>
        <v>2.3742746861049002E-2</v>
      </c>
      <c r="G394" s="7">
        <f t="shared" ca="1" si="25"/>
        <v>238.04776409088907</v>
      </c>
      <c r="H394" s="7">
        <f ca="1">(G394+DCF!$D$40+DCF!$D$41+DCF!$D$42-DCF!$D$43-DCF!$D$44)/DCF!$C$35</f>
        <v>1.9856347448407781</v>
      </c>
    </row>
    <row r="395" spans="3:8" x14ac:dyDescent="0.35">
      <c r="C395" s="8">
        <f t="shared" ca="1" si="26"/>
        <v>0.80410504925496396</v>
      </c>
      <c r="D395" s="7">
        <f t="shared" ca="1" si="27"/>
        <v>9.5214237759538398E-2</v>
      </c>
      <c r="E395" s="7">
        <f t="shared" ca="1" si="28"/>
        <v>0.48779587062166407</v>
      </c>
      <c r="F395" s="7">
        <f t="shared" ca="1" si="29"/>
        <v>1.9877204772825802E-2</v>
      </c>
      <c r="G395" s="7">
        <f t="shared" ca="1" si="25"/>
        <v>221.69495203971462</v>
      </c>
      <c r="H395" s="7">
        <f ca="1">(G395+DCF!$D$40+DCF!$D$41+DCF!$D$42-DCF!$D$43-DCF!$D$44)/DCF!$C$35</f>
        <v>1.8933398354199944</v>
      </c>
    </row>
    <row r="396" spans="3:8" x14ac:dyDescent="0.35">
      <c r="C396" s="8">
        <f t="shared" ca="1" si="26"/>
        <v>0.63142362295641141</v>
      </c>
      <c r="D396" s="7">
        <f t="shared" ca="1" si="27"/>
        <v>8.9718697359867525E-2</v>
      </c>
      <c r="E396" s="7">
        <f t="shared" ca="1" si="28"/>
        <v>0.83235645536377212</v>
      </c>
      <c r="F396" s="7">
        <f t="shared" ca="1" si="29"/>
        <v>2.4209602006144519E-2</v>
      </c>
      <c r="G396" s="7">
        <f t="shared" ca="1" si="25"/>
        <v>251.62657841835224</v>
      </c>
      <c r="H396" s="7">
        <f ca="1">(G396+DCF!$D$40+DCF!$D$41+DCF!$D$42-DCF!$D$43-DCF!$D$44)/DCF!$C$35</f>
        <v>2.0622732724819515</v>
      </c>
    </row>
    <row r="397" spans="3:8" x14ac:dyDescent="0.35">
      <c r="C397" s="8">
        <f t="shared" ca="1" si="26"/>
        <v>0.66303670163382078</v>
      </c>
      <c r="D397" s="7">
        <f t="shared" ca="1" si="27"/>
        <v>9.060796449630272E-2</v>
      </c>
      <c r="E397" s="7">
        <f t="shared" ca="1" si="28"/>
        <v>0.97977045935562113</v>
      </c>
      <c r="F397" s="7">
        <f t="shared" ca="1" si="29"/>
        <v>2.7988555710720335E-2</v>
      </c>
      <c r="G397" s="7">
        <f t="shared" ca="1" si="25"/>
        <v>258.96417203212508</v>
      </c>
      <c r="H397" s="7">
        <f ca="1">(G397+DCF!$D$40+DCF!$D$41+DCF!$D$42-DCF!$D$43-DCF!$D$44)/DCF!$C$35</f>
        <v>2.1036864884982789</v>
      </c>
    </row>
    <row r="398" spans="3:8" x14ac:dyDescent="0.35">
      <c r="C398" s="8">
        <f t="shared" ca="1" si="26"/>
        <v>0.27682005155698564</v>
      </c>
      <c r="D398" s="7">
        <f t="shared" ca="1" si="27"/>
        <v>8.1575012093020954E-2</v>
      </c>
      <c r="E398" s="7">
        <f t="shared" ca="1" si="28"/>
        <v>0.2167503167357131</v>
      </c>
      <c r="F398" s="7">
        <f t="shared" ca="1" si="29"/>
        <v>1.6584076499186702E-2</v>
      </c>
      <c r="G398" s="7">
        <f t="shared" ca="1" si="25"/>
        <v>263.48786304266173</v>
      </c>
      <c r="H398" s="7">
        <f ca="1">(G398+DCF!$D$40+DCF!$D$41+DCF!$D$42-DCF!$D$43-DCF!$D$44)/DCF!$C$35</f>
        <v>2.129218100477829</v>
      </c>
    </row>
    <row r="399" spans="3:8" x14ac:dyDescent="0.35">
      <c r="C399" s="8">
        <f t="shared" ca="1" si="26"/>
        <v>0.74651861567893718</v>
      </c>
      <c r="D399" s="7">
        <f t="shared" ca="1" si="27"/>
        <v>9.3180807840377522E-2</v>
      </c>
      <c r="E399" s="7">
        <f t="shared" ca="1" si="28"/>
        <v>0.59424275319269482</v>
      </c>
      <c r="F399" s="7">
        <f t="shared" ca="1" si="29"/>
        <v>2.0991590075853508E-2</v>
      </c>
      <c r="G399" s="7">
        <f t="shared" ca="1" si="25"/>
        <v>230.71398877523268</v>
      </c>
      <c r="H399" s="7">
        <f ca="1">(G399+DCF!$D$40+DCF!$D$41+DCF!$D$42-DCF!$D$43-DCF!$D$44)/DCF!$C$35</f>
        <v>1.9442430792145426</v>
      </c>
    </row>
    <row r="400" spans="3:8" x14ac:dyDescent="0.35">
      <c r="C400" s="8">
        <f t="shared" ca="1" si="26"/>
        <v>1.4136527061980653E-2</v>
      </c>
      <c r="D400" s="7">
        <f t="shared" ca="1" si="27"/>
        <v>7.2615736817418508E-2</v>
      </c>
      <c r="E400" s="7">
        <f t="shared" ca="1" si="28"/>
        <v>0.86298249655931714</v>
      </c>
      <c r="F400" s="7">
        <f t="shared" ca="1" si="29"/>
        <v>2.4765164693313017E-2</v>
      </c>
      <c r="G400" s="7">
        <f t="shared" ref="G400:G463" ca="1" si="30">$C$11/(1+D400)^1
 +$D$11/(1+D400)^2
 +$E$11/(1+D400)^3
 +$F$11/(1+D400)^4
 +$G$11/(1+D400)^5
 +$H$11/(1+D400)^6
 +$I$11/(1+D400)^7
 + ( $I$11*(1+F400)/(D400-F400) )/(1+D400)^7</f>
        <v>348.46928035296065</v>
      </c>
      <c r="H400" s="7">
        <f ca="1">(G400+DCF!$D$40+DCF!$D$41+DCF!$D$42-DCF!$D$43-DCF!$D$44)/DCF!$C$35</f>
        <v>2.6088513396148585</v>
      </c>
    </row>
    <row r="401" spans="3:8" x14ac:dyDescent="0.35">
      <c r="C401" s="8">
        <f t="shared" ref="C401:C464" ca="1" si="31">RAND()</f>
        <v>0.30796696101394672</v>
      </c>
      <c r="D401" s="7">
        <f t="shared" ref="D401:D464" ca="1" si="32">IF(C401&lt;($C$6-0.07)/(0.11-0.07),0.07+SQRT(C401*(0.11-0.07)*($C$6-0.07)),0.11-SQRT((1-C401)*(0.11-0.07)*(0.11-$C$6)))</f>
        <v>8.2209554312526134E-2</v>
      </c>
      <c r="E401" s="7">
        <f t="shared" ref="E401:E464" ca="1" si="33">RAND()</f>
        <v>0.20562423369475047</v>
      </c>
      <c r="F401" s="7">
        <f t="shared" ref="F401:F464" ca="1" si="34">MIN(
 IF(E401&lt;(0.02-0.01)/(0.03-0.01),
   0.01+SQRT(E401*(0.03-0.01)*(0.02-0.01)),
   0.03-SQRT((1-E401)*(0.03-0.01)*(0.03-0.02))
 ),
 D401-0.005
)</f>
        <v>1.6412865719703643E-2</v>
      </c>
      <c r="G401" s="7">
        <f t="shared" ca="1" si="30"/>
        <v>260.29557744195574</v>
      </c>
      <c r="H401" s="7">
        <f ca="1">(G401+DCF!$D$40+DCF!$D$41+DCF!$D$42-DCF!$D$43-DCF!$D$44)/DCF!$C$35</f>
        <v>2.1112009111748264</v>
      </c>
    </row>
    <row r="402" spans="3:8" x14ac:dyDescent="0.35">
      <c r="C402" s="8">
        <f t="shared" ca="1" si="31"/>
        <v>0.76516507817275869</v>
      </c>
      <c r="D402" s="7">
        <f t="shared" ca="1" si="32"/>
        <v>9.3811245484621081E-2</v>
      </c>
      <c r="E402" s="7">
        <f t="shared" ca="1" si="33"/>
        <v>0.69294490058049529</v>
      </c>
      <c r="F402" s="7">
        <f t="shared" ca="1" si="34"/>
        <v>2.2163481647829761E-2</v>
      </c>
      <c r="G402" s="7">
        <f t="shared" ca="1" si="30"/>
        <v>231.24128741536981</v>
      </c>
      <c r="H402" s="7">
        <f ca="1">(G402+DCF!$D$40+DCF!$D$41+DCF!$D$42-DCF!$D$43-DCF!$D$44)/DCF!$C$35</f>
        <v>1.9472191410733142</v>
      </c>
    </row>
    <row r="403" spans="3:8" x14ac:dyDescent="0.35">
      <c r="C403" s="8">
        <f t="shared" ca="1" si="31"/>
        <v>0.845667611382526</v>
      </c>
      <c r="D403" s="7">
        <f t="shared" ca="1" si="32"/>
        <v>9.6876168787389069E-2</v>
      </c>
      <c r="E403" s="7">
        <f t="shared" ca="1" si="33"/>
        <v>0.17470029210920424</v>
      </c>
      <c r="F403" s="7">
        <f t="shared" ca="1" si="34"/>
        <v>1.5911011624234962E-2</v>
      </c>
      <c r="G403" s="7">
        <f t="shared" ca="1" si="30"/>
        <v>209.25387569062042</v>
      </c>
      <c r="H403" s="7">
        <f ca="1">(G403+DCF!$D$40+DCF!$D$41+DCF!$D$42-DCF!$D$43-DCF!$D$44)/DCF!$C$35</f>
        <v>1.8231226757569725</v>
      </c>
    </row>
    <row r="404" spans="3:8" x14ac:dyDescent="0.35">
      <c r="C404" s="8">
        <f t="shared" ca="1" si="31"/>
        <v>0.33400191832382209</v>
      </c>
      <c r="D404" s="7">
        <f t="shared" ca="1" si="32"/>
        <v>8.2737317462314636E-2</v>
      </c>
      <c r="E404" s="7">
        <f t="shared" ca="1" si="33"/>
        <v>0.32781496039715385</v>
      </c>
      <c r="F404" s="7">
        <f t="shared" ca="1" si="34"/>
        <v>1.8097097756568755E-2</v>
      </c>
      <c r="G404" s="7">
        <f t="shared" ca="1" si="30"/>
        <v>263.0157136092638</v>
      </c>
      <c r="H404" s="7">
        <f ca="1">(G404+DCF!$D$40+DCF!$D$41+DCF!$D$42-DCF!$D$43-DCF!$D$44)/DCF!$C$35</f>
        <v>2.1265532995217504</v>
      </c>
    </row>
    <row r="405" spans="3:8" x14ac:dyDescent="0.35">
      <c r="C405" s="8">
        <f t="shared" ca="1" si="31"/>
        <v>0.94966463312437432</v>
      </c>
      <c r="D405" s="7">
        <f t="shared" ca="1" si="32"/>
        <v>0.10250505040489276</v>
      </c>
      <c r="E405" s="7">
        <f t="shared" ca="1" si="33"/>
        <v>0.98350278039030581</v>
      </c>
      <c r="F405" s="7">
        <f t="shared" ca="1" si="34"/>
        <v>2.8183562849438813E-2</v>
      </c>
      <c r="G405" s="7">
        <f t="shared" ca="1" si="30"/>
        <v>216.10964731028756</v>
      </c>
      <c r="H405" s="7">
        <f ca="1">(G405+DCF!$D$40+DCF!$D$41+DCF!$D$42-DCF!$D$43-DCF!$D$44)/DCF!$C$35</f>
        <v>1.8618164990985862</v>
      </c>
    </row>
    <row r="406" spans="3:8" x14ac:dyDescent="0.35">
      <c r="C406" s="8">
        <f t="shared" ca="1" si="31"/>
        <v>0.58561348245672828</v>
      </c>
      <c r="D406" s="7">
        <f t="shared" ca="1" si="32"/>
        <v>8.8495224865665509E-2</v>
      </c>
      <c r="E406" s="7">
        <f t="shared" ca="1" si="33"/>
        <v>0.77159245778094254</v>
      </c>
      <c r="F406" s="7">
        <f t="shared" ca="1" si="34"/>
        <v>2.3241190308655561E-2</v>
      </c>
      <c r="G406" s="7">
        <f t="shared" ca="1" si="30"/>
        <v>253.86827522687517</v>
      </c>
      <c r="H406" s="7">
        <f ca="1">(G406+DCF!$D$40+DCF!$D$41+DCF!$D$42-DCF!$D$43-DCF!$D$44)/DCF!$C$35</f>
        <v>2.0749253596730735</v>
      </c>
    </row>
    <row r="407" spans="3:8" x14ac:dyDescent="0.35">
      <c r="C407" s="8">
        <f t="shared" ca="1" si="31"/>
        <v>0.21291599511780279</v>
      </c>
      <c r="D407" s="7">
        <f t="shared" ca="1" si="32"/>
        <v>8.0151420670872456E-2</v>
      </c>
      <c r="E407" s="7">
        <f t="shared" ca="1" si="33"/>
        <v>0.9578428022127643</v>
      </c>
      <c r="F407" s="7">
        <f t="shared" ca="1" si="34"/>
        <v>2.7096305877430071E-2</v>
      </c>
      <c r="G407" s="7">
        <f t="shared" ca="1" si="30"/>
        <v>309.27276342291708</v>
      </c>
      <c r="H407" s="7">
        <f ca="1">(G407+DCF!$D$40+DCF!$D$41+DCF!$D$42-DCF!$D$43-DCF!$D$44)/DCF!$C$35</f>
        <v>2.387627065260848</v>
      </c>
    </row>
    <row r="408" spans="3:8" x14ac:dyDescent="0.35">
      <c r="C408" s="8">
        <f t="shared" ca="1" si="31"/>
        <v>0.53363333938645996</v>
      </c>
      <c r="D408" s="7">
        <f t="shared" ca="1" si="32"/>
        <v>8.7186293741596685E-2</v>
      </c>
      <c r="E408" s="7">
        <f t="shared" ca="1" si="33"/>
        <v>0.55014199963685506</v>
      </c>
      <c r="F408" s="7">
        <f t="shared" ca="1" si="34"/>
        <v>2.0514663945192614E-2</v>
      </c>
      <c r="G408" s="7">
        <f t="shared" ca="1" si="30"/>
        <v>251.53559574594675</v>
      </c>
      <c r="H408" s="7">
        <f ca="1">(G408+DCF!$D$40+DCF!$D$41+DCF!$D$42-DCF!$D$43-DCF!$D$44)/DCF!$C$35</f>
        <v>2.0617597682918318</v>
      </c>
    </row>
    <row r="409" spans="3:8" x14ac:dyDescent="0.35">
      <c r="C409" s="8">
        <f t="shared" ca="1" si="31"/>
        <v>0.81009487559765847</v>
      </c>
      <c r="D409" s="7">
        <f t="shared" ca="1" si="32"/>
        <v>9.5442042765792545E-2</v>
      </c>
      <c r="E409" s="7">
        <f t="shared" ca="1" si="33"/>
        <v>0.39409302887788644</v>
      </c>
      <c r="F409" s="7">
        <f t="shared" ca="1" si="34"/>
        <v>1.887798433066748E-2</v>
      </c>
      <c r="G409" s="7">
        <f t="shared" ca="1" si="30"/>
        <v>218.97137435067765</v>
      </c>
      <c r="H409" s="7">
        <f ca="1">(G409+DCF!$D$40+DCF!$D$41+DCF!$D$42-DCF!$D$43-DCF!$D$44)/DCF!$C$35</f>
        <v>1.8779680232005735</v>
      </c>
    </row>
    <row r="410" spans="3:8" x14ac:dyDescent="0.35">
      <c r="C410" s="8">
        <f t="shared" ca="1" si="31"/>
        <v>6.7980672509883378E-2</v>
      </c>
      <c r="D410" s="7">
        <f t="shared" ca="1" si="32"/>
        <v>7.5736082765684581E-2</v>
      </c>
      <c r="E410" s="7">
        <f t="shared" ca="1" si="33"/>
        <v>0.39492909170222212</v>
      </c>
      <c r="F410" s="7">
        <f t="shared" ca="1" si="34"/>
        <v>1.8887396600829987E-2</v>
      </c>
      <c r="G410" s="7">
        <f t="shared" ca="1" si="30"/>
        <v>299.92483076316489</v>
      </c>
      <c r="H410" s="7">
        <f ca="1">(G410+DCF!$D$40+DCF!$D$41+DCF!$D$42-DCF!$D$43-DCF!$D$44)/DCF!$C$35</f>
        <v>2.3348675401465453</v>
      </c>
    </row>
    <row r="411" spans="3:8" x14ac:dyDescent="0.35">
      <c r="C411" s="8">
        <f t="shared" ca="1" si="31"/>
        <v>0.60736294383972089</v>
      </c>
      <c r="D411" s="7">
        <f t="shared" ca="1" si="32"/>
        <v>8.9067179963634349E-2</v>
      </c>
      <c r="E411" s="7">
        <f t="shared" ca="1" si="33"/>
        <v>0.71569050152432778</v>
      </c>
      <c r="F411" s="7">
        <f t="shared" ca="1" si="34"/>
        <v>2.2459317027275681E-2</v>
      </c>
      <c r="G411" s="7">
        <f t="shared" ca="1" si="30"/>
        <v>249.39326174339584</v>
      </c>
      <c r="H411" s="7">
        <f ca="1">(G411+DCF!$D$40+DCF!$D$41+DCF!$D$42-DCF!$D$43-DCF!$D$44)/DCF!$C$35</f>
        <v>2.0496684825792744</v>
      </c>
    </row>
    <row r="412" spans="3:8" x14ac:dyDescent="0.35">
      <c r="C412" s="8">
        <f t="shared" ca="1" si="31"/>
        <v>5.4912102111570382E-2</v>
      </c>
      <c r="D412" s="7">
        <f t="shared" ca="1" si="32"/>
        <v>7.515533291087978E-2</v>
      </c>
      <c r="E412" s="7">
        <f t="shared" ca="1" si="33"/>
        <v>0.90925458624097066</v>
      </c>
      <c r="F412" s="7">
        <f t="shared" ca="1" si="34"/>
        <v>2.5739825971652582E-2</v>
      </c>
      <c r="G412" s="7">
        <f t="shared" ca="1" si="30"/>
        <v>335.32141203713934</v>
      </c>
      <c r="H412" s="7">
        <f ca="1">(G412+DCF!$D$40+DCF!$D$41+DCF!$D$42-DCF!$D$43-DCF!$D$44)/DCF!$C$35</f>
        <v>2.5346450617289729</v>
      </c>
    </row>
    <row r="413" spans="3:8" x14ac:dyDescent="0.35">
      <c r="C413" s="8">
        <f t="shared" ca="1" si="31"/>
        <v>2.1923812862795433E-2</v>
      </c>
      <c r="D413" s="7">
        <f t="shared" ca="1" si="32"/>
        <v>7.3257472244792426E-2</v>
      </c>
      <c r="E413" s="7">
        <f t="shared" ca="1" si="33"/>
        <v>0.81914479306529997</v>
      </c>
      <c r="F413" s="7">
        <f t="shared" ca="1" si="34"/>
        <v>2.398576344105588E-2</v>
      </c>
      <c r="G413" s="7">
        <f t="shared" ca="1" si="30"/>
        <v>339.37535032034475</v>
      </c>
      <c r="H413" s="7">
        <f ca="1">(G413+DCF!$D$40+DCF!$D$41+DCF!$D$42-DCF!$D$43-DCF!$D$44)/DCF!$C$35</f>
        <v>2.5575253997084593</v>
      </c>
    </row>
    <row r="414" spans="3:8" x14ac:dyDescent="0.35">
      <c r="C414" s="8">
        <f t="shared" ca="1" si="31"/>
        <v>0.93098978510058195</v>
      </c>
      <c r="D414" s="7">
        <f t="shared" ca="1" si="32"/>
        <v>0.10122415816985342</v>
      </c>
      <c r="E414" s="7">
        <f t="shared" ca="1" si="33"/>
        <v>0.28723933920667166</v>
      </c>
      <c r="F414" s="7">
        <f t="shared" ca="1" si="34"/>
        <v>1.7579437171804668E-2</v>
      </c>
      <c r="G414" s="7">
        <f t="shared" ca="1" si="30"/>
        <v>200.49548199104319</v>
      </c>
      <c r="H414" s="7">
        <f ca="1">(G414+DCF!$D$40+DCF!$D$41+DCF!$D$42-DCF!$D$43-DCF!$D$44)/DCF!$C$35</f>
        <v>1.7736904954907056</v>
      </c>
    </row>
    <row r="415" spans="3:8" x14ac:dyDescent="0.35">
      <c r="C415" s="8">
        <f t="shared" ca="1" si="31"/>
        <v>0.53788756116837511</v>
      </c>
      <c r="D415" s="7">
        <f t="shared" ca="1" si="32"/>
        <v>8.7290586054763697E-2</v>
      </c>
      <c r="E415" s="7">
        <f t="shared" ca="1" si="33"/>
        <v>0.93785176854145824</v>
      </c>
      <c r="F415" s="7">
        <f t="shared" ca="1" si="34"/>
        <v>2.6474429650154695E-2</v>
      </c>
      <c r="G415" s="7">
        <f t="shared" ca="1" si="30"/>
        <v>269.0163866039386</v>
      </c>
      <c r="H415" s="7">
        <f ca="1">(G415+DCF!$D$40+DCF!$D$41+DCF!$D$42-DCF!$D$43-DCF!$D$44)/DCF!$C$35</f>
        <v>2.1604209651424462</v>
      </c>
    </row>
    <row r="416" spans="3:8" x14ac:dyDescent="0.35">
      <c r="C416" s="8">
        <f t="shared" ca="1" si="31"/>
        <v>0.34172128809475133</v>
      </c>
      <c r="D416" s="7">
        <f t="shared" ca="1" si="32"/>
        <v>8.2895774453302359E-2</v>
      </c>
      <c r="E416" s="7">
        <f t="shared" ca="1" si="33"/>
        <v>0.90460185716415553</v>
      </c>
      <c r="F416" s="7">
        <f t="shared" ca="1" si="34"/>
        <v>2.5631976583491235E-2</v>
      </c>
      <c r="G416" s="7">
        <f t="shared" ca="1" si="30"/>
        <v>287.7073501929039</v>
      </c>
      <c r="H416" s="7">
        <f ca="1">(G416+DCF!$D$40+DCF!$D$41+DCF!$D$42-DCF!$D$43-DCF!$D$44)/DCF!$C$35</f>
        <v>2.265912350112337</v>
      </c>
    </row>
    <row r="417" spans="3:8" x14ac:dyDescent="0.35">
      <c r="C417" s="8">
        <f t="shared" ca="1" si="31"/>
        <v>0.58637926932318796</v>
      </c>
      <c r="D417" s="7">
        <f t="shared" ca="1" si="32"/>
        <v>8.8515104481628915E-2</v>
      </c>
      <c r="E417" s="7">
        <f t="shared" ca="1" si="33"/>
        <v>0.86655568127368832</v>
      </c>
      <c r="F417" s="7">
        <f t="shared" ca="1" si="34"/>
        <v>2.4833873429225495E-2</v>
      </c>
      <c r="G417" s="7">
        <f t="shared" ca="1" si="30"/>
        <v>258.42777176993854</v>
      </c>
      <c r="H417" s="7">
        <f ca="1">(G417+DCF!$D$40+DCF!$D$41+DCF!$D$42-DCF!$D$43-DCF!$D$44)/DCF!$C$35</f>
        <v>2.1006590572860286</v>
      </c>
    </row>
    <row r="418" spans="3:8" x14ac:dyDescent="0.35">
      <c r="C418" s="8">
        <f t="shared" ca="1" si="31"/>
        <v>0.78940110515306372</v>
      </c>
      <c r="D418" s="7">
        <f t="shared" ca="1" si="32"/>
        <v>9.4669365093083047E-2</v>
      </c>
      <c r="E418" s="7">
        <f t="shared" ca="1" si="33"/>
        <v>0.19759282512269039</v>
      </c>
      <c r="F418" s="7">
        <f t="shared" ca="1" si="34"/>
        <v>1.6286379325536924E-2</v>
      </c>
      <c r="G418" s="7">
        <f t="shared" ca="1" si="30"/>
        <v>216.23827554448962</v>
      </c>
      <c r="H418" s="7">
        <f ca="1">(G418+DCF!$D$40+DCF!$D$41+DCF!$D$42-DCF!$D$43-DCF!$D$44)/DCF!$C$35</f>
        <v>1.8625424740066012</v>
      </c>
    </row>
    <row r="419" spans="3:8" x14ac:dyDescent="0.35">
      <c r="C419" s="8">
        <f t="shared" ca="1" si="31"/>
        <v>0.86772301707152166</v>
      </c>
      <c r="D419" s="7">
        <f t="shared" ca="1" si="32"/>
        <v>9.7850057080455827E-2</v>
      </c>
      <c r="E419" s="7">
        <f t="shared" ca="1" si="33"/>
        <v>0.85589163145636526</v>
      </c>
      <c r="F419" s="7">
        <f t="shared" ca="1" si="34"/>
        <v>2.4631417905188843E-2</v>
      </c>
      <c r="G419" s="7">
        <f t="shared" ca="1" si="30"/>
        <v>223.3203651516242</v>
      </c>
      <c r="H419" s="7">
        <f ca="1">(G419+DCF!$D$40+DCF!$D$41+DCF!$D$42-DCF!$D$43-DCF!$D$44)/DCF!$C$35</f>
        <v>1.902513631062333</v>
      </c>
    </row>
    <row r="420" spans="3:8" x14ac:dyDescent="0.35">
      <c r="C420" s="8">
        <f t="shared" ca="1" si="31"/>
        <v>0.4001599744267329</v>
      </c>
      <c r="D420" s="7">
        <f t="shared" ca="1" si="32"/>
        <v>8.4126819512480383E-2</v>
      </c>
      <c r="E420" s="7">
        <f t="shared" ca="1" si="33"/>
        <v>0.99182829141687667</v>
      </c>
      <c r="F420" s="7">
        <f t="shared" ca="1" si="34"/>
        <v>2.872158624982963E-2</v>
      </c>
      <c r="G420" s="7">
        <f t="shared" ca="1" si="30"/>
        <v>293.20808497053929</v>
      </c>
      <c r="H420" s="7">
        <f ca="1">(G420+DCF!$D$40+DCF!$D$41+DCF!$D$42-DCF!$D$43-DCF!$D$44)/DCF!$C$35</f>
        <v>2.2969583754968919</v>
      </c>
    </row>
    <row r="421" spans="3:8" x14ac:dyDescent="0.35">
      <c r="C421" s="8">
        <f t="shared" ca="1" si="31"/>
        <v>0.21157458372778559</v>
      </c>
      <c r="D421" s="7">
        <f t="shared" ca="1" si="32"/>
        <v>8.0119392201325551E-2</v>
      </c>
      <c r="E421" s="7">
        <f t="shared" ca="1" si="33"/>
        <v>0.53011511296161085</v>
      </c>
      <c r="F421" s="7">
        <f t="shared" ca="1" si="34"/>
        <v>2.0305827657418202E-2</v>
      </c>
      <c r="G421" s="7">
        <f t="shared" ca="1" si="30"/>
        <v>282.30083789039503</v>
      </c>
      <c r="H421" s="7">
        <f ca="1">(G421+DCF!$D$40+DCF!$D$41+DCF!$D$42-DCF!$D$43-DCF!$D$44)/DCF!$C$35</f>
        <v>2.2353981142927815</v>
      </c>
    </row>
    <row r="422" spans="3:8" x14ac:dyDescent="0.35">
      <c r="C422" s="8">
        <f t="shared" ca="1" si="31"/>
        <v>0.50928856019680147</v>
      </c>
      <c r="D422" s="7">
        <f t="shared" ca="1" si="32"/>
        <v>8.6598419565756479E-2</v>
      </c>
      <c r="E422" s="7">
        <f t="shared" ca="1" si="33"/>
        <v>0.88026690831863419</v>
      </c>
      <c r="F422" s="7">
        <f t="shared" ca="1" si="34"/>
        <v>2.5106471790591868E-2</v>
      </c>
      <c r="G422" s="7">
        <f t="shared" ca="1" si="30"/>
        <v>267.7301885936356</v>
      </c>
      <c r="H422" s="7">
        <f ca="1">(G422+DCF!$D$40+DCF!$D$41+DCF!$D$42-DCF!$D$43-DCF!$D$44)/DCF!$C$35</f>
        <v>2.1531616920286463</v>
      </c>
    </row>
    <row r="423" spans="3:8" x14ac:dyDescent="0.35">
      <c r="C423" s="8">
        <f t="shared" ca="1" si="31"/>
        <v>1.4363555943851858E-2</v>
      </c>
      <c r="D423" s="7">
        <f t="shared" ca="1" si="32"/>
        <v>7.2636657178478906E-2</v>
      </c>
      <c r="E423" s="7">
        <f t="shared" ca="1" si="33"/>
        <v>0.65405717139785913</v>
      </c>
      <c r="F423" s="7">
        <f t="shared" ca="1" si="34"/>
        <v>2.1682033558589685E-2</v>
      </c>
      <c r="G423" s="7">
        <f t="shared" ca="1" si="30"/>
        <v>331.59066761539128</v>
      </c>
      <c r="H423" s="7">
        <f ca="1">(G423+DCF!$D$40+DCF!$D$41+DCF!$D$42-DCF!$D$43-DCF!$D$44)/DCF!$C$35</f>
        <v>2.5135888227530829</v>
      </c>
    </row>
    <row r="424" spans="3:8" x14ac:dyDescent="0.35">
      <c r="C424" s="8">
        <f t="shared" ca="1" si="31"/>
        <v>0.99867802526533389</v>
      </c>
      <c r="D424" s="7">
        <f t="shared" ca="1" si="32"/>
        <v>0.10878537091921552</v>
      </c>
      <c r="E424" s="7">
        <f t="shared" ca="1" si="33"/>
        <v>0.28297301726343727</v>
      </c>
      <c r="F424" s="7">
        <f t="shared" ca="1" si="34"/>
        <v>1.7522938485238827E-2</v>
      </c>
      <c r="G424" s="7">
        <f t="shared" ca="1" si="30"/>
        <v>182.65959617514716</v>
      </c>
      <c r="H424" s="7">
        <f ca="1">(G424+DCF!$D$40+DCF!$D$41+DCF!$D$42-DCF!$D$43-DCF!$D$44)/DCF!$C$35</f>
        <v>1.6730251505539404</v>
      </c>
    </row>
    <row r="425" spans="3:8" x14ac:dyDescent="0.35">
      <c r="C425" s="8">
        <f t="shared" ca="1" si="31"/>
        <v>0.16005128338830044</v>
      </c>
      <c r="D425" s="7">
        <f t="shared" ca="1" si="32"/>
        <v>7.8801410180189171E-2</v>
      </c>
      <c r="E425" s="7">
        <f t="shared" ca="1" si="33"/>
        <v>0.56089557069157547</v>
      </c>
      <c r="F425" s="7">
        <f t="shared" ca="1" si="34"/>
        <v>2.0628720158821161E-2</v>
      </c>
      <c r="G425" s="7">
        <f t="shared" ca="1" si="30"/>
        <v>290.20078507282301</v>
      </c>
      <c r="H425" s="7">
        <f ca="1">(G425+DCF!$D$40+DCF!$D$41+DCF!$D$42-DCF!$D$43-DCF!$D$44)/DCF!$C$35</f>
        <v>2.2799852414088666</v>
      </c>
    </row>
    <row r="426" spans="3:8" x14ac:dyDescent="0.35">
      <c r="C426" s="8">
        <f t="shared" ca="1" si="31"/>
        <v>0.44971514977762506</v>
      </c>
      <c r="D426" s="7">
        <f t="shared" ca="1" si="32"/>
        <v>8.5218597843379193E-2</v>
      </c>
      <c r="E426" s="7">
        <f t="shared" ca="1" si="33"/>
        <v>0.61797030956311438</v>
      </c>
      <c r="F426" s="7">
        <f t="shared" ca="1" si="34"/>
        <v>2.1258950973288324E-2</v>
      </c>
      <c r="G426" s="7">
        <f t="shared" ca="1" si="30"/>
        <v>261.83160196044412</v>
      </c>
      <c r="H426" s="7">
        <f ca="1">(G426+DCF!$D$40+DCF!$D$41+DCF!$D$42-DCF!$D$43-DCF!$D$44)/DCF!$C$35</f>
        <v>2.119870199573564</v>
      </c>
    </row>
    <row r="427" spans="3:8" x14ac:dyDescent="0.35">
      <c r="C427" s="8">
        <f t="shared" ca="1" si="31"/>
        <v>0.72307242466021793</v>
      </c>
      <c r="D427" s="7">
        <f t="shared" ca="1" si="32"/>
        <v>9.2420148633188148E-2</v>
      </c>
      <c r="E427" s="7">
        <f t="shared" ca="1" si="33"/>
        <v>0.40476232107500842</v>
      </c>
      <c r="F427" s="7">
        <f t="shared" ca="1" si="34"/>
        <v>1.8997358735484637E-2</v>
      </c>
      <c r="G427" s="7">
        <f t="shared" ca="1" si="30"/>
        <v>228.80835574921517</v>
      </c>
      <c r="H427" s="7">
        <f ca="1">(G427+DCF!$D$40+DCF!$D$41+DCF!$D$42-DCF!$D$43-DCF!$D$44)/DCF!$C$35</f>
        <v>1.9334877285766741</v>
      </c>
    </row>
    <row r="428" spans="3:8" x14ac:dyDescent="0.35">
      <c r="C428" s="8">
        <f t="shared" ca="1" si="31"/>
        <v>0.50215442183487169</v>
      </c>
      <c r="D428" s="7">
        <f t="shared" ca="1" si="32"/>
        <v>8.6428923121073087E-2</v>
      </c>
      <c r="E428" s="7">
        <f t="shared" ca="1" si="33"/>
        <v>0.45773691665554983</v>
      </c>
      <c r="F428" s="7">
        <f t="shared" ca="1" si="34"/>
        <v>1.9568039680682242E-2</v>
      </c>
      <c r="G428" s="7">
        <f t="shared" ca="1" si="30"/>
        <v>251.95548857851816</v>
      </c>
      <c r="H428" s="7">
        <f ca="1">(G428+DCF!$D$40+DCF!$D$41+DCF!$D$42-DCF!$D$43-DCF!$D$44)/DCF!$C$35</f>
        <v>2.0641296341489905</v>
      </c>
    </row>
    <row r="429" spans="3:8" x14ac:dyDescent="0.35">
      <c r="C429" s="8">
        <f t="shared" ca="1" si="31"/>
        <v>0.39503385093445675</v>
      </c>
      <c r="D429" s="7">
        <f t="shared" ca="1" si="32"/>
        <v>8.4016500960087268E-2</v>
      </c>
      <c r="E429" s="7">
        <f t="shared" ca="1" si="33"/>
        <v>0.1679240070068051</v>
      </c>
      <c r="F429" s="7">
        <f t="shared" ca="1" si="34"/>
        <v>1.5795239546503755E-2</v>
      </c>
      <c r="G429" s="7">
        <f t="shared" ca="1" si="30"/>
        <v>251.26909708630069</v>
      </c>
      <c r="H429" s="7">
        <f ca="1">(G429+DCF!$D$40+DCF!$D$41+DCF!$D$42-DCF!$D$43-DCF!$D$44)/DCF!$C$35</f>
        <v>2.0602556557529104</v>
      </c>
    </row>
    <row r="430" spans="3:8" x14ac:dyDescent="0.35">
      <c r="C430" s="8">
        <f t="shared" ca="1" si="31"/>
        <v>0.28273296209730769</v>
      </c>
      <c r="D430" s="7">
        <f t="shared" ca="1" si="32"/>
        <v>8.169798075118509E-2</v>
      </c>
      <c r="E430" s="7">
        <f t="shared" ca="1" si="33"/>
        <v>0.87222081798799556</v>
      </c>
      <c r="F430" s="7">
        <f t="shared" ca="1" si="34"/>
        <v>2.4944721926303075E-2</v>
      </c>
      <c r="G430" s="7">
        <f t="shared" ca="1" si="30"/>
        <v>291.41706937013851</v>
      </c>
      <c r="H430" s="7">
        <f ca="1">(G430+DCF!$D$40+DCF!$D$41+DCF!$D$42-DCF!$D$43-DCF!$D$44)/DCF!$C$35</f>
        <v>2.2868499230733632</v>
      </c>
    </row>
    <row r="431" spans="3:8" x14ac:dyDescent="0.35">
      <c r="C431" s="8">
        <f t="shared" ca="1" si="31"/>
        <v>0.17565384265259842</v>
      </c>
      <c r="D431" s="7">
        <f t="shared" ca="1" si="32"/>
        <v>7.9220437074448133E-2</v>
      </c>
      <c r="E431" s="7">
        <f t="shared" ca="1" si="33"/>
        <v>0.44114742824822339</v>
      </c>
      <c r="F431" s="7">
        <f t="shared" ca="1" si="34"/>
        <v>1.9393055181869456E-2</v>
      </c>
      <c r="G431" s="7">
        <f t="shared" ca="1" si="30"/>
        <v>283.52708023733067</v>
      </c>
      <c r="H431" s="7">
        <f ca="1">(G431+DCF!$D$40+DCF!$D$41+DCF!$D$42-DCF!$D$43-DCF!$D$44)/DCF!$C$35</f>
        <v>2.2423189989690182</v>
      </c>
    </row>
    <row r="432" spans="3:8" x14ac:dyDescent="0.35">
      <c r="C432" s="8">
        <f t="shared" ca="1" si="31"/>
        <v>0.44806104381468559</v>
      </c>
      <c r="D432" s="7">
        <f t="shared" ca="1" si="32"/>
        <v>8.5181380475481502E-2</v>
      </c>
      <c r="E432" s="7">
        <f t="shared" ca="1" si="33"/>
        <v>0.56407343786510189</v>
      </c>
      <c r="F432" s="7">
        <f t="shared" ca="1" si="34"/>
        <v>2.0662692442305459E-2</v>
      </c>
      <c r="G432" s="7">
        <f t="shared" ca="1" si="30"/>
        <v>260.2085242596749</v>
      </c>
      <c r="H432" s="7">
        <f ca="1">(G432+DCF!$D$40+DCF!$D$41+DCF!$D$42-DCF!$D$43-DCF!$D$44)/DCF!$C$35</f>
        <v>2.1107095849400319</v>
      </c>
    </row>
    <row r="433" spans="3:8" x14ac:dyDescent="0.35">
      <c r="C433" s="8">
        <f t="shared" ca="1" si="31"/>
        <v>0.17403131693664931</v>
      </c>
      <c r="D433" s="7">
        <f t="shared" ca="1" si="32"/>
        <v>7.9177753395975423E-2</v>
      </c>
      <c r="E433" s="7">
        <f t="shared" ca="1" si="33"/>
        <v>0.81316258269111774</v>
      </c>
      <c r="F433" s="7">
        <f t="shared" ca="1" si="34"/>
        <v>2.3887105148804173E-2</v>
      </c>
      <c r="G433" s="7">
        <f t="shared" ca="1" si="30"/>
        <v>301.08072919186685</v>
      </c>
      <c r="H433" s="7">
        <f ca="1">(G433+DCF!$D$40+DCF!$D$41+DCF!$D$42-DCF!$D$43-DCF!$D$44)/DCF!$C$35</f>
        <v>2.3413914053045874</v>
      </c>
    </row>
    <row r="434" spans="3:8" x14ac:dyDescent="0.35">
      <c r="C434" s="8">
        <f t="shared" ca="1" si="31"/>
        <v>0.55361145204891915</v>
      </c>
      <c r="D434" s="7">
        <f t="shared" ca="1" si="32"/>
        <v>8.7680286303059213E-2</v>
      </c>
      <c r="E434" s="7">
        <f t="shared" ca="1" si="33"/>
        <v>3.3053752316409835E-2</v>
      </c>
      <c r="F434" s="7">
        <f t="shared" ca="1" si="34"/>
        <v>1.2571137970487381E-2</v>
      </c>
      <c r="G434" s="7">
        <f t="shared" ca="1" si="30"/>
        <v>230.42252916337438</v>
      </c>
      <c r="H434" s="7">
        <f ca="1">(G434+DCF!$D$40+DCF!$D$41+DCF!$D$42-DCF!$D$43-DCF!$D$44)/DCF!$C$35</f>
        <v>1.9425980876135815</v>
      </c>
    </row>
    <row r="435" spans="3:8" x14ac:dyDescent="0.35">
      <c r="C435" s="8">
        <f t="shared" ca="1" si="31"/>
        <v>0.15041352670298314</v>
      </c>
      <c r="D435" s="7">
        <f t="shared" ca="1" si="32"/>
        <v>7.8532300212969766E-2</v>
      </c>
      <c r="E435" s="7">
        <f t="shared" ca="1" si="33"/>
        <v>0.37450220955427171</v>
      </c>
      <c r="F435" s="7">
        <f t="shared" ca="1" si="34"/>
        <v>1.8654504140091122E-2</v>
      </c>
      <c r="G435" s="7">
        <f t="shared" ca="1" si="30"/>
        <v>284.32795303305232</v>
      </c>
      <c r="H435" s="7">
        <f ca="1">(G435+DCF!$D$40+DCF!$D$41+DCF!$D$42-DCF!$D$43-DCF!$D$44)/DCF!$C$35</f>
        <v>2.2468391073092464</v>
      </c>
    </row>
    <row r="436" spans="3:8" x14ac:dyDescent="0.35">
      <c r="C436" s="8">
        <f t="shared" ca="1" si="31"/>
        <v>8.8109052684416267E-2</v>
      </c>
      <c r="D436" s="7">
        <f t="shared" ca="1" si="32"/>
        <v>7.6530297198386735E-2</v>
      </c>
      <c r="E436" s="7">
        <f t="shared" ca="1" si="33"/>
        <v>0.79904502064381799</v>
      </c>
      <c r="F436" s="7">
        <f t="shared" ca="1" si="34"/>
        <v>2.3660363112035801E-2</v>
      </c>
      <c r="G436" s="7">
        <f t="shared" ca="1" si="30"/>
        <v>315.85788936022163</v>
      </c>
      <c r="H436" s="7">
        <f ca="1">(G436+DCF!$D$40+DCF!$D$41+DCF!$D$42-DCF!$D$43-DCF!$D$44)/DCF!$C$35</f>
        <v>2.4247933703590792</v>
      </c>
    </row>
    <row r="437" spans="3:8" x14ac:dyDescent="0.35">
      <c r="C437" s="8">
        <f t="shared" ca="1" si="31"/>
        <v>0.88467727698823018</v>
      </c>
      <c r="D437" s="7">
        <f t="shared" ca="1" si="32"/>
        <v>9.8655390756789585E-2</v>
      </c>
      <c r="E437" s="7">
        <f t="shared" ca="1" si="33"/>
        <v>0.27778614275629832</v>
      </c>
      <c r="F437" s="7">
        <f t="shared" ca="1" si="34"/>
        <v>1.745367215211802E-2</v>
      </c>
      <c r="G437" s="7">
        <f t="shared" ca="1" si="30"/>
        <v>207.07315529550215</v>
      </c>
      <c r="H437" s="7">
        <f ca="1">(G437+DCF!$D$40+DCF!$D$41+DCF!$D$42-DCF!$D$43-DCF!$D$44)/DCF!$C$35</f>
        <v>1.8108147380940407</v>
      </c>
    </row>
    <row r="438" spans="3:8" x14ac:dyDescent="0.35">
      <c r="C438" s="8">
        <f t="shared" ca="1" si="31"/>
        <v>0.14776637927011771</v>
      </c>
      <c r="D438" s="7">
        <f t="shared" ca="1" si="32"/>
        <v>7.8456886399067755E-2</v>
      </c>
      <c r="E438" s="7">
        <f t="shared" ca="1" si="33"/>
        <v>0.91565338255412732</v>
      </c>
      <c r="F438" s="7">
        <f t="shared" ca="1" si="34"/>
        <v>2.5892771799720091E-2</v>
      </c>
      <c r="G438" s="7">
        <f t="shared" ca="1" si="30"/>
        <v>314.19289446646593</v>
      </c>
      <c r="H438" s="7">
        <f ca="1">(G438+DCF!$D$40+DCF!$D$41+DCF!$D$42-DCF!$D$43-DCF!$D$44)/DCF!$C$35</f>
        <v>2.4153961760157237</v>
      </c>
    </row>
    <row r="439" spans="3:8" x14ac:dyDescent="0.35">
      <c r="C439" s="8">
        <f t="shared" ca="1" si="31"/>
        <v>0.35003602830267022</v>
      </c>
      <c r="D439" s="7">
        <f t="shared" ca="1" si="32"/>
        <v>8.3067495615627956E-2</v>
      </c>
      <c r="E439" s="7">
        <f t="shared" ca="1" si="33"/>
        <v>0.74193711087062841</v>
      </c>
      <c r="F439" s="7">
        <f t="shared" ca="1" si="34"/>
        <v>2.2815810565841522E-2</v>
      </c>
      <c r="G439" s="7">
        <f t="shared" ca="1" si="30"/>
        <v>276.65021225061543</v>
      </c>
      <c r="H439" s="7">
        <f ca="1">(G439+DCF!$D$40+DCF!$D$41+DCF!$D$42-DCF!$D$43-DCF!$D$44)/DCF!$C$35</f>
        <v>2.2035061081985292</v>
      </c>
    </row>
    <row r="440" spans="3:8" x14ac:dyDescent="0.35">
      <c r="C440" s="8">
        <f t="shared" ca="1" si="31"/>
        <v>0.23140109459361113</v>
      </c>
      <c r="D440" s="7">
        <f t="shared" ca="1" si="32"/>
        <v>8.0582916884456193E-2</v>
      </c>
      <c r="E440" s="7">
        <f t="shared" ca="1" si="33"/>
        <v>1.9089556443077083E-3</v>
      </c>
      <c r="F440" s="7">
        <f t="shared" ca="1" si="34"/>
        <v>1.0617892489727413E-2</v>
      </c>
      <c r="G440" s="7">
        <f t="shared" ca="1" si="30"/>
        <v>250.94669631002284</v>
      </c>
      <c r="H440" s="7">
        <f ca="1">(G440+DCF!$D$40+DCF!$D$41+DCF!$D$42-DCF!$D$43-DCF!$D$44)/DCF!$C$35</f>
        <v>2.0584360329045199</v>
      </c>
    </row>
    <row r="441" spans="3:8" x14ac:dyDescent="0.35">
      <c r="C441" s="8">
        <f t="shared" ca="1" si="31"/>
        <v>0.13741631004256849</v>
      </c>
      <c r="D441" s="7">
        <f t="shared" ca="1" si="32"/>
        <v>7.8155335312579316E-2</v>
      </c>
      <c r="E441" s="7">
        <f t="shared" ca="1" si="33"/>
        <v>0.61007189178347421</v>
      </c>
      <c r="F441" s="7">
        <f t="shared" ca="1" si="34"/>
        <v>2.1169053185342741E-2</v>
      </c>
      <c r="G441" s="7">
        <f t="shared" ca="1" si="30"/>
        <v>295.73677480676719</v>
      </c>
      <c r="H441" s="7">
        <f ca="1">(G441+DCF!$D$40+DCF!$D$41+DCF!$D$42-DCF!$D$43-DCF!$D$44)/DCF!$C$35</f>
        <v>2.3112302449868336</v>
      </c>
    </row>
    <row r="442" spans="3:8" x14ac:dyDescent="0.35">
      <c r="C442" s="8">
        <f t="shared" ca="1" si="31"/>
        <v>0.95895388176987462</v>
      </c>
      <c r="D442" s="7">
        <f t="shared" ca="1" si="32"/>
        <v>0.1032318785512655</v>
      </c>
      <c r="E442" s="7">
        <f t="shared" ca="1" si="33"/>
        <v>0.28774229083926883</v>
      </c>
      <c r="F442" s="7">
        <f t="shared" ca="1" si="34"/>
        <v>1.7586070008103916E-2</v>
      </c>
      <c r="G442" s="7">
        <f t="shared" ca="1" si="30"/>
        <v>195.4800873421442</v>
      </c>
      <c r="H442" s="7">
        <f ca="1">(G442+DCF!$D$40+DCF!$D$41+DCF!$D$42-DCF!$D$43-DCF!$D$44)/DCF!$C$35</f>
        <v>1.7453837190548831</v>
      </c>
    </row>
    <row r="443" spans="3:8" x14ac:dyDescent="0.35">
      <c r="C443" s="8">
        <f t="shared" ca="1" si="31"/>
        <v>0.38809220561457525</v>
      </c>
      <c r="D443" s="7">
        <f t="shared" ca="1" si="32"/>
        <v>8.3867853158721653E-2</v>
      </c>
      <c r="E443" s="7">
        <f t="shared" ca="1" si="33"/>
        <v>0.54495248701487575</v>
      </c>
      <c r="F443" s="7">
        <f t="shared" ca="1" si="34"/>
        <v>2.0460109927414004E-2</v>
      </c>
      <c r="G443" s="7">
        <f t="shared" ca="1" si="30"/>
        <v>265.28179074174147</v>
      </c>
      <c r="H443" s="7">
        <f ca="1">(G443+DCF!$D$40+DCF!$D$41+DCF!$D$42-DCF!$D$43-DCF!$D$44)/DCF!$C$35</f>
        <v>2.1393429887218729</v>
      </c>
    </row>
    <row r="444" spans="3:8" x14ac:dyDescent="0.35">
      <c r="C444" s="8">
        <f t="shared" ca="1" si="31"/>
        <v>0.15537082176730754</v>
      </c>
      <c r="D444" s="7">
        <f t="shared" ca="1" si="32"/>
        <v>7.8671763242580878E-2</v>
      </c>
      <c r="E444" s="7">
        <f t="shared" ca="1" si="33"/>
        <v>8.7365297131194675E-2</v>
      </c>
      <c r="F444" s="7">
        <f t="shared" ca="1" si="34"/>
        <v>1.4180078877992488E-2</v>
      </c>
      <c r="G444" s="7">
        <f t="shared" ca="1" si="30"/>
        <v>268.84657574004865</v>
      </c>
      <c r="H444" s="7">
        <f ca="1">(G444+DCF!$D$40+DCF!$D$41+DCF!$D$42-DCF!$D$43-DCF!$D$44)/DCF!$C$35</f>
        <v>2.1594625563836134</v>
      </c>
    </row>
    <row r="445" spans="3:8" x14ac:dyDescent="0.35">
      <c r="C445" s="8">
        <f t="shared" ca="1" si="31"/>
        <v>0.83675301998365714</v>
      </c>
      <c r="D445" s="7">
        <f t="shared" ca="1" si="32"/>
        <v>9.6502458383163306E-2</v>
      </c>
      <c r="E445" s="7">
        <f t="shared" ca="1" si="33"/>
        <v>0.46461937141316001</v>
      </c>
      <c r="F445" s="7">
        <f t="shared" ca="1" si="34"/>
        <v>1.9639703018383501E-2</v>
      </c>
      <c r="G445" s="7">
        <f t="shared" ca="1" si="30"/>
        <v>217.26954751988657</v>
      </c>
      <c r="H445" s="7">
        <f ca="1">(G445+DCF!$D$40+DCF!$D$41+DCF!$D$42-DCF!$D$43-DCF!$D$44)/DCF!$C$35</f>
        <v>1.868362950219475</v>
      </c>
    </row>
    <row r="446" spans="3:8" x14ac:dyDescent="0.35">
      <c r="C446" s="8">
        <f t="shared" ca="1" si="31"/>
        <v>0.47411445723977863</v>
      </c>
      <c r="D446" s="7">
        <f t="shared" ca="1" si="32"/>
        <v>8.5774223114203185E-2</v>
      </c>
      <c r="E446" s="7">
        <f t="shared" ca="1" si="33"/>
        <v>3.4631370234646464E-2</v>
      </c>
      <c r="F446" s="7">
        <f t="shared" ca="1" si="34"/>
        <v>1.263178153480286E-2</v>
      </c>
      <c r="G446" s="7">
        <f t="shared" ca="1" si="30"/>
        <v>236.97486774053755</v>
      </c>
      <c r="H446" s="7">
        <f ca="1">(G446+DCF!$D$40+DCF!$D$41+DCF!$D$42-DCF!$D$43-DCF!$D$44)/DCF!$C$35</f>
        <v>1.9795793415765748</v>
      </c>
    </row>
    <row r="447" spans="3:8" x14ac:dyDescent="0.35">
      <c r="C447" s="8">
        <f t="shared" ca="1" si="31"/>
        <v>0.25577939215894918</v>
      </c>
      <c r="D447" s="7">
        <f t="shared" ca="1" si="32"/>
        <v>8.1126420170249347E-2</v>
      </c>
      <c r="E447" s="7">
        <f t="shared" ca="1" si="33"/>
        <v>0.13850376695572209</v>
      </c>
      <c r="F447" s="7">
        <f t="shared" ca="1" si="34"/>
        <v>1.5263150519521974E-2</v>
      </c>
      <c r="G447" s="7">
        <f t="shared" ca="1" si="30"/>
        <v>261.50461868911765</v>
      </c>
      <c r="H447" s="7">
        <f ca="1">(G447+DCF!$D$40+DCF!$D$41+DCF!$D$42-DCF!$D$43-DCF!$D$44)/DCF!$C$35</f>
        <v>2.118024713224504</v>
      </c>
    </row>
    <row r="448" spans="3:8" x14ac:dyDescent="0.35">
      <c r="C448" s="8">
        <f t="shared" ca="1" si="31"/>
        <v>0.64056223568237169</v>
      </c>
      <c r="D448" s="7">
        <f t="shared" ca="1" si="32"/>
        <v>8.9971706388749115E-2</v>
      </c>
      <c r="E448" s="7">
        <f t="shared" ca="1" si="33"/>
        <v>0.20640886250035484</v>
      </c>
      <c r="F448" s="7">
        <f t="shared" ca="1" si="34"/>
        <v>1.6425089298995849E-2</v>
      </c>
      <c r="G448" s="7">
        <f t="shared" ca="1" si="30"/>
        <v>231.26940003679485</v>
      </c>
      <c r="H448" s="7">
        <f ca="1">(G448+DCF!$D$40+DCF!$D$41+DCF!$D$42-DCF!$D$43-DCF!$D$44)/DCF!$C$35</f>
        <v>1.9473778080866624</v>
      </c>
    </row>
    <row r="449" spans="3:8" x14ac:dyDescent="0.35">
      <c r="C449" s="8">
        <f t="shared" ca="1" si="31"/>
        <v>5.6276041928399634E-2</v>
      </c>
      <c r="D449" s="7">
        <f t="shared" ca="1" si="32"/>
        <v>7.5218965826037321E-2</v>
      </c>
      <c r="E449" s="7">
        <f t="shared" ca="1" si="33"/>
        <v>0.67412393904297074</v>
      </c>
      <c r="F449" s="7">
        <f t="shared" ca="1" si="34"/>
        <v>2.1926883365675567E-2</v>
      </c>
      <c r="G449" s="7">
        <f t="shared" ca="1" si="30"/>
        <v>316.01809582134501</v>
      </c>
      <c r="H449" s="7">
        <f ca="1">(G449+DCF!$D$40+DCF!$D$41+DCF!$D$42-DCF!$D$43-DCF!$D$44)/DCF!$C$35</f>
        <v>2.4256975720811886</v>
      </c>
    </row>
    <row r="450" spans="3:8" x14ac:dyDescent="0.35">
      <c r="C450" s="8">
        <f t="shared" ca="1" si="31"/>
        <v>0.39029255580065458</v>
      </c>
      <c r="D450" s="7">
        <f t="shared" ca="1" si="32"/>
        <v>8.391487957232191E-2</v>
      </c>
      <c r="E450" s="7">
        <f t="shared" ca="1" si="33"/>
        <v>0.43224727662463025</v>
      </c>
      <c r="F450" s="7">
        <f t="shared" ca="1" si="34"/>
        <v>1.9297819923236093E-2</v>
      </c>
      <c r="G450" s="7">
        <f t="shared" ca="1" si="30"/>
        <v>261.55288664637959</v>
      </c>
      <c r="H450" s="7">
        <f ca="1">(G450+DCF!$D$40+DCF!$D$41+DCF!$D$42-DCF!$D$43-DCF!$D$44)/DCF!$C$35</f>
        <v>2.1182971365073913</v>
      </c>
    </row>
    <row r="451" spans="3:8" x14ac:dyDescent="0.35">
      <c r="C451" s="8">
        <f t="shared" ca="1" si="31"/>
        <v>0.59257047279395669</v>
      </c>
      <c r="D451" s="7">
        <f t="shared" ca="1" si="32"/>
        <v>8.8676507031868718E-2</v>
      </c>
      <c r="E451" s="7">
        <f t="shared" ca="1" si="33"/>
        <v>0.1234633399900984</v>
      </c>
      <c r="F451" s="7">
        <f t="shared" ca="1" si="34"/>
        <v>1.4969171761774761E-2</v>
      </c>
      <c r="G451" s="7">
        <f t="shared" ca="1" si="30"/>
        <v>232.37293379731935</v>
      </c>
      <c r="H451" s="7">
        <f ca="1">(G451+DCF!$D$40+DCF!$D$41+DCF!$D$42-DCF!$D$43-DCF!$D$44)/DCF!$C$35</f>
        <v>1.9536061282160475</v>
      </c>
    </row>
    <row r="452" spans="3:8" x14ac:dyDescent="0.35">
      <c r="C452" s="8">
        <f t="shared" ca="1" si="31"/>
        <v>4.2366207961480606E-2</v>
      </c>
      <c r="D452" s="7">
        <f t="shared" ca="1" si="32"/>
        <v>7.4528271707103785E-2</v>
      </c>
      <c r="E452" s="7">
        <f t="shared" ca="1" si="33"/>
        <v>0.56870984813904413</v>
      </c>
      <c r="F452" s="7">
        <f t="shared" ca="1" si="34"/>
        <v>2.0712479858854077E-2</v>
      </c>
      <c r="G452" s="7">
        <f t="shared" ca="1" si="30"/>
        <v>314.74072539501759</v>
      </c>
      <c r="H452" s="7">
        <f ca="1">(G452+DCF!$D$40+DCF!$D$41+DCF!$D$42-DCF!$D$43-DCF!$D$44)/DCF!$C$35</f>
        <v>2.4184881216560421</v>
      </c>
    </row>
    <row r="453" spans="3:8" x14ac:dyDescent="0.35">
      <c r="C453" s="8">
        <f t="shared" ca="1" si="31"/>
        <v>0.9006667831352565</v>
      </c>
      <c r="D453" s="7">
        <f t="shared" ca="1" si="32"/>
        <v>9.9471188575102426E-2</v>
      </c>
      <c r="E453" s="7">
        <f t="shared" ca="1" si="33"/>
        <v>0.41220356292415206</v>
      </c>
      <c r="F453" s="7">
        <f t="shared" ca="1" si="34"/>
        <v>1.9079686810943998E-2</v>
      </c>
      <c r="G453" s="7">
        <f t="shared" ca="1" si="30"/>
        <v>207.68608509925787</v>
      </c>
      <c r="H453" s="7">
        <f ca="1">(G453+DCF!$D$40+DCF!$D$41+DCF!$D$42-DCF!$D$43-DCF!$D$44)/DCF!$C$35</f>
        <v>1.8142741003457379</v>
      </c>
    </row>
    <row r="454" spans="3:8" x14ac:dyDescent="0.35">
      <c r="C454" s="8">
        <f t="shared" ca="1" si="31"/>
        <v>0.84658367192200024</v>
      </c>
      <c r="D454" s="7">
        <f t="shared" ca="1" si="32"/>
        <v>9.6915175884443552E-2</v>
      </c>
      <c r="E454" s="7">
        <f t="shared" ca="1" si="33"/>
        <v>8.7051651254394735E-2</v>
      </c>
      <c r="F454" s="7">
        <f t="shared" ca="1" si="34"/>
        <v>1.4172568783241201E-2</v>
      </c>
      <c r="G454" s="7">
        <f t="shared" ca="1" si="30"/>
        <v>206.14615734756597</v>
      </c>
      <c r="H454" s="7">
        <f ca="1">(G454+DCF!$D$40+DCF!$D$41+DCF!$D$42-DCF!$D$43-DCF!$D$44)/DCF!$C$35</f>
        <v>1.805582782185156</v>
      </c>
    </row>
    <row r="455" spans="3:8" x14ac:dyDescent="0.35">
      <c r="C455" s="8">
        <f t="shared" ca="1" si="31"/>
        <v>0.36191434526317789</v>
      </c>
      <c r="D455" s="7">
        <f t="shared" ca="1" si="32"/>
        <v>8.3314730829795E-2</v>
      </c>
      <c r="E455" s="7">
        <f t="shared" ca="1" si="33"/>
        <v>0.97054682389863767</v>
      </c>
      <c r="F455" s="7">
        <f t="shared" ca="1" si="34"/>
        <v>2.7572936914649217E-2</v>
      </c>
      <c r="G455" s="7">
        <f t="shared" ca="1" si="30"/>
        <v>293.04760872619414</v>
      </c>
      <c r="H455" s="7">
        <f ca="1">(G455+DCF!$D$40+DCF!$D$41+DCF!$D$42-DCF!$D$43-DCF!$D$44)/DCF!$C$35</f>
        <v>2.2960526511242474</v>
      </c>
    </row>
    <row r="456" spans="3:8" x14ac:dyDescent="0.35">
      <c r="C456" s="8">
        <f t="shared" ca="1" si="31"/>
        <v>0.22423048924411537</v>
      </c>
      <c r="D456" s="7">
        <f t="shared" ca="1" si="32"/>
        <v>8.0417656012469987E-2</v>
      </c>
      <c r="E456" s="7">
        <f t="shared" ca="1" si="33"/>
        <v>0.51668122206224765</v>
      </c>
      <c r="F456" s="7">
        <f t="shared" ca="1" si="34"/>
        <v>2.016822724085069E-2</v>
      </c>
      <c r="G456" s="7">
        <f t="shared" ca="1" si="30"/>
        <v>280.34715866729687</v>
      </c>
      <c r="H456" s="7">
        <f ca="1">(G456+DCF!$D$40+DCF!$D$41+DCF!$D$42-DCF!$D$43-DCF!$D$44)/DCF!$C$35</f>
        <v>2.224371591981583</v>
      </c>
    </row>
    <row r="457" spans="3:8" x14ac:dyDescent="0.35">
      <c r="C457" s="8">
        <f t="shared" ca="1" si="31"/>
        <v>8.3584476835379728E-2</v>
      </c>
      <c r="D457" s="7">
        <f t="shared" ca="1" si="32"/>
        <v>7.6360415614433061E-2</v>
      </c>
      <c r="E457" s="7">
        <f t="shared" ca="1" si="33"/>
        <v>0.11137259419208412</v>
      </c>
      <c r="F457" s="7">
        <f t="shared" ca="1" si="34"/>
        <v>1.4719588842093855E-2</v>
      </c>
      <c r="G457" s="7">
        <f t="shared" ca="1" si="30"/>
        <v>281.26099717325508</v>
      </c>
      <c r="H457" s="7">
        <f ca="1">(G457+DCF!$D$40+DCF!$D$41+DCF!$D$42-DCF!$D$43-DCF!$D$44)/DCF!$C$35</f>
        <v>2.2295292762910885</v>
      </c>
    </row>
    <row r="458" spans="3:8" x14ac:dyDescent="0.35">
      <c r="C458" s="8">
        <f t="shared" ca="1" si="31"/>
        <v>0.3236831702505234</v>
      </c>
      <c r="D458" s="7">
        <f t="shared" ca="1" si="32"/>
        <v>8.2526929876688054E-2</v>
      </c>
      <c r="E458" s="7">
        <f t="shared" ca="1" si="33"/>
        <v>0.81882974692539678</v>
      </c>
      <c r="F458" s="7">
        <f t="shared" ca="1" si="34"/>
        <v>2.3980527380665258E-2</v>
      </c>
      <c r="G458" s="7">
        <f t="shared" ca="1" si="30"/>
        <v>283.45019407434063</v>
      </c>
      <c r="H458" s="7">
        <f ca="1">(G458+DCF!$D$40+DCF!$D$41+DCF!$D$42-DCF!$D$43-DCF!$D$44)/DCF!$C$35</f>
        <v>2.2418850551661622</v>
      </c>
    </row>
    <row r="459" spans="3:8" x14ac:dyDescent="0.35">
      <c r="C459" s="8">
        <f t="shared" ca="1" si="31"/>
        <v>0.11273147664391492</v>
      </c>
      <c r="D459" s="7">
        <f t="shared" ca="1" si="32"/>
        <v>7.7386611854947773E-2</v>
      </c>
      <c r="E459" s="7">
        <f t="shared" ca="1" si="33"/>
        <v>0.56935657327059175</v>
      </c>
      <c r="F459" s="7">
        <f t="shared" ca="1" si="34"/>
        <v>2.0719445849202663E-2</v>
      </c>
      <c r="G459" s="7">
        <f t="shared" ca="1" si="30"/>
        <v>298.159160229718</v>
      </c>
      <c r="H459" s="7">
        <f ca="1">(G459+DCF!$D$40+DCF!$D$41+DCF!$D$42-DCF!$D$43-DCF!$D$44)/DCF!$C$35</f>
        <v>2.3249021347201602</v>
      </c>
    </row>
    <row r="460" spans="3:8" x14ac:dyDescent="0.35">
      <c r="C460" s="8">
        <f t="shared" ca="1" si="31"/>
        <v>0.3068138568406038</v>
      </c>
      <c r="D460" s="7">
        <f t="shared" ca="1" si="32"/>
        <v>8.2186410951373329E-2</v>
      </c>
      <c r="E460" s="7">
        <f t="shared" ca="1" si="33"/>
        <v>0.13092321710471255</v>
      </c>
      <c r="F460" s="7">
        <f t="shared" ca="1" si="34"/>
        <v>1.5117093258964752E-2</v>
      </c>
      <c r="G460" s="7">
        <f t="shared" ca="1" si="30"/>
        <v>256.70810828616084</v>
      </c>
      <c r="H460" s="7">
        <f ca="1">(G460+DCF!$D$40+DCF!$D$41+DCF!$D$42-DCF!$D$43-DCF!$D$44)/DCF!$C$35</f>
        <v>2.0909533146300983</v>
      </c>
    </row>
    <row r="461" spans="3:8" x14ac:dyDescent="0.35">
      <c r="C461" s="8">
        <f t="shared" ca="1" si="31"/>
        <v>0.30963317841494153</v>
      </c>
      <c r="D461" s="7">
        <f t="shared" ca="1" si="32"/>
        <v>8.224303019259982E-2</v>
      </c>
      <c r="E461" s="7">
        <f t="shared" ca="1" si="33"/>
        <v>0.58621866510474596</v>
      </c>
      <c r="F461" s="7">
        <f t="shared" ca="1" si="34"/>
        <v>2.090295284286979E-2</v>
      </c>
      <c r="G461" s="7">
        <f t="shared" ca="1" si="30"/>
        <v>274.09874885668665</v>
      </c>
      <c r="H461" s="7">
        <f ca="1">(G461+DCF!$D$40+DCF!$D$41+DCF!$D$42-DCF!$D$43-DCF!$D$44)/DCF!$C$35</f>
        <v>2.1891057052527749</v>
      </c>
    </row>
    <row r="462" spans="3:8" x14ac:dyDescent="0.35">
      <c r="C462" s="8">
        <f t="shared" ca="1" si="31"/>
        <v>0.87120992007487597</v>
      </c>
      <c r="D462" s="7">
        <f t="shared" ca="1" si="32"/>
        <v>9.8011266572467365E-2</v>
      </c>
      <c r="E462" s="7">
        <f t="shared" ca="1" si="33"/>
        <v>4.7433408200089011E-2</v>
      </c>
      <c r="F462" s="7">
        <f t="shared" ca="1" si="34"/>
        <v>1.3080045720442766E-2</v>
      </c>
      <c r="G462" s="7">
        <f t="shared" ca="1" si="30"/>
        <v>201.49238218761988</v>
      </c>
      <c r="H462" s="7">
        <f ca="1">(G462+DCF!$D$40+DCF!$D$41+DCF!$D$42-DCF!$D$43-DCF!$D$44)/DCF!$C$35</f>
        <v>1.7793169781443723</v>
      </c>
    </row>
    <row r="463" spans="3:8" x14ac:dyDescent="0.35">
      <c r="C463" s="8">
        <f t="shared" ca="1" si="31"/>
        <v>7.1979565408909374E-2</v>
      </c>
      <c r="D463" s="7">
        <f t="shared" ca="1" si="32"/>
        <v>7.5902381693681992E-2</v>
      </c>
      <c r="E463" s="7">
        <f t="shared" ca="1" si="33"/>
        <v>0.84164681748208359</v>
      </c>
      <c r="F463" s="7">
        <f t="shared" ca="1" si="34"/>
        <v>2.4372332943076388E-2</v>
      </c>
      <c r="G463" s="7">
        <f t="shared" ca="1" si="30"/>
        <v>323.25626391468609</v>
      </c>
      <c r="H463" s="7">
        <f ca="1">(G463+DCF!$D$40+DCF!$D$41+DCF!$D$42-DCF!$D$43-DCF!$D$44)/DCF!$C$35</f>
        <v>2.4665496326599281</v>
      </c>
    </row>
    <row r="464" spans="3:8" x14ac:dyDescent="0.35">
      <c r="C464" s="8">
        <f t="shared" ca="1" si="31"/>
        <v>0.16990720124447767</v>
      </c>
      <c r="D464" s="7">
        <f t="shared" ca="1" si="32"/>
        <v>7.9068356267942244E-2</v>
      </c>
      <c r="E464" s="7">
        <f t="shared" ca="1" si="33"/>
        <v>1.3500513852429785E-2</v>
      </c>
      <c r="F464" s="7">
        <f t="shared" ca="1" si="34"/>
        <v>1.1643198944280928E-2</v>
      </c>
      <c r="G464" s="7">
        <f t="shared" ref="G464:G527" ca="1" si="35">$C$11/(1+D464)^1
 +$D$11/(1+D464)^2
 +$E$11/(1+D464)^3
 +$F$11/(1+D464)^4
 +$G$11/(1+D464)^5
 +$H$11/(1+D464)^6
 +$I$11/(1+D464)^7
 + ( $I$11*(1+F464)/(D464-F464) )/(1+D464)^7</f>
        <v>259.70546768864187</v>
      </c>
      <c r="H464" s="7">
        <f ca="1">(G464+DCF!$D$40+DCF!$D$41+DCF!$D$42-DCF!$D$43-DCF!$D$44)/DCF!$C$35</f>
        <v>2.1078703447829432</v>
      </c>
    </row>
    <row r="465" spans="3:8" x14ac:dyDescent="0.35">
      <c r="C465" s="8">
        <f t="shared" ref="C465:C528" ca="1" si="36">RAND()</f>
        <v>0.11714645954470893</v>
      </c>
      <c r="D465" s="7">
        <f t="shared" ref="D465:D528" ca="1" si="37">IF(C465&lt;($C$6-0.07)/(0.11-0.07),0.07+SQRT(C465*(0.11-0.07)*($C$6-0.07)),0.11-SQRT((1-C465)*(0.11-0.07)*(0.11-$C$6)))</f>
        <v>7.752986629493773E-2</v>
      </c>
      <c r="E465" s="7">
        <f t="shared" ref="E465:E528" ca="1" si="38">RAND()</f>
        <v>0.29012448648023492</v>
      </c>
      <c r="F465" s="7">
        <f t="shared" ref="F465:F528" ca="1" si="39">MIN(
 IF(E465&lt;(0.02-0.01)/(0.03-0.01),
   0.01+SQRT(E465*(0.03-0.01)*(0.02-0.01)),
   0.03-SQRT((1-E465)*(0.03-0.01)*(0.03-0.02))
 ),
 D465-0.005
)</f>
        <v>1.7617407518050153E-2</v>
      </c>
      <c r="G465" s="7">
        <f t="shared" ca="1" si="35"/>
        <v>285.6392128350509</v>
      </c>
      <c r="H465" s="7">
        <f ca="1">(G465+DCF!$D$40+DCF!$D$41+DCF!$D$42-DCF!$D$43-DCF!$D$44)/DCF!$C$35</f>
        <v>2.2542398286208991</v>
      </c>
    </row>
    <row r="466" spans="3:8" x14ac:dyDescent="0.35">
      <c r="C466" s="8">
        <f t="shared" ca="1" si="36"/>
        <v>0.22157278673845027</v>
      </c>
      <c r="D466" s="7">
        <f t="shared" ca="1" si="37"/>
        <v>8.0355734101521248E-2</v>
      </c>
      <c r="E466" s="7">
        <f t="shared" ca="1" si="38"/>
        <v>0.21507430435438635</v>
      </c>
      <c r="F466" s="7">
        <f t="shared" ca="1" si="39"/>
        <v>1.6558571557197289E-2</v>
      </c>
      <c r="G466" s="7">
        <f t="shared" ca="1" si="35"/>
        <v>268.738439288211</v>
      </c>
      <c r="H466" s="7">
        <f ca="1">(G466+DCF!$D$40+DCF!$D$41+DCF!$D$42-DCF!$D$43-DCF!$D$44)/DCF!$C$35</f>
        <v>2.158852236641895</v>
      </c>
    </row>
    <row r="467" spans="3:8" x14ac:dyDescent="0.35">
      <c r="C467" s="8">
        <f t="shared" ca="1" si="36"/>
        <v>0.51070657982896184</v>
      </c>
      <c r="D467" s="7">
        <f t="shared" ca="1" si="37"/>
        <v>8.6632256058599102E-2</v>
      </c>
      <c r="E467" s="7">
        <f t="shared" ca="1" si="38"/>
        <v>0.7303135892514121</v>
      </c>
      <c r="F467" s="7">
        <f t="shared" ca="1" si="39"/>
        <v>2.2655799420650498E-2</v>
      </c>
      <c r="G467" s="7">
        <f t="shared" ca="1" si="35"/>
        <v>259.95603910991849</v>
      </c>
      <c r="H467" s="7">
        <f ca="1">(G467+DCF!$D$40+DCF!$D$41+DCF!$D$42-DCF!$D$43-DCF!$D$44)/DCF!$C$35</f>
        <v>2.1092845643408875</v>
      </c>
    </row>
    <row r="468" spans="3:8" x14ac:dyDescent="0.35">
      <c r="C468" s="8">
        <f t="shared" ca="1" si="36"/>
        <v>6.9482455547951183E-3</v>
      </c>
      <c r="D468" s="7">
        <f t="shared" ca="1" si="37"/>
        <v>7.1833835011259423E-2</v>
      </c>
      <c r="E468" s="7">
        <f t="shared" ca="1" si="38"/>
        <v>0.9861100104034829</v>
      </c>
      <c r="F468" s="7">
        <f t="shared" ca="1" si="39"/>
        <v>2.8333267292184071E-2</v>
      </c>
      <c r="G468" s="7">
        <f t="shared" ca="1" si="35"/>
        <v>377.64379668830367</v>
      </c>
      <c r="H468" s="7">
        <f ca="1">(G468+DCF!$D$40+DCF!$D$41+DCF!$D$42-DCF!$D$43-DCF!$D$44)/DCF!$C$35</f>
        <v>2.7735116643430615</v>
      </c>
    </row>
    <row r="469" spans="3:8" x14ac:dyDescent="0.35">
      <c r="C469" s="8">
        <f t="shared" ca="1" si="36"/>
        <v>0.39818776181668147</v>
      </c>
      <c r="D469" s="7">
        <f t="shared" ca="1" si="37"/>
        <v>8.4084320232481205E-2</v>
      </c>
      <c r="E469" s="7">
        <f t="shared" ca="1" si="38"/>
        <v>0.73608800700973231</v>
      </c>
      <c r="F469" s="7">
        <f t="shared" ca="1" si="39"/>
        <v>2.273485040773051E-2</v>
      </c>
      <c r="G469" s="7">
        <f t="shared" ca="1" si="35"/>
        <v>271.56437988348785</v>
      </c>
      <c r="H469" s="7">
        <f ca="1">(G469+DCF!$D$40+DCF!$D$41+DCF!$D$42-DCF!$D$43-DCF!$D$44)/DCF!$C$35</f>
        <v>2.1748017828394164</v>
      </c>
    </row>
    <row r="470" spans="3:8" x14ac:dyDescent="0.35">
      <c r="C470" s="8">
        <f t="shared" ca="1" si="36"/>
        <v>0.65066624553972319</v>
      </c>
      <c r="D470" s="7">
        <f t="shared" ca="1" si="37"/>
        <v>9.0255216638877284E-2</v>
      </c>
      <c r="E470" s="7">
        <f t="shared" ca="1" si="38"/>
        <v>0.54804027229032104</v>
      </c>
      <c r="F470" s="7">
        <f t="shared" ca="1" si="39"/>
        <v>2.0492532117228277E-2</v>
      </c>
      <c r="G470" s="7">
        <f t="shared" ca="1" si="35"/>
        <v>239.79828367358277</v>
      </c>
      <c r="H470" s="7">
        <f ca="1">(G470+DCF!$D$40+DCF!$D$41+DCF!$D$42-DCF!$D$43-DCF!$D$44)/DCF!$C$35</f>
        <v>1.9955146386363176</v>
      </c>
    </row>
    <row r="471" spans="3:8" x14ac:dyDescent="0.35">
      <c r="C471" s="8">
        <f t="shared" ca="1" si="36"/>
        <v>0.37452066442047749</v>
      </c>
      <c r="D471" s="7">
        <f t="shared" ca="1" si="37"/>
        <v>8.3579649160036754E-2</v>
      </c>
      <c r="E471" s="7">
        <f t="shared" ca="1" si="38"/>
        <v>0.60789934869483697</v>
      </c>
      <c r="F471" s="7">
        <f t="shared" ca="1" si="39"/>
        <v>2.1144485883866901E-2</v>
      </c>
      <c r="G471" s="7">
        <f t="shared" ca="1" si="35"/>
        <v>268.71957522098973</v>
      </c>
      <c r="H471" s="7">
        <f ca="1">(G471+DCF!$D$40+DCF!$D$41+DCF!$D$42-DCF!$D$43-DCF!$D$44)/DCF!$C$35</f>
        <v>2.1587457682638544</v>
      </c>
    </row>
    <row r="472" spans="3:8" x14ac:dyDescent="0.35">
      <c r="C472" s="8">
        <f t="shared" ca="1" si="36"/>
        <v>0.67257628949956716</v>
      </c>
      <c r="D472" s="7">
        <f t="shared" ca="1" si="37"/>
        <v>9.0884434067533271E-2</v>
      </c>
      <c r="E472" s="7">
        <f t="shared" ca="1" si="38"/>
        <v>1.0627881531866668E-2</v>
      </c>
      <c r="F472" s="7">
        <f t="shared" ca="1" si="39"/>
        <v>1.145793563176614E-2</v>
      </c>
      <c r="G472" s="7">
        <f t="shared" ca="1" si="35"/>
        <v>218.21222258363775</v>
      </c>
      <c r="H472" s="7">
        <f ca="1">(G472+DCF!$D$40+DCF!$D$41+DCF!$D$42-DCF!$D$43-DCF!$D$44)/DCF!$C$35</f>
        <v>1.8736833874231726</v>
      </c>
    </row>
    <row r="473" spans="3:8" x14ac:dyDescent="0.35">
      <c r="C473" s="8">
        <f t="shared" ca="1" si="36"/>
        <v>0.8640678221460687</v>
      </c>
      <c r="D473" s="7">
        <f t="shared" ca="1" si="37"/>
        <v>9.768333200557118E-2</v>
      </c>
      <c r="E473" s="7">
        <f t="shared" ca="1" si="38"/>
        <v>0.21809158589521471</v>
      </c>
      <c r="F473" s="7">
        <f t="shared" ca="1" si="39"/>
        <v>1.6604416490428427E-2</v>
      </c>
      <c r="G473" s="7">
        <f t="shared" ca="1" si="35"/>
        <v>208.24962963681037</v>
      </c>
      <c r="H473" s="7">
        <f ca="1">(G473+DCF!$D$40+DCF!$D$41+DCF!$D$42-DCF!$D$43-DCF!$D$44)/DCF!$C$35</f>
        <v>1.8174547332476032</v>
      </c>
    </row>
    <row r="474" spans="3:8" x14ac:dyDescent="0.35">
      <c r="C474" s="8">
        <f t="shared" ca="1" si="36"/>
        <v>0.73943163210482765</v>
      </c>
      <c r="D474" s="7">
        <f t="shared" ca="1" si="37"/>
        <v>9.2947308172285165E-2</v>
      </c>
      <c r="E474" s="7">
        <f t="shared" ca="1" si="38"/>
        <v>0.53306425572574323</v>
      </c>
      <c r="F474" s="7">
        <f t="shared" ca="1" si="39"/>
        <v>2.0336297352730098E-2</v>
      </c>
      <c r="G474" s="7">
        <f t="shared" ca="1" si="35"/>
        <v>230.02435594227018</v>
      </c>
      <c r="H474" s="7">
        <f ca="1">(G474+DCF!$D$40+DCF!$D$41+DCF!$D$42-DCF!$D$43-DCF!$D$44)/DCF!$C$35</f>
        <v>1.9403508067630102</v>
      </c>
    </row>
    <row r="475" spans="3:8" x14ac:dyDescent="0.35">
      <c r="C475" s="8">
        <f t="shared" ca="1" si="36"/>
        <v>0.73747216029435347</v>
      </c>
      <c r="D475" s="7">
        <f t="shared" ca="1" si="37"/>
        <v>9.288331021746607E-2</v>
      </c>
      <c r="E475" s="7">
        <f t="shared" ca="1" si="38"/>
        <v>0.1006173866517367</v>
      </c>
      <c r="F475" s="7">
        <f t="shared" ca="1" si="39"/>
        <v>1.4485919897896899E-2</v>
      </c>
      <c r="G475" s="7">
        <f t="shared" ca="1" si="35"/>
        <v>218.0762055967628</v>
      </c>
      <c r="H475" s="7">
        <f ca="1">(G475+DCF!$D$40+DCF!$D$41+DCF!$D$42-DCF!$D$43-DCF!$D$44)/DCF!$C$35</f>
        <v>1.8729157105585439</v>
      </c>
    </row>
    <row r="476" spans="3:8" x14ac:dyDescent="0.35">
      <c r="C476" s="8">
        <f t="shared" ca="1" si="36"/>
        <v>0.29817922475542502</v>
      </c>
      <c r="D476" s="7">
        <f t="shared" ca="1" si="37"/>
        <v>8.2013273691281072E-2</v>
      </c>
      <c r="E476" s="7">
        <f t="shared" ca="1" si="38"/>
        <v>7.4220524224093087E-2</v>
      </c>
      <c r="F476" s="7">
        <f t="shared" ca="1" si="39"/>
        <v>1.3852804802325005E-2</v>
      </c>
      <c r="G476" s="7">
        <f t="shared" ca="1" si="35"/>
        <v>253.9314579271842</v>
      </c>
      <c r="H476" s="7">
        <f ca="1">(G476+DCF!$D$40+DCF!$D$41+DCF!$D$42-DCF!$D$43-DCF!$D$44)/DCF!$C$35</f>
        <v>2.0752819614357385</v>
      </c>
    </row>
    <row r="477" spans="3:8" x14ac:dyDescent="0.35">
      <c r="C477" s="8">
        <f t="shared" ca="1" si="36"/>
        <v>0.5717425003453771</v>
      </c>
      <c r="D477" s="7">
        <f t="shared" ca="1" si="37"/>
        <v>8.8138267003401605E-2</v>
      </c>
      <c r="E477" s="7">
        <f t="shared" ca="1" si="38"/>
        <v>0.56298332978539167</v>
      </c>
      <c r="F477" s="7">
        <f t="shared" ca="1" si="39"/>
        <v>2.0651024973671089E-2</v>
      </c>
      <c r="G477" s="7">
        <f t="shared" ca="1" si="35"/>
        <v>248.1600716435679</v>
      </c>
      <c r="H477" s="7">
        <f ca="1">(G477+DCF!$D$40+DCF!$D$41+DCF!$D$42-DCF!$D$43-DCF!$D$44)/DCF!$C$35</f>
        <v>2.0427083849394281</v>
      </c>
    </row>
    <row r="478" spans="3:8" x14ac:dyDescent="0.35">
      <c r="C478" s="8">
        <f t="shared" ca="1" si="36"/>
        <v>0.88252563587057398</v>
      </c>
      <c r="D478" s="7">
        <f t="shared" ca="1" si="37"/>
        <v>9.8550048455629202E-2</v>
      </c>
      <c r="E478" s="7">
        <f t="shared" ca="1" si="38"/>
        <v>0.51655316441457499</v>
      </c>
      <c r="F478" s="7">
        <f t="shared" ca="1" si="39"/>
        <v>2.0166924839243573E-2</v>
      </c>
      <c r="G478" s="7">
        <f t="shared" ca="1" si="35"/>
        <v>212.25347946143125</v>
      </c>
      <c r="H478" s="7">
        <f ca="1">(G478+DCF!$D$40+DCF!$D$41+DCF!$D$42-DCF!$D$43-DCF!$D$44)/DCF!$C$35</f>
        <v>1.8400523730750153</v>
      </c>
    </row>
    <row r="479" spans="3:8" x14ac:dyDescent="0.35">
      <c r="C479" s="8">
        <f t="shared" ca="1" si="36"/>
        <v>0.65014560664378596</v>
      </c>
      <c r="D479" s="7">
        <f t="shared" ca="1" si="37"/>
        <v>9.0240508534237665E-2</v>
      </c>
      <c r="E479" s="7">
        <f t="shared" ca="1" si="38"/>
        <v>0.8699794940823925</v>
      </c>
      <c r="F479" s="7">
        <f t="shared" ca="1" si="39"/>
        <v>2.490057834813383E-2</v>
      </c>
      <c r="G479" s="7">
        <f t="shared" ca="1" si="35"/>
        <v>251.45638942131853</v>
      </c>
      <c r="H479" s="7">
        <f ca="1">(G479+DCF!$D$40+DCF!$D$41+DCF!$D$42-DCF!$D$43-DCF!$D$44)/DCF!$C$35</f>
        <v>2.061312729548022</v>
      </c>
    </row>
    <row r="480" spans="3:8" x14ac:dyDescent="0.35">
      <c r="C480" s="8">
        <f t="shared" ca="1" si="36"/>
        <v>0.83880394294225136</v>
      </c>
      <c r="D480" s="7">
        <f t="shared" ca="1" si="37"/>
        <v>9.6587513292590091E-2</v>
      </c>
      <c r="E480" s="7">
        <f t="shared" ca="1" si="38"/>
        <v>0.11680251776933825</v>
      </c>
      <c r="F480" s="7">
        <f t="shared" ca="1" si="39"/>
        <v>1.4833270482175361E-2</v>
      </c>
      <c r="G480" s="7">
        <f t="shared" ca="1" si="35"/>
        <v>208.16130073786712</v>
      </c>
      <c r="H480" s="7">
        <f ca="1">(G480+DCF!$D$40+DCF!$D$41+DCF!$D$42-DCF!$D$43-DCF!$D$44)/DCF!$C$35</f>
        <v>1.8169562068961909</v>
      </c>
    </row>
    <row r="481" spans="3:8" x14ac:dyDescent="0.35">
      <c r="C481" s="8">
        <f t="shared" ca="1" si="36"/>
        <v>0.37361933218454868</v>
      </c>
      <c r="D481" s="7">
        <f t="shared" ca="1" si="37"/>
        <v>8.3560619801477123E-2</v>
      </c>
      <c r="E481" s="7">
        <f t="shared" ca="1" si="38"/>
        <v>0.8243220402922492</v>
      </c>
      <c r="F481" s="7">
        <f t="shared" ca="1" si="39"/>
        <v>2.4072471683614649E-2</v>
      </c>
      <c r="G481" s="7">
        <f t="shared" ca="1" si="35"/>
        <v>278.62216550428406</v>
      </c>
      <c r="H481" s="7">
        <f ca="1">(G481+DCF!$D$40+DCF!$D$41+DCF!$D$42-DCF!$D$43-DCF!$D$44)/DCF!$C$35</f>
        <v>2.2146357687339657</v>
      </c>
    </row>
    <row r="482" spans="3:8" x14ac:dyDescent="0.35">
      <c r="C482" s="8">
        <f t="shared" ca="1" si="36"/>
        <v>0.35777974127715595</v>
      </c>
      <c r="D482" s="7">
        <f t="shared" ca="1" si="37"/>
        <v>8.3228414153534089E-2</v>
      </c>
      <c r="E482" s="7">
        <f t="shared" ca="1" si="38"/>
        <v>0.54400512258191214</v>
      </c>
      <c r="F482" s="7">
        <f t="shared" ca="1" si="39"/>
        <v>2.045018453143635E-2</v>
      </c>
      <c r="G482" s="7">
        <f t="shared" ca="1" si="35"/>
        <v>268.09790299944342</v>
      </c>
      <c r="H482" s="7">
        <f ca="1">(G482+DCF!$D$40+DCF!$D$41+DCF!$D$42-DCF!$D$43-DCF!$D$44)/DCF!$C$35</f>
        <v>2.1552370639995675</v>
      </c>
    </row>
    <row r="483" spans="3:8" x14ac:dyDescent="0.35">
      <c r="C483" s="8">
        <f t="shared" ca="1" si="36"/>
        <v>0.60152239402287178</v>
      </c>
      <c r="D483" s="7">
        <f t="shared" ca="1" si="37"/>
        <v>8.8912064864703447E-2</v>
      </c>
      <c r="E483" s="7">
        <f t="shared" ca="1" si="38"/>
        <v>0.16625152256209508</v>
      </c>
      <c r="F483" s="7">
        <f t="shared" ca="1" si="39"/>
        <v>1.576630770185038E-2</v>
      </c>
      <c r="G483" s="7">
        <f t="shared" ca="1" si="35"/>
        <v>233.36545783976214</v>
      </c>
      <c r="H483" s="7">
        <f ca="1">(G483+DCF!$D$40+DCF!$D$41+DCF!$D$42-DCF!$D$43-DCF!$D$44)/DCF!$C$35</f>
        <v>1.9592079119526027</v>
      </c>
    </row>
    <row r="484" spans="3:8" x14ac:dyDescent="0.35">
      <c r="C484" s="8">
        <f t="shared" ca="1" si="36"/>
        <v>0.19583398579610056</v>
      </c>
      <c r="D484" s="7">
        <f t="shared" ca="1" si="37"/>
        <v>7.9735689453002939E-2</v>
      </c>
      <c r="E484" s="7">
        <f t="shared" ca="1" si="38"/>
        <v>0.31643974268437691</v>
      </c>
      <c r="F484" s="7">
        <f t="shared" ca="1" si="39"/>
        <v>1.7955372306616164E-2</v>
      </c>
      <c r="G484" s="7">
        <f t="shared" ca="1" si="35"/>
        <v>276.07694835245201</v>
      </c>
      <c r="H484" s="7">
        <f ca="1">(G484+DCF!$D$40+DCF!$D$41+DCF!$D$42-DCF!$D$43-DCF!$D$44)/DCF!$C$35</f>
        <v>2.2002706194404107</v>
      </c>
    </row>
    <row r="485" spans="3:8" x14ac:dyDescent="0.35">
      <c r="C485" s="8">
        <f t="shared" ca="1" si="36"/>
        <v>0.83611792309120525</v>
      </c>
      <c r="D485" s="7">
        <f t="shared" ca="1" si="37"/>
        <v>9.6476228416960935E-2</v>
      </c>
      <c r="E485" s="7">
        <f t="shared" ca="1" si="38"/>
        <v>0.41373982611669946</v>
      </c>
      <c r="F485" s="7">
        <f t="shared" ca="1" si="39"/>
        <v>1.9096590857202486E-2</v>
      </c>
      <c r="G485" s="7">
        <f t="shared" ca="1" si="35"/>
        <v>216.28933198783216</v>
      </c>
      <c r="H485" s="7">
        <f ca="1">(G485+DCF!$D$40+DCF!$D$41+DCF!$D$42-DCF!$D$43-DCF!$D$44)/DCF!$C$35</f>
        <v>1.8628306354432336</v>
      </c>
    </row>
    <row r="486" spans="3:8" x14ac:dyDescent="0.35">
      <c r="C486" s="8">
        <f t="shared" ca="1" si="36"/>
        <v>0.75932924124858081</v>
      </c>
      <c r="D486" s="7">
        <f t="shared" ca="1" si="37"/>
        <v>9.3611328096316532E-2</v>
      </c>
      <c r="E486" s="7">
        <f t="shared" ca="1" si="38"/>
        <v>0.98116757910484775</v>
      </c>
      <c r="F486" s="7">
        <f t="shared" ca="1" si="39"/>
        <v>2.8059256797247391E-2</v>
      </c>
      <c r="G486" s="7">
        <f t="shared" ca="1" si="35"/>
        <v>246.75135309903959</v>
      </c>
      <c r="H486" s="7">
        <f ca="1">(G486+DCF!$D$40+DCF!$D$41+DCF!$D$42-DCF!$D$43-DCF!$D$44)/DCF!$C$35</f>
        <v>2.0347576086411534</v>
      </c>
    </row>
    <row r="487" spans="3:8" x14ac:dyDescent="0.35">
      <c r="C487" s="8">
        <f t="shared" ca="1" si="36"/>
        <v>0.83404845903823865</v>
      </c>
      <c r="D487" s="7">
        <f t="shared" ca="1" si="37"/>
        <v>9.6391108799269293E-2</v>
      </c>
      <c r="E487" s="7">
        <f t="shared" ca="1" si="38"/>
        <v>0.19337868910737899</v>
      </c>
      <c r="F487" s="7">
        <f t="shared" ca="1" si="39"/>
        <v>1.6218982056693507E-2</v>
      </c>
      <c r="G487" s="7">
        <f t="shared" ca="1" si="35"/>
        <v>211.15643383996468</v>
      </c>
      <c r="H487" s="7">
        <f ca="1">(G487+DCF!$D$40+DCF!$D$41+DCF!$D$42-DCF!$D$43-DCF!$D$44)/DCF!$C$35</f>
        <v>1.8338606718589268</v>
      </c>
    </row>
    <row r="488" spans="3:8" x14ac:dyDescent="0.35">
      <c r="C488" s="8">
        <f t="shared" ca="1" si="36"/>
        <v>0.81333273843511578</v>
      </c>
      <c r="D488" s="7">
        <f t="shared" ca="1" si="37"/>
        <v>9.5566682158754676E-2</v>
      </c>
      <c r="E488" s="7">
        <f t="shared" ca="1" si="38"/>
        <v>6.7572576757176095E-2</v>
      </c>
      <c r="F488" s="7">
        <f t="shared" ca="1" si="39"/>
        <v>1.3676209372633068E-2</v>
      </c>
      <c r="G488" s="7">
        <f t="shared" ca="1" si="35"/>
        <v>208.94156202338363</v>
      </c>
      <c r="H488" s="7">
        <f ca="1">(G488+DCF!$D$40+DCF!$D$41+DCF!$D$42-DCF!$D$43-DCF!$D$44)/DCF!$C$35</f>
        <v>1.8213599843288386</v>
      </c>
    </row>
    <row r="489" spans="3:8" x14ac:dyDescent="0.35">
      <c r="C489" s="8">
        <f t="shared" ca="1" si="36"/>
        <v>2.0678281292046741E-2</v>
      </c>
      <c r="D489" s="7">
        <f t="shared" ca="1" si="37"/>
        <v>7.3163587859590859E-2</v>
      </c>
      <c r="E489" s="7">
        <f t="shared" ca="1" si="38"/>
        <v>6.3609925941662149E-2</v>
      </c>
      <c r="F489" s="7">
        <f t="shared" ca="1" si="39"/>
        <v>1.3566789198751789E-2</v>
      </c>
      <c r="G489" s="7">
        <f t="shared" ca="1" si="35"/>
        <v>293.16141203204495</v>
      </c>
      <c r="H489" s="7">
        <f ca="1">(G489+DCF!$D$40+DCF!$D$41+DCF!$D$42-DCF!$D$43-DCF!$D$44)/DCF!$C$35</f>
        <v>2.2966949544646402</v>
      </c>
    </row>
    <row r="490" spans="3:8" x14ac:dyDescent="0.35">
      <c r="C490" s="8">
        <f t="shared" ca="1" si="36"/>
        <v>0.82623763006649409</v>
      </c>
      <c r="D490" s="7">
        <f t="shared" ca="1" si="37"/>
        <v>9.6074526764027279E-2</v>
      </c>
      <c r="E490" s="7">
        <f t="shared" ca="1" si="38"/>
        <v>6.1537798675512789E-2</v>
      </c>
      <c r="F490" s="7">
        <f t="shared" ca="1" si="39"/>
        <v>1.3508213182676126E-2</v>
      </c>
      <c r="G490" s="7">
        <f t="shared" ca="1" si="35"/>
        <v>207.27387879018164</v>
      </c>
      <c r="H490" s="7">
        <f ca="1">(G490+DCF!$D$40+DCF!$D$41+DCF!$D$42-DCF!$D$43-DCF!$D$44)/DCF!$C$35</f>
        <v>1.8119476170571263</v>
      </c>
    </row>
    <row r="491" spans="3:8" x14ac:dyDescent="0.35">
      <c r="C491" s="8">
        <f t="shared" ca="1" si="36"/>
        <v>0.30011197541484469</v>
      </c>
      <c r="D491" s="7">
        <f t="shared" ca="1" si="37"/>
        <v>8.2052144875530864E-2</v>
      </c>
      <c r="E491" s="7">
        <f t="shared" ca="1" si="38"/>
        <v>0.19653592154277633</v>
      </c>
      <c r="F491" s="7">
        <f t="shared" ca="1" si="39"/>
        <v>1.6269544186665826E-2</v>
      </c>
      <c r="G491" s="7">
        <f t="shared" ca="1" si="35"/>
        <v>260.53972969380527</v>
      </c>
      <c r="H491" s="7">
        <f ca="1">(G491+DCF!$D$40+DCF!$D$41+DCF!$D$42-DCF!$D$43-DCF!$D$44)/DCF!$C$35</f>
        <v>2.1125789010825446</v>
      </c>
    </row>
    <row r="492" spans="3:8" x14ac:dyDescent="0.35">
      <c r="C492" s="8">
        <f t="shared" ca="1" si="36"/>
        <v>7.6612932489619201E-2</v>
      </c>
      <c r="D492" s="7">
        <f t="shared" ca="1" si="37"/>
        <v>7.6089389076498218E-2</v>
      </c>
      <c r="E492" s="7">
        <f t="shared" ca="1" si="38"/>
        <v>0.70548966346752029</v>
      </c>
      <c r="F492" s="7">
        <f t="shared" ca="1" si="39"/>
        <v>2.2325231775063438E-2</v>
      </c>
      <c r="G492" s="7">
        <f t="shared" ca="1" si="35"/>
        <v>312.48458573260723</v>
      </c>
      <c r="H492" s="7">
        <f ca="1">(G492+DCF!$D$40+DCF!$D$41+DCF!$D$42-DCF!$D$43-DCF!$D$44)/DCF!$C$35</f>
        <v>2.4057545193171195</v>
      </c>
    </row>
    <row r="493" spans="3:8" x14ac:dyDescent="0.35">
      <c r="C493" s="8">
        <f t="shared" ca="1" si="36"/>
        <v>0.79749778018548323</v>
      </c>
      <c r="D493" s="7">
        <f t="shared" ca="1" si="37"/>
        <v>9.4966953824557027E-2</v>
      </c>
      <c r="E493" s="7">
        <f t="shared" ca="1" si="38"/>
        <v>0.35219916211219993</v>
      </c>
      <c r="F493" s="7">
        <f t="shared" ca="1" si="39"/>
        <v>1.8392844119989361E-2</v>
      </c>
      <c r="G493" s="7">
        <f t="shared" ca="1" si="35"/>
        <v>219.45251107236609</v>
      </c>
      <c r="H493" s="7">
        <f ca="1">(G493+DCF!$D$40+DCF!$D$41+DCF!$D$42-DCF!$D$43-DCF!$D$44)/DCF!$C$35</f>
        <v>1.8806835482129249</v>
      </c>
    </row>
    <row r="494" spans="3:8" x14ac:dyDescent="0.35">
      <c r="C494" s="8">
        <f t="shared" ca="1" si="36"/>
        <v>0.21192509789385017</v>
      </c>
      <c r="D494" s="7">
        <f t="shared" ca="1" si="37"/>
        <v>8.0127771096377698E-2</v>
      </c>
      <c r="E494" s="7">
        <f t="shared" ca="1" si="38"/>
        <v>0.45956610905086126</v>
      </c>
      <c r="F494" s="7">
        <f t="shared" ca="1" si="39"/>
        <v>1.9587138353553277E-2</v>
      </c>
      <c r="G494" s="7">
        <f t="shared" ca="1" si="35"/>
        <v>279.74152909219299</v>
      </c>
      <c r="H494" s="7">
        <f ca="1">(G494+DCF!$D$40+DCF!$D$41+DCF!$D$42-DCF!$D$43-DCF!$D$44)/DCF!$C$35</f>
        <v>2.2209534320588835</v>
      </c>
    </row>
    <row r="495" spans="3:8" x14ac:dyDescent="0.35">
      <c r="C495" s="8">
        <f t="shared" ca="1" si="36"/>
        <v>0.69853385121596789</v>
      </c>
      <c r="D495" s="7">
        <f t="shared" ca="1" si="37"/>
        <v>9.1657802147970938E-2</v>
      </c>
      <c r="E495" s="7">
        <f t="shared" ca="1" si="38"/>
        <v>0.34088720317113053</v>
      </c>
      <c r="F495" s="7">
        <f t="shared" ca="1" si="39"/>
        <v>1.8256963160522523E-2</v>
      </c>
      <c r="G495" s="7">
        <f t="shared" ca="1" si="35"/>
        <v>229.70451275532457</v>
      </c>
      <c r="H495" s="7">
        <f ca="1">(G495+DCF!$D$40+DCF!$D$41+DCF!$D$42-DCF!$D$43-DCF!$D$44)/DCF!$C$35</f>
        <v>1.9385456188922257</v>
      </c>
    </row>
    <row r="496" spans="3:8" x14ac:dyDescent="0.35">
      <c r="C496" s="8">
        <f t="shared" ca="1" si="36"/>
        <v>0.27668571764300853</v>
      </c>
      <c r="D496" s="7">
        <f t="shared" ca="1" si="37"/>
        <v>8.1572203218886891E-2</v>
      </c>
      <c r="E496" s="7">
        <f t="shared" ca="1" si="38"/>
        <v>0.73674863394501011</v>
      </c>
      <c r="F496" s="7">
        <f t="shared" ca="1" si="39"/>
        <v>2.2743949200081492E-2</v>
      </c>
      <c r="G496" s="7">
        <f t="shared" ca="1" si="35"/>
        <v>283.77894598074886</v>
      </c>
      <c r="H496" s="7">
        <f ca="1">(G496+DCF!$D$40+DCF!$D$41+DCF!$D$42-DCF!$D$43-DCF!$D$44)/DCF!$C$35</f>
        <v>2.2437405236524937</v>
      </c>
    </row>
    <row r="497" spans="3:8" x14ac:dyDescent="0.35">
      <c r="C497" s="8">
        <f t="shared" ca="1" si="36"/>
        <v>0.84270560264994376</v>
      </c>
      <c r="D497" s="7">
        <f t="shared" ca="1" si="37"/>
        <v>9.6750828424287699E-2</v>
      </c>
      <c r="E497" s="7">
        <f t="shared" ca="1" si="38"/>
        <v>0.30875787116802922</v>
      </c>
      <c r="F497" s="7">
        <f t="shared" ca="1" si="39"/>
        <v>1.7858216988198138E-2</v>
      </c>
      <c r="G497" s="7">
        <f t="shared" ca="1" si="35"/>
        <v>213.13539442350583</v>
      </c>
      <c r="H497" s="7">
        <f ca="1">(G497+DCF!$D$40+DCF!$D$41+DCF!$D$42-DCF!$D$43-DCF!$D$44)/DCF!$C$35</f>
        <v>1.8450298816091308</v>
      </c>
    </row>
    <row r="498" spans="3:8" x14ac:dyDescent="0.35">
      <c r="C498" s="8">
        <f t="shared" ca="1" si="36"/>
        <v>0.69217604037493086</v>
      </c>
      <c r="D498" s="7">
        <f t="shared" ca="1" si="37"/>
        <v>9.146539617521926E-2</v>
      </c>
      <c r="E498" s="7">
        <f t="shared" ca="1" si="38"/>
        <v>0.82916375752972482</v>
      </c>
      <c r="F498" s="7">
        <f t="shared" ca="1" si="39"/>
        <v>2.4154724258509695E-2</v>
      </c>
      <c r="G498" s="7">
        <f t="shared" ca="1" si="35"/>
        <v>244.60883402291009</v>
      </c>
      <c r="H498" s="7">
        <f ca="1">(G498+DCF!$D$40+DCF!$D$41+DCF!$D$42-DCF!$D$43-DCF!$D$44)/DCF!$C$35</f>
        <v>2.0226652783774131</v>
      </c>
    </row>
    <row r="499" spans="3:8" x14ac:dyDescent="0.35">
      <c r="C499" s="8">
        <f t="shared" ca="1" si="36"/>
        <v>5.9567771903302313E-2</v>
      </c>
      <c r="D499" s="7">
        <f t="shared" ca="1" si="37"/>
        <v>7.53694321488588E-2</v>
      </c>
      <c r="E499" s="7">
        <f t="shared" ca="1" si="38"/>
        <v>0.17652800992930495</v>
      </c>
      <c r="F499" s="7">
        <f t="shared" ca="1" si="39"/>
        <v>1.5941851730383465E-2</v>
      </c>
      <c r="G499" s="7">
        <f t="shared" ca="1" si="35"/>
        <v>290.536753178011</v>
      </c>
      <c r="H499" s="7">
        <f ca="1">(G499+DCF!$D$40+DCF!$D$41+DCF!$D$42-DCF!$D$43-DCF!$D$44)/DCF!$C$35</f>
        <v>2.2818814379614571</v>
      </c>
    </row>
    <row r="500" spans="3:8" x14ac:dyDescent="0.35">
      <c r="C500" s="8">
        <f t="shared" ca="1" si="36"/>
        <v>0.2051040848884188</v>
      </c>
      <c r="D500" s="7">
        <f t="shared" ca="1" si="37"/>
        <v>7.9963452066728419E-2</v>
      </c>
      <c r="E500" s="7">
        <f t="shared" ca="1" si="38"/>
        <v>1.0659141860418164E-2</v>
      </c>
      <c r="F500" s="7">
        <f t="shared" ca="1" si="39"/>
        <v>1.146007820752302E-2</v>
      </c>
      <c r="G500" s="7">
        <f t="shared" ca="1" si="35"/>
        <v>255.5893153655712</v>
      </c>
      <c r="H500" s="7">
        <f ca="1">(G500+DCF!$D$40+DCF!$D$41+DCF!$D$42-DCF!$D$43-DCF!$D$44)/DCF!$C$35</f>
        <v>2.0846388721389051</v>
      </c>
    </row>
    <row r="501" spans="3:8" x14ac:dyDescent="0.35">
      <c r="C501" s="8">
        <f t="shared" ca="1" si="36"/>
        <v>0.17267146859193483</v>
      </c>
      <c r="D501" s="7">
        <f t="shared" ca="1" si="37"/>
        <v>7.9141826447625033E-2</v>
      </c>
      <c r="E501" s="7">
        <f t="shared" ca="1" si="38"/>
        <v>0.30322360049473107</v>
      </c>
      <c r="F501" s="7">
        <f t="shared" ca="1" si="39"/>
        <v>1.7787471996671717E-2</v>
      </c>
      <c r="G501" s="7">
        <f t="shared" ca="1" si="35"/>
        <v>278.33200583495949</v>
      </c>
      <c r="H501" s="7">
        <f ca="1">(G501+DCF!$D$40+DCF!$D$41+DCF!$D$42-DCF!$D$43-DCF!$D$44)/DCF!$C$35</f>
        <v>2.2129981139799044</v>
      </c>
    </row>
    <row r="502" spans="3:8" x14ac:dyDescent="0.35">
      <c r="C502" s="8">
        <f t="shared" ca="1" si="36"/>
        <v>0.30799325779492481</v>
      </c>
      <c r="D502" s="7">
        <f t="shared" ca="1" si="37"/>
        <v>8.2210082326482803E-2</v>
      </c>
      <c r="E502" s="7">
        <f t="shared" ca="1" si="38"/>
        <v>0.47900253058752074</v>
      </c>
      <c r="F502" s="7">
        <f t="shared" ca="1" si="39"/>
        <v>1.9787773297206275E-2</v>
      </c>
      <c r="G502" s="7">
        <f t="shared" ca="1" si="35"/>
        <v>270.59897651192347</v>
      </c>
      <c r="H502" s="7">
        <f ca="1">(G502+DCF!$D$40+DCF!$D$41+DCF!$D$42-DCF!$D$43-DCF!$D$44)/DCF!$C$35</f>
        <v>2.1693530675692712</v>
      </c>
    </row>
    <row r="503" spans="3:8" x14ac:dyDescent="0.35">
      <c r="C503" s="8">
        <f t="shared" ca="1" si="36"/>
        <v>0.24631489978955079</v>
      </c>
      <c r="D503" s="7">
        <f t="shared" ca="1" si="37"/>
        <v>8.0918626813759262E-2</v>
      </c>
      <c r="E503" s="7">
        <f t="shared" ca="1" si="38"/>
        <v>0.59148590525000044</v>
      </c>
      <c r="F503" s="7">
        <f t="shared" ca="1" si="39"/>
        <v>2.0961038834578394E-2</v>
      </c>
      <c r="G503" s="7">
        <f t="shared" ca="1" si="35"/>
        <v>280.66553696407721</v>
      </c>
      <c r="H503" s="7">
        <f ca="1">(G503+DCF!$D$40+DCF!$D$41+DCF!$D$42-DCF!$D$43-DCF!$D$44)/DCF!$C$35</f>
        <v>2.2261685120446844</v>
      </c>
    </row>
    <row r="504" spans="3:8" x14ac:dyDescent="0.35">
      <c r="C504" s="8">
        <f t="shared" ca="1" si="36"/>
        <v>0.81769962274420993</v>
      </c>
      <c r="D504" s="7">
        <f t="shared" ca="1" si="37"/>
        <v>9.5736507404655002E-2</v>
      </c>
      <c r="E504" s="7">
        <f t="shared" ca="1" si="38"/>
        <v>0.65665370295006809</v>
      </c>
      <c r="F504" s="7">
        <f t="shared" ca="1" si="39"/>
        <v>2.1713308295225026E-2</v>
      </c>
      <c r="G504" s="7">
        <f t="shared" ca="1" si="35"/>
        <v>223.88037331924806</v>
      </c>
      <c r="H504" s="7">
        <f ca="1">(G504+DCF!$D$40+DCF!$D$41+DCF!$D$42-DCF!$D$43-DCF!$D$44)/DCF!$C$35</f>
        <v>1.9056743047705613</v>
      </c>
    </row>
    <row r="505" spans="3:8" x14ac:dyDescent="0.35">
      <c r="C505" s="8">
        <f t="shared" ca="1" si="36"/>
        <v>0.83217989566368289</v>
      </c>
      <c r="D505" s="7">
        <f t="shared" ca="1" si="37"/>
        <v>9.631470729434953E-2</v>
      </c>
      <c r="E505" s="7">
        <f t="shared" ca="1" si="38"/>
        <v>0.7086810148094318</v>
      </c>
      <c r="F505" s="7">
        <f t="shared" ca="1" si="39"/>
        <v>2.2366927418259824E-2</v>
      </c>
      <c r="G505" s="7">
        <f t="shared" ca="1" si="35"/>
        <v>223.41684896780595</v>
      </c>
      <c r="H505" s="7">
        <f ca="1">(G505+DCF!$D$40+DCF!$D$41+DCF!$D$42-DCF!$D$43-DCF!$D$44)/DCF!$C$35</f>
        <v>1.903058183586217</v>
      </c>
    </row>
    <row r="506" spans="3:8" x14ac:dyDescent="0.35">
      <c r="C506" s="8">
        <f t="shared" ca="1" si="36"/>
        <v>0.37603876564063243</v>
      </c>
      <c r="D506" s="7">
        <f t="shared" ca="1" si="37"/>
        <v>8.3611731061984121E-2</v>
      </c>
      <c r="E506" s="7">
        <f t="shared" ca="1" si="38"/>
        <v>0.95353891404614743</v>
      </c>
      <c r="F506" s="7">
        <f t="shared" ca="1" si="39"/>
        <v>2.6951686172525781E-2</v>
      </c>
      <c r="G506" s="7">
        <f t="shared" ca="1" si="35"/>
        <v>288.99284540842541</v>
      </c>
      <c r="H506" s="7">
        <f ca="1">(G506+DCF!$D$40+DCF!$D$41+DCF!$D$42-DCF!$D$43-DCF!$D$44)/DCF!$C$35</f>
        <v>2.2731676566679386</v>
      </c>
    </row>
    <row r="507" spans="3:8" x14ac:dyDescent="0.35">
      <c r="C507" s="8">
        <f t="shared" ca="1" si="36"/>
        <v>0.79893462341344135</v>
      </c>
      <c r="D507" s="7">
        <f t="shared" ca="1" si="37"/>
        <v>9.502038183829109E-2</v>
      </c>
      <c r="E507" s="7">
        <f t="shared" ca="1" si="38"/>
        <v>0.11298078144860657</v>
      </c>
      <c r="F507" s="7">
        <f t="shared" ca="1" si="39"/>
        <v>1.4753541447144572E-2</v>
      </c>
      <c r="G507" s="7">
        <f t="shared" ca="1" si="35"/>
        <v>212.37466295352391</v>
      </c>
      <c r="H507" s="7">
        <f ca="1">(G507+DCF!$D$40+DCF!$D$41+DCF!$D$42-DCF!$D$43-DCF!$D$44)/DCF!$C$35</f>
        <v>1.8407363300232751</v>
      </c>
    </row>
    <row r="508" spans="3:8" x14ac:dyDescent="0.35">
      <c r="C508" s="8">
        <f t="shared" ca="1" si="36"/>
        <v>0.70020858223681615</v>
      </c>
      <c r="D508" s="7">
        <f t="shared" ca="1" si="37"/>
        <v>9.1708821190975329E-2</v>
      </c>
      <c r="E508" s="7">
        <f t="shared" ca="1" si="38"/>
        <v>0.149059764974808</v>
      </c>
      <c r="F508" s="7">
        <f t="shared" ca="1" si="39"/>
        <v>1.5460032325450245E-2</v>
      </c>
      <c r="G508" s="7">
        <f t="shared" ca="1" si="35"/>
        <v>223.59164350479836</v>
      </c>
      <c r="H508" s="7">
        <f ca="1">(G508+DCF!$D$40+DCF!$D$41+DCF!$D$42-DCF!$D$43-DCF!$D$44)/DCF!$C$35</f>
        <v>1.9040447200857791</v>
      </c>
    </row>
    <row r="509" spans="3:8" x14ac:dyDescent="0.35">
      <c r="C509" s="8">
        <f t="shared" ca="1" si="36"/>
        <v>0.79834952878531706</v>
      </c>
      <c r="D509" s="7">
        <f t="shared" ca="1" si="37"/>
        <v>9.4998602535910665E-2</v>
      </c>
      <c r="E509" s="7">
        <f t="shared" ca="1" si="38"/>
        <v>0.96824290096460586</v>
      </c>
      <c r="F509" s="7">
        <f t="shared" ca="1" si="39"/>
        <v>2.7479797665448499E-2</v>
      </c>
      <c r="G509" s="7">
        <f t="shared" ca="1" si="35"/>
        <v>239.89029789292616</v>
      </c>
      <c r="H509" s="7">
        <f ca="1">(G509+DCF!$D$40+DCF!$D$41+DCF!$D$42-DCF!$D$43-DCF!$D$44)/DCF!$C$35</f>
        <v>1.9960339648545327</v>
      </c>
    </row>
    <row r="510" spans="3:8" x14ac:dyDescent="0.35">
      <c r="C510" s="8">
        <f t="shared" ca="1" si="36"/>
        <v>0.36448593445267796</v>
      </c>
      <c r="D510" s="7">
        <f t="shared" ca="1" si="37"/>
        <v>8.336855810980541E-2</v>
      </c>
      <c r="E510" s="7">
        <f t="shared" ca="1" si="38"/>
        <v>0.4065437691218432</v>
      </c>
      <c r="F510" s="7">
        <f t="shared" ca="1" si="39"/>
        <v>1.9017136675484554E-2</v>
      </c>
      <c r="G510" s="7">
        <f t="shared" ca="1" si="35"/>
        <v>263.05841413223379</v>
      </c>
      <c r="H510" s="7">
        <f ca="1">(G510+DCF!$D$40+DCF!$D$41+DCF!$D$42-DCF!$D$43-DCF!$D$44)/DCF!$C$35</f>
        <v>2.1267943003286702</v>
      </c>
    </row>
    <row r="511" spans="3:8" x14ac:dyDescent="0.35">
      <c r="C511" s="8">
        <f t="shared" ca="1" si="36"/>
        <v>0.56122542005610576</v>
      </c>
      <c r="D511" s="7">
        <f t="shared" ca="1" si="37"/>
        <v>8.7871456640407047E-2</v>
      </c>
      <c r="E511" s="7">
        <f t="shared" ca="1" si="38"/>
        <v>0.66443811186179835</v>
      </c>
      <c r="F511" s="7">
        <f t="shared" ca="1" si="39"/>
        <v>2.1807785547994955E-2</v>
      </c>
      <c r="G511" s="7">
        <f t="shared" ca="1" si="35"/>
        <v>252.36669769999969</v>
      </c>
      <c r="H511" s="7">
        <f ca="1">(G511+DCF!$D$40+DCF!$D$41+DCF!$D$42-DCF!$D$43-DCF!$D$44)/DCF!$C$35</f>
        <v>2.0664504893328801</v>
      </c>
    </row>
    <row r="512" spans="3:8" x14ac:dyDescent="0.35">
      <c r="C512" s="8">
        <f t="shared" ca="1" si="36"/>
        <v>9.3746713487876332E-2</v>
      </c>
      <c r="D512" s="7">
        <f t="shared" ca="1" si="37"/>
        <v>7.6735978720878811E-2</v>
      </c>
      <c r="E512" s="7">
        <f t="shared" ca="1" si="38"/>
        <v>0.53843288707353565</v>
      </c>
      <c r="F512" s="7">
        <f t="shared" ca="1" si="39"/>
        <v>2.0392012563221533E-2</v>
      </c>
      <c r="G512" s="7">
        <f t="shared" ca="1" si="35"/>
        <v>300.44966367082782</v>
      </c>
      <c r="H512" s="7">
        <f ca="1">(G512+DCF!$D$40+DCF!$D$41+DCF!$D$42-DCF!$D$43-DCF!$D$44)/DCF!$C$35</f>
        <v>2.3378296854657852</v>
      </c>
    </row>
    <row r="513" spans="3:8" x14ac:dyDescent="0.35">
      <c r="C513" s="8">
        <f t="shared" ca="1" si="36"/>
        <v>0.94148244464071329</v>
      </c>
      <c r="D513" s="7">
        <f t="shared" ca="1" si="37"/>
        <v>0.10191881247705735</v>
      </c>
      <c r="E513" s="7">
        <f t="shared" ca="1" si="38"/>
        <v>0.32526627434807553</v>
      </c>
      <c r="F513" s="7">
        <f t="shared" ca="1" si="39"/>
        <v>1.8065559798898963E-2</v>
      </c>
      <c r="G513" s="7">
        <f t="shared" ca="1" si="35"/>
        <v>199.50297197627702</v>
      </c>
      <c r="H513" s="7">
        <f ca="1">(G513+DCF!$D$40+DCF!$D$41+DCF!$D$42-DCF!$D$43-DCF!$D$44)/DCF!$C$35</f>
        <v>1.768088790926047</v>
      </c>
    </row>
    <row r="514" spans="3:8" x14ac:dyDescent="0.35">
      <c r="C514" s="8">
        <f t="shared" ca="1" si="36"/>
        <v>0.70549500464293369</v>
      </c>
      <c r="D514" s="7">
        <f t="shared" ca="1" si="37"/>
        <v>9.1870808765460998E-2</v>
      </c>
      <c r="E514" s="7">
        <f t="shared" ca="1" si="38"/>
        <v>9.7989952179450168E-2</v>
      </c>
      <c r="F514" s="7">
        <f t="shared" ca="1" si="39"/>
        <v>1.4426961761286178E-2</v>
      </c>
      <c r="G514" s="7">
        <f t="shared" ca="1" si="35"/>
        <v>221.01018377027532</v>
      </c>
      <c r="H514" s="7">
        <f ca="1">(G514+DCF!$D$40+DCF!$D$41+DCF!$D$42-DCF!$D$43-DCF!$D$44)/DCF!$C$35</f>
        <v>1.8894750184573614</v>
      </c>
    </row>
    <row r="515" spans="3:8" x14ac:dyDescent="0.35">
      <c r="C515" s="8">
        <f t="shared" ca="1" si="36"/>
        <v>0.13005529226424495</v>
      </c>
      <c r="D515" s="7">
        <f t="shared" ca="1" si="37"/>
        <v>7.793389951133077E-2</v>
      </c>
      <c r="E515" s="7">
        <f t="shared" ca="1" si="38"/>
        <v>6.2229239599345121E-3</v>
      </c>
      <c r="F515" s="7">
        <f t="shared" ca="1" si="39"/>
        <v>1.1115609605546179E-2</v>
      </c>
      <c r="G515" s="7">
        <f t="shared" ca="1" si="35"/>
        <v>262.90438966307346</v>
      </c>
      <c r="H515" s="7">
        <f ca="1">(G515+DCF!$D$40+DCF!$D$41+DCF!$D$42-DCF!$D$43-DCF!$D$44)/DCF!$C$35</f>
        <v>2.125924989632427</v>
      </c>
    </row>
    <row r="516" spans="3:8" x14ac:dyDescent="0.35">
      <c r="C516" s="8">
        <f t="shared" ca="1" si="36"/>
        <v>0.103868309471978</v>
      </c>
      <c r="D516" s="7">
        <f t="shared" ca="1" si="37"/>
        <v>7.7090293490712322E-2</v>
      </c>
      <c r="E516" s="7">
        <f t="shared" ca="1" si="38"/>
        <v>0.33529522751536722</v>
      </c>
      <c r="F516" s="7">
        <f t="shared" ca="1" si="39"/>
        <v>1.8188958755731614E-2</v>
      </c>
      <c r="G516" s="7">
        <f t="shared" ca="1" si="35"/>
        <v>289.96852657934181</v>
      </c>
      <c r="H516" s="7">
        <f ca="1">(G516+DCF!$D$40+DCF!$D$41+DCF!$D$42-DCF!$D$43-DCF!$D$44)/DCF!$C$35</f>
        <v>2.2786743796102371</v>
      </c>
    </row>
    <row r="517" spans="3:8" x14ac:dyDescent="0.35">
      <c r="C517" s="8">
        <f t="shared" ca="1" si="36"/>
        <v>0.37473912887174832</v>
      </c>
      <c r="D517" s="7">
        <f t="shared" ca="1" si="37"/>
        <v>8.3584263550316673E-2</v>
      </c>
      <c r="E517" s="7">
        <f t="shared" ca="1" si="38"/>
        <v>0.70441073780529628</v>
      </c>
      <c r="F517" s="7">
        <f t="shared" ca="1" si="39"/>
        <v>2.2311186538942387E-2</v>
      </c>
      <c r="G517" s="7">
        <f t="shared" ca="1" si="35"/>
        <v>272.49428040333635</v>
      </c>
      <c r="H517" s="7">
        <f ca="1">(G517+DCF!$D$40+DCF!$D$41+DCF!$D$42-DCF!$D$43-DCF!$D$44)/DCF!$C$35</f>
        <v>2.1800501207999567</v>
      </c>
    </row>
    <row r="518" spans="3:8" x14ac:dyDescent="0.35">
      <c r="C518" s="8">
        <f t="shared" ca="1" si="36"/>
        <v>0.8378203624260806</v>
      </c>
      <c r="D518" s="7">
        <f t="shared" ca="1" si="37"/>
        <v>9.6546655600465214E-2</v>
      </c>
      <c r="E518" s="7">
        <f t="shared" ca="1" si="38"/>
        <v>0.97824575160200777</v>
      </c>
      <c r="F518" s="7">
        <f t="shared" ca="1" si="39"/>
        <v>2.7914130953391739E-2</v>
      </c>
      <c r="G518" s="7">
        <f t="shared" ca="1" si="35"/>
        <v>235.3048372364014</v>
      </c>
      <c r="H518" s="7">
        <f ca="1">(G518+DCF!$D$40+DCF!$D$41+DCF!$D$42-DCF!$D$43-DCF!$D$44)/DCF!$C$35</f>
        <v>1.970153726359642</v>
      </c>
    </row>
    <row r="519" spans="3:8" x14ac:dyDescent="0.35">
      <c r="C519" s="8">
        <f t="shared" ca="1" si="36"/>
        <v>0.85178135133586041</v>
      </c>
      <c r="D519" s="7">
        <f t="shared" ca="1" si="37"/>
        <v>9.713873987864409E-2</v>
      </c>
      <c r="E519" s="7">
        <f t="shared" ca="1" si="38"/>
        <v>3.9700171742285684E-2</v>
      </c>
      <c r="F519" s="7">
        <f t="shared" ca="1" si="39"/>
        <v>1.2817806655620136E-2</v>
      </c>
      <c r="G519" s="7">
        <f t="shared" ca="1" si="35"/>
        <v>203.31338399861232</v>
      </c>
      <c r="H519" s="7">
        <f ca="1">(G519+DCF!$D$40+DCF!$D$41+DCF!$D$42-DCF!$D$43-DCF!$D$44)/DCF!$C$35</f>
        <v>1.7895946720770533</v>
      </c>
    </row>
    <row r="520" spans="3:8" x14ac:dyDescent="0.35">
      <c r="C520" s="8">
        <f t="shared" ca="1" si="36"/>
        <v>0.58346768710122554</v>
      </c>
      <c r="D520" s="7">
        <f t="shared" ca="1" si="37"/>
        <v>8.8439618250248153E-2</v>
      </c>
      <c r="E520" s="7">
        <f t="shared" ca="1" si="38"/>
        <v>0.34410613178429417</v>
      </c>
      <c r="F520" s="7">
        <f t="shared" ca="1" si="39"/>
        <v>1.8295855974934647E-2</v>
      </c>
      <c r="G520" s="7">
        <f t="shared" ca="1" si="35"/>
        <v>240.99313785418187</v>
      </c>
      <c r="H520" s="7">
        <f ca="1">(G520+DCF!$D$40+DCF!$D$41+DCF!$D$42-DCF!$D$43-DCF!$D$44)/DCF!$C$35</f>
        <v>2.0022583691961953</v>
      </c>
    </row>
    <row r="521" spans="3:8" x14ac:dyDescent="0.35">
      <c r="C521" s="8">
        <f t="shared" ca="1" si="36"/>
        <v>0.42466181962999161</v>
      </c>
      <c r="D521" s="7">
        <f t="shared" ca="1" si="37"/>
        <v>8.4660753576853764E-2</v>
      </c>
      <c r="E521" s="7">
        <f t="shared" ca="1" si="38"/>
        <v>0.1559522488667946</v>
      </c>
      <c r="F521" s="7">
        <f t="shared" ca="1" si="39"/>
        <v>1.5584841069659808E-2</v>
      </c>
      <c r="G521" s="7">
        <f t="shared" ca="1" si="35"/>
        <v>248.22828338597418</v>
      </c>
      <c r="H521" s="7">
        <f ca="1">(G521+DCF!$D$40+DCF!$D$41+DCF!$D$42-DCF!$D$43-DCF!$D$44)/DCF!$C$35</f>
        <v>2.0430933705044256</v>
      </c>
    </row>
    <row r="522" spans="3:8" x14ac:dyDescent="0.35">
      <c r="C522" s="8">
        <f t="shared" ca="1" si="36"/>
        <v>0.35446369188113458</v>
      </c>
      <c r="D522" s="7">
        <f t="shared" ca="1" si="37"/>
        <v>8.3159386745816452E-2</v>
      </c>
      <c r="E522" s="7">
        <f t="shared" ca="1" si="38"/>
        <v>0.38452687978435784</v>
      </c>
      <c r="F522" s="7">
        <f t="shared" ca="1" si="39"/>
        <v>1.8769571024677981E-2</v>
      </c>
      <c r="G522" s="7">
        <f t="shared" ca="1" si="35"/>
        <v>263.21599896495167</v>
      </c>
      <c r="H522" s="7">
        <f ca="1">(G522+DCF!$D$40+DCF!$D$41+DCF!$D$42-DCF!$D$43-DCF!$D$44)/DCF!$C$35</f>
        <v>2.1276837056380611</v>
      </c>
    </row>
    <row r="523" spans="3:8" x14ac:dyDescent="0.35">
      <c r="C523" s="8">
        <f t="shared" ca="1" si="36"/>
        <v>0.44202635688843694</v>
      </c>
      <c r="D523" s="7">
        <f t="shared" ca="1" si="37"/>
        <v>8.5046070736004231E-2</v>
      </c>
      <c r="E523" s="7">
        <f t="shared" ca="1" si="38"/>
        <v>0.23924608452599005</v>
      </c>
      <c r="F523" s="7">
        <f t="shared" ca="1" si="39"/>
        <v>1.6917312838465384E-2</v>
      </c>
      <c r="G523" s="7">
        <f t="shared" ca="1" si="35"/>
        <v>250.24283230579115</v>
      </c>
      <c r="H523" s="7">
        <f ca="1">(G523+DCF!$D$40+DCF!$D$41+DCF!$D$42-DCF!$D$43-DCF!$D$44)/DCF!$C$35</f>
        <v>2.0544634400372002</v>
      </c>
    </row>
    <row r="524" spans="3:8" x14ac:dyDescent="0.35">
      <c r="C524" s="8">
        <f t="shared" ca="1" si="36"/>
        <v>0.88957162786736521</v>
      </c>
      <c r="D524" s="7">
        <f t="shared" ca="1" si="37"/>
        <v>9.8898735959359385E-2</v>
      </c>
      <c r="E524" s="7">
        <f t="shared" ca="1" si="38"/>
        <v>5.7555649429597677E-2</v>
      </c>
      <c r="F524" s="7">
        <f t="shared" ca="1" si="39"/>
        <v>1.3392805606856888E-2</v>
      </c>
      <c r="G524" s="7">
        <f t="shared" ca="1" si="35"/>
        <v>199.74054935410049</v>
      </c>
      <c r="H524" s="7">
        <f ca="1">(G524+DCF!$D$40+DCF!$D$41+DCF!$D$42-DCF!$D$43-DCF!$D$44)/DCF!$C$35</f>
        <v>1.7694296723902274</v>
      </c>
    </row>
    <row r="525" spans="3:8" x14ac:dyDescent="0.35">
      <c r="C525" s="8">
        <f t="shared" ca="1" si="36"/>
        <v>0.77257654549703403</v>
      </c>
      <c r="D525" s="7">
        <f t="shared" ca="1" si="37"/>
        <v>9.4068754749696754E-2</v>
      </c>
      <c r="E525" s="7">
        <f t="shared" ca="1" si="38"/>
        <v>7.6558227594066386E-2</v>
      </c>
      <c r="F525" s="7">
        <f t="shared" ca="1" si="39"/>
        <v>1.3913009777500342E-2</v>
      </c>
      <c r="G525" s="7">
        <f t="shared" ca="1" si="35"/>
        <v>213.54861443900307</v>
      </c>
      <c r="H525" s="7">
        <f ca="1">(G525+DCF!$D$40+DCF!$D$41+DCF!$D$42-DCF!$D$43-DCF!$D$44)/DCF!$C$35</f>
        <v>1.8473620862343552</v>
      </c>
    </row>
    <row r="526" spans="3:8" x14ac:dyDescent="0.35">
      <c r="C526" s="8">
        <f t="shared" ca="1" si="36"/>
        <v>9.1348026385884018E-2</v>
      </c>
      <c r="D526" s="7">
        <f t="shared" ca="1" si="37"/>
        <v>7.664924392474573E-2</v>
      </c>
      <c r="E526" s="7">
        <f t="shared" ca="1" si="38"/>
        <v>0.5306139964350689</v>
      </c>
      <c r="F526" s="7">
        <f t="shared" ca="1" si="39"/>
        <v>2.0310975244484809E-2</v>
      </c>
      <c r="G526" s="7">
        <f t="shared" ca="1" si="35"/>
        <v>300.60468865607282</v>
      </c>
      <c r="H526" s="7">
        <f ca="1">(G526+DCF!$D$40+DCF!$D$41+DCF!$D$42-DCF!$D$43-DCF!$D$44)/DCF!$C$35</f>
        <v>2.3387046430526741</v>
      </c>
    </row>
    <row r="527" spans="3:8" x14ac:dyDescent="0.35">
      <c r="C527" s="8">
        <f t="shared" ca="1" si="36"/>
        <v>0.1529696172494216</v>
      </c>
      <c r="D527" s="7">
        <f t="shared" ca="1" si="37"/>
        <v>7.8604492707226858E-2</v>
      </c>
      <c r="E527" s="7">
        <f t="shared" ca="1" si="38"/>
        <v>0.73062800115089144</v>
      </c>
      <c r="F527" s="7">
        <f t="shared" ca="1" si="39"/>
        <v>2.2660081760004291E-2</v>
      </c>
      <c r="G527" s="7">
        <f t="shared" ca="1" si="35"/>
        <v>299.24938206499075</v>
      </c>
      <c r="H527" s="7">
        <f ca="1">(G527+DCF!$D$40+DCF!$D$41+DCF!$D$42-DCF!$D$43-DCF!$D$44)/DCF!$C$35</f>
        <v>2.3310553226379431</v>
      </c>
    </row>
    <row r="528" spans="3:8" x14ac:dyDescent="0.35">
      <c r="C528" s="8">
        <f t="shared" ca="1" si="36"/>
        <v>0.84577003902704462</v>
      </c>
      <c r="D528" s="7">
        <f t="shared" ca="1" si="37"/>
        <v>9.6880524536178361E-2</v>
      </c>
      <c r="E528" s="7">
        <f t="shared" ca="1" si="38"/>
        <v>0.66812742979584283</v>
      </c>
      <c r="F528" s="7">
        <f t="shared" ca="1" si="39"/>
        <v>2.1852944455766153E-2</v>
      </c>
      <c r="G528" s="7">
        <f t="shared" ref="G528:G591" ca="1" si="40">$C$11/(1+D528)^1
 +$D$11/(1+D528)^2
 +$E$11/(1+D528)^3
 +$F$11/(1+D528)^4
 +$G$11/(1+D528)^5
 +$H$11/(1+D528)^6
 +$I$11/(1+D528)^7
 + ( $I$11*(1+F528)/(D528-F528) )/(1+D528)^7</f>
        <v>220.55692521804917</v>
      </c>
      <c r="H528" s="7">
        <f ca="1">(G528+DCF!$D$40+DCF!$D$41+DCF!$D$42-DCF!$D$43-DCF!$D$44)/DCF!$C$35</f>
        <v>1.8869168372166676</v>
      </c>
    </row>
    <row r="529" spans="3:8" x14ac:dyDescent="0.35">
      <c r="C529" s="8">
        <f t="shared" ref="C529:C592" ca="1" si="41">RAND()</f>
        <v>0.46619259303302096</v>
      </c>
      <c r="D529" s="7">
        <f t="shared" ref="D529:D592" ca="1" si="42">IF(C529&lt;($C$6-0.07)/(0.11-0.07),0.07+SQRT(C529*(0.11-0.07)*($C$6-0.07)),0.11-SQRT((1-C529)*(0.11-0.07)*(0.11-$C$6)))</f>
        <v>8.5592438340236679E-2</v>
      </c>
      <c r="E529" s="7">
        <f t="shared" ref="E529:E592" ca="1" si="43">RAND()</f>
        <v>0.28090019667668742</v>
      </c>
      <c r="F529" s="7">
        <f t="shared" ref="F529:F592" ca="1" si="44">MIN(
 IF(E529&lt;(0.02-0.01)/(0.03-0.01),
   0.01+SQRT(E529*(0.03-0.01)*(0.02-0.01)),
   0.03-SQRT((1-E529)*(0.03-0.01)*(0.03-0.02))
 ),
 D529-0.005
)</f>
        <v>1.7495334504565987E-2</v>
      </c>
      <c r="G529" s="7">
        <f t="shared" ca="1" si="40"/>
        <v>249.65433796560217</v>
      </c>
      <c r="H529" s="7">
        <f ca="1">(G529+DCF!$D$40+DCF!$D$41+DCF!$D$42-DCF!$D$43-DCF!$D$44)/DCF!$C$35</f>
        <v>2.0511419910012538</v>
      </c>
    </row>
    <row r="530" spans="3:8" x14ac:dyDescent="0.35">
      <c r="C530" s="8">
        <f t="shared" ca="1" si="41"/>
        <v>0.95305002946495887</v>
      </c>
      <c r="D530" s="7">
        <f t="shared" ca="1" si="42"/>
        <v>0.1027614803228073</v>
      </c>
      <c r="E530" s="7">
        <f t="shared" ca="1" si="43"/>
        <v>0.23480958011192443</v>
      </c>
      <c r="F530" s="7">
        <f t="shared" ca="1" si="44"/>
        <v>1.6852876477975134E-2</v>
      </c>
      <c r="G530" s="7">
        <f t="shared" ca="1" si="40"/>
        <v>195.5136527447255</v>
      </c>
      <c r="H530" s="7">
        <f ca="1">(G530+DCF!$D$40+DCF!$D$41+DCF!$D$42-DCF!$D$43-DCF!$D$44)/DCF!$C$35</f>
        <v>1.7455731614444379</v>
      </c>
    </row>
    <row r="531" spans="3:8" x14ac:dyDescent="0.35">
      <c r="C531" s="8">
        <f t="shared" ca="1" si="41"/>
        <v>0.76740691102120184</v>
      </c>
      <c r="D531" s="7">
        <f t="shared" ca="1" si="42"/>
        <v>9.3888703115504984E-2</v>
      </c>
      <c r="E531" s="7">
        <f t="shared" ca="1" si="43"/>
        <v>1.4700743098881586E-2</v>
      </c>
      <c r="F531" s="7">
        <f t="shared" ca="1" si="44"/>
        <v>1.1714686157807404E-2</v>
      </c>
      <c r="G531" s="7">
        <f t="shared" ca="1" si="40"/>
        <v>210.12988313182501</v>
      </c>
      <c r="H531" s="7">
        <f ca="1">(G531+DCF!$D$40+DCF!$D$41+DCF!$D$42-DCF!$D$43-DCF!$D$44)/DCF!$C$35</f>
        <v>1.8280668423739981</v>
      </c>
    </row>
    <row r="532" spans="3:8" x14ac:dyDescent="0.35">
      <c r="C532" s="8">
        <f t="shared" ca="1" si="41"/>
        <v>0.91939191716799129</v>
      </c>
      <c r="D532" s="7">
        <f t="shared" ca="1" si="42"/>
        <v>0.10051534816450695</v>
      </c>
      <c r="E532" s="7">
        <f t="shared" ca="1" si="43"/>
        <v>0.72993562972137394</v>
      </c>
      <c r="F532" s="7">
        <f t="shared" ca="1" si="44"/>
        <v>2.2650654855313625E-2</v>
      </c>
      <c r="G532" s="7">
        <f t="shared" ca="1" si="40"/>
        <v>211.23437199953185</v>
      </c>
      <c r="H532" s="7">
        <f ca="1">(G532+DCF!$D$40+DCF!$D$41+DCF!$D$42-DCF!$D$43-DCF!$D$44)/DCF!$C$35</f>
        <v>1.8343005531071894</v>
      </c>
    </row>
    <row r="533" spans="3:8" x14ac:dyDescent="0.35">
      <c r="C533" s="8">
        <f t="shared" ca="1" si="41"/>
        <v>0.94065016368485821</v>
      </c>
      <c r="D533" s="7">
        <f t="shared" ca="1" si="42"/>
        <v>0.10186154699419489</v>
      </c>
      <c r="E533" s="7">
        <f t="shared" ca="1" si="43"/>
        <v>0.13516688050768033</v>
      </c>
      <c r="F533" s="7">
        <f t="shared" ca="1" si="44"/>
        <v>1.5199363047675749E-2</v>
      </c>
      <c r="G533" s="7">
        <f t="shared" ca="1" si="40"/>
        <v>195.2053079252093</v>
      </c>
      <c r="H533" s="7">
        <f ca="1">(G533+DCF!$D$40+DCF!$D$41+DCF!$D$42-DCF!$D$43-DCF!$D$44)/DCF!$C$35</f>
        <v>1.7438328701050303</v>
      </c>
    </row>
    <row r="534" spans="3:8" x14ac:dyDescent="0.35">
      <c r="C534" s="8">
        <f t="shared" ca="1" si="41"/>
        <v>0.53641377495531983</v>
      </c>
      <c r="D534" s="7">
        <f t="shared" ca="1" si="42"/>
        <v>8.7254402026988545E-2</v>
      </c>
      <c r="E534" s="7">
        <f t="shared" ca="1" si="43"/>
        <v>0.55934056445148206</v>
      </c>
      <c r="F534" s="7">
        <f t="shared" ca="1" si="44"/>
        <v>2.0612141505662561E-2</v>
      </c>
      <c r="G534" s="7">
        <f t="shared" ca="1" si="40"/>
        <v>251.53189287109458</v>
      </c>
      <c r="H534" s="7">
        <f ca="1">(G534+DCF!$D$40+DCF!$D$41+DCF!$D$42-DCF!$D$43-DCF!$D$44)/DCF!$C$35</f>
        <v>2.0617388693480896</v>
      </c>
    </row>
    <row r="535" spans="3:8" x14ac:dyDescent="0.35">
      <c r="C535" s="8">
        <f t="shared" ca="1" si="41"/>
        <v>0.18386461295025369</v>
      </c>
      <c r="D535" s="7">
        <f t="shared" ca="1" si="42"/>
        <v>7.94334761709522E-2</v>
      </c>
      <c r="E535" s="7">
        <f t="shared" ca="1" si="43"/>
        <v>0.3773427354011254</v>
      </c>
      <c r="F535" s="7">
        <f t="shared" ca="1" si="44"/>
        <v>1.8687263497800966E-2</v>
      </c>
      <c r="G535" s="7">
        <f t="shared" ca="1" si="40"/>
        <v>280.00411971476507</v>
      </c>
      <c r="H535" s="7">
        <f ca="1">(G535+DCF!$D$40+DCF!$D$41+DCF!$D$42-DCF!$D$43-DCF!$D$44)/DCF!$C$35</f>
        <v>2.2224354877230219</v>
      </c>
    </row>
    <row r="536" spans="3:8" x14ac:dyDescent="0.35">
      <c r="C536" s="8">
        <f t="shared" ca="1" si="41"/>
        <v>0.27445474261646408</v>
      </c>
      <c r="D536" s="7">
        <f t="shared" ca="1" si="42"/>
        <v>8.1525454239480918E-2</v>
      </c>
      <c r="E536" s="7">
        <f t="shared" ca="1" si="43"/>
        <v>0.75295123054406687</v>
      </c>
      <c r="F536" s="7">
        <f t="shared" ca="1" si="44"/>
        <v>2.2970792797819471E-2</v>
      </c>
      <c r="G536" s="7">
        <f t="shared" ca="1" si="40"/>
        <v>284.84533748090655</v>
      </c>
      <c r="H536" s="7">
        <f ca="1">(G536+DCF!$D$40+DCF!$D$41+DCF!$D$42-DCF!$D$43-DCF!$D$44)/DCF!$C$35</f>
        <v>2.2497592136861186</v>
      </c>
    </row>
    <row r="537" spans="3:8" x14ac:dyDescent="0.35">
      <c r="C537" s="8">
        <f t="shared" ca="1" si="41"/>
        <v>0.86786493878018989</v>
      </c>
      <c r="D537" s="7">
        <f t="shared" ca="1" si="42"/>
        <v>9.7856576746184462E-2</v>
      </c>
      <c r="E537" s="7">
        <f t="shared" ca="1" si="43"/>
        <v>0.3053850106159246</v>
      </c>
      <c r="F537" s="7">
        <f t="shared" ca="1" si="44"/>
        <v>1.7815177677006768E-2</v>
      </c>
      <c r="G537" s="7">
        <f t="shared" ca="1" si="40"/>
        <v>209.91724096727418</v>
      </c>
      <c r="H537" s="7">
        <f ca="1">(G537+DCF!$D$40+DCF!$D$41+DCF!$D$42-DCF!$D$43-DCF!$D$44)/DCF!$C$35</f>
        <v>1.8268666947018524</v>
      </c>
    </row>
    <row r="538" spans="3:8" x14ac:dyDescent="0.35">
      <c r="C538" s="8">
        <f t="shared" ca="1" si="41"/>
        <v>0.30270044996189582</v>
      </c>
      <c r="D538" s="7">
        <f t="shared" ca="1" si="42"/>
        <v>8.2104009287309335E-2</v>
      </c>
      <c r="E538" s="7">
        <f t="shared" ca="1" si="43"/>
        <v>0.96160367639278843</v>
      </c>
      <c r="F538" s="7">
        <f t="shared" ca="1" si="44"/>
        <v>2.7228851371463032E-2</v>
      </c>
      <c r="G538" s="7">
        <f t="shared" ca="1" si="40"/>
        <v>298.39117572737172</v>
      </c>
      <c r="H538" s="7">
        <f ca="1">(G538+DCF!$D$40+DCF!$D$41+DCF!$D$42-DCF!$D$43-DCF!$D$44)/DCF!$C$35</f>
        <v>2.3262116250557154</v>
      </c>
    </row>
    <row r="539" spans="3:8" x14ac:dyDescent="0.35">
      <c r="C539" s="8">
        <f t="shared" ca="1" si="41"/>
        <v>0.51645319995272487</v>
      </c>
      <c r="D539" s="7">
        <f t="shared" ca="1" si="42"/>
        <v>8.676988530263445E-2</v>
      </c>
      <c r="E539" s="7">
        <f t="shared" ca="1" si="43"/>
        <v>0.85123703569748277</v>
      </c>
      <c r="F539" s="7">
        <f t="shared" ca="1" si="44"/>
        <v>2.454540626072817E-2</v>
      </c>
      <c r="G539" s="7">
        <f t="shared" ca="1" si="40"/>
        <v>265.16130358311642</v>
      </c>
      <c r="H539" s="7">
        <f ca="1">(G539+DCF!$D$40+DCF!$D$41+DCF!$D$42-DCF!$D$43-DCF!$D$44)/DCF!$C$35</f>
        <v>2.1386629618642985</v>
      </c>
    </row>
    <row r="540" spans="3:8" x14ac:dyDescent="0.35">
      <c r="C540" s="8">
        <f t="shared" ca="1" si="41"/>
        <v>0.91053254649719284</v>
      </c>
      <c r="D540" s="7">
        <f t="shared" ca="1" si="42"/>
        <v>0.10000771907374834</v>
      </c>
      <c r="E540" s="7">
        <f t="shared" ca="1" si="43"/>
        <v>0.61608883012181015</v>
      </c>
      <c r="F540" s="7">
        <f t="shared" ca="1" si="44"/>
        <v>2.1237452768992457E-2</v>
      </c>
      <c r="G540" s="7">
        <f t="shared" ca="1" si="40"/>
        <v>210.06775307829622</v>
      </c>
      <c r="H540" s="7">
        <f ca="1">(G540+DCF!$D$40+DCF!$D$41+DCF!$D$42-DCF!$D$43-DCF!$D$44)/DCF!$C$35</f>
        <v>1.8277161817264713</v>
      </c>
    </row>
    <row r="541" spans="3:8" x14ac:dyDescent="0.35">
      <c r="C541" s="8">
        <f t="shared" ca="1" si="41"/>
        <v>0.36027426212023672</v>
      </c>
      <c r="D541" s="7">
        <f t="shared" ca="1" si="42"/>
        <v>8.3280458022753912E-2</v>
      </c>
      <c r="E541" s="7">
        <f t="shared" ca="1" si="43"/>
        <v>0.51157427736115146</v>
      </c>
      <c r="F541" s="7">
        <f t="shared" ca="1" si="44"/>
        <v>2.0116420459784335E-2</v>
      </c>
      <c r="G541" s="7">
        <f t="shared" ca="1" si="40"/>
        <v>266.81548689411875</v>
      </c>
      <c r="H541" s="7">
        <f ca="1">(G541+DCF!$D$40+DCF!$D$41+DCF!$D$42-DCF!$D$43-DCF!$D$44)/DCF!$C$35</f>
        <v>2.1479991358737935</v>
      </c>
    </row>
    <row r="542" spans="3:8" x14ac:dyDescent="0.35">
      <c r="C542" s="8">
        <f t="shared" ca="1" si="41"/>
        <v>0.87756817974518175</v>
      </c>
      <c r="D542" s="7">
        <f t="shared" ca="1" si="42"/>
        <v>9.8310949080255616E-2</v>
      </c>
      <c r="E542" s="7">
        <f t="shared" ca="1" si="43"/>
        <v>0.84055280326568205</v>
      </c>
      <c r="F542" s="7">
        <f t="shared" ca="1" si="44"/>
        <v>2.4352926479417537E-2</v>
      </c>
      <c r="G542" s="7">
        <f t="shared" ca="1" si="40"/>
        <v>221.2580519680524</v>
      </c>
      <c r="H542" s="7">
        <f ca="1">(G542+DCF!$D$40+DCF!$D$41+DCF!$D$42-DCF!$D$43-DCF!$D$44)/DCF!$C$35</f>
        <v>1.8908739810816819</v>
      </c>
    </row>
    <row r="543" spans="3:8" x14ac:dyDescent="0.35">
      <c r="C543" s="8">
        <f t="shared" ca="1" si="41"/>
        <v>0.76076334152872394</v>
      </c>
      <c r="D543" s="7">
        <f t="shared" ca="1" si="42"/>
        <v>9.3660229167643022E-2</v>
      </c>
      <c r="E543" s="7">
        <f t="shared" ca="1" si="43"/>
        <v>0.54309887962092673</v>
      </c>
      <c r="F543" s="7">
        <f t="shared" ca="1" si="44"/>
        <v>2.0440699603223325E-2</v>
      </c>
      <c r="G543" s="7">
        <f t="shared" ca="1" si="40"/>
        <v>227.88305930956025</v>
      </c>
      <c r="H543" s="7">
        <f ca="1">(G543+DCF!$D$40+DCF!$D$41+DCF!$D$42-DCF!$D$43-DCF!$D$44)/DCF!$C$35</f>
        <v>1.9282653759428845</v>
      </c>
    </row>
    <row r="544" spans="3:8" x14ac:dyDescent="0.35">
      <c r="C544" s="8">
        <f t="shared" ca="1" si="41"/>
        <v>4.1747869721715625E-2</v>
      </c>
      <c r="D544" s="7">
        <f t="shared" ca="1" si="42"/>
        <v>7.4495104998252029E-2</v>
      </c>
      <c r="E544" s="7">
        <f t="shared" ca="1" si="43"/>
        <v>0.49094098751793169</v>
      </c>
      <c r="F544" s="7">
        <f t="shared" ca="1" si="44"/>
        <v>1.9908995786838662E-2</v>
      </c>
      <c r="G544" s="7">
        <f t="shared" ca="1" si="40"/>
        <v>311.36079576880843</v>
      </c>
      <c r="H544" s="7">
        <f ca="1">(G544+DCF!$D$40+DCF!$D$41+DCF!$D$42-DCF!$D$43-DCF!$D$44)/DCF!$C$35</f>
        <v>2.3994118736246102</v>
      </c>
    </row>
    <row r="545" spans="3:8" x14ac:dyDescent="0.35">
      <c r="C545" s="8">
        <f t="shared" ca="1" si="41"/>
        <v>0.2005268175513345</v>
      </c>
      <c r="D545" s="7">
        <f t="shared" ca="1" si="42"/>
        <v>7.9851648577514631E-2</v>
      </c>
      <c r="E545" s="7">
        <f t="shared" ca="1" si="43"/>
        <v>0.88097344967860358</v>
      </c>
      <c r="F545" s="7">
        <f t="shared" ca="1" si="44"/>
        <v>2.5120931434763467E-2</v>
      </c>
      <c r="G545" s="7">
        <f t="shared" ca="1" si="40"/>
        <v>302.40967022090251</v>
      </c>
      <c r="H545" s="7">
        <f ca="1">(G545+DCF!$D$40+DCF!$D$41+DCF!$D$42-DCF!$D$43-DCF!$D$44)/DCF!$C$35</f>
        <v>2.3488919190704509</v>
      </c>
    </row>
    <row r="546" spans="3:8" x14ac:dyDescent="0.35">
      <c r="C546" s="8">
        <f t="shared" ca="1" si="41"/>
        <v>0.31455844864473947</v>
      </c>
      <c r="D546" s="7">
        <f t="shared" ca="1" si="42"/>
        <v>8.234222041969981E-2</v>
      </c>
      <c r="E546" s="7">
        <f t="shared" ca="1" si="43"/>
        <v>0.60514028467939229</v>
      </c>
      <c r="F546" s="7">
        <f t="shared" ca="1" si="44"/>
        <v>2.1113384048800043E-2</v>
      </c>
      <c r="G546" s="7">
        <f t="shared" ca="1" si="40"/>
        <v>274.33435872564866</v>
      </c>
      <c r="H546" s="7">
        <f ca="1">(G546+DCF!$D$40+DCF!$D$41+DCF!$D$42-DCF!$D$43-DCF!$D$44)/DCF!$C$35</f>
        <v>2.190435482140471</v>
      </c>
    </row>
    <row r="547" spans="3:8" x14ac:dyDescent="0.35">
      <c r="C547" s="8">
        <f t="shared" ca="1" si="41"/>
        <v>0.53906135370452068</v>
      </c>
      <c r="D547" s="7">
        <f t="shared" ca="1" si="42"/>
        <v>8.7319446010607357E-2</v>
      </c>
      <c r="E547" s="7">
        <f t="shared" ca="1" si="43"/>
        <v>0.47977993958357235</v>
      </c>
      <c r="F547" s="7">
        <f t="shared" ca="1" si="44"/>
        <v>1.9795712731430749E-2</v>
      </c>
      <c r="G547" s="7">
        <f t="shared" ca="1" si="40"/>
        <v>249.06307013316064</v>
      </c>
      <c r="H547" s="7">
        <f ca="1">(G547+DCF!$D$40+DCF!$D$41+DCF!$D$42-DCF!$D$43-DCF!$D$44)/DCF!$C$35</f>
        <v>2.0478048884363957</v>
      </c>
    </row>
    <row r="548" spans="3:8" x14ac:dyDescent="0.35">
      <c r="C548" s="8">
        <f t="shared" ca="1" si="41"/>
        <v>0.87852399688197136</v>
      </c>
      <c r="D548" s="7">
        <f t="shared" ca="1" si="42"/>
        <v>9.8356666307293256E-2</v>
      </c>
      <c r="E548" s="7">
        <f t="shared" ca="1" si="43"/>
        <v>0.84759218531291203</v>
      </c>
      <c r="F548" s="7">
        <f t="shared" ca="1" si="44"/>
        <v>2.4478988956955654E-2</v>
      </c>
      <c r="G548" s="7">
        <f t="shared" ca="1" si="40"/>
        <v>221.37815714000405</v>
      </c>
      <c r="H548" s="7">
        <f ca="1">(G548+DCF!$D$40+DCF!$D$41+DCF!$D$42-DCF!$D$43-DCF!$D$44)/DCF!$C$35</f>
        <v>1.891551852014923</v>
      </c>
    </row>
    <row r="549" spans="3:8" x14ac:dyDescent="0.35">
      <c r="C549" s="8">
        <f t="shared" ca="1" si="41"/>
        <v>0.96378573234281439</v>
      </c>
      <c r="D549" s="7">
        <f t="shared" ca="1" si="42"/>
        <v>0.10364271105695053</v>
      </c>
      <c r="E549" s="7">
        <f t="shared" ca="1" si="43"/>
        <v>8.7832570275995225E-3</v>
      </c>
      <c r="F549" s="7">
        <f t="shared" ca="1" si="44"/>
        <v>1.1325387266243306E-2</v>
      </c>
      <c r="G549" s="7">
        <f t="shared" ca="1" si="40"/>
        <v>185.69439756575468</v>
      </c>
      <c r="H549" s="7">
        <f ca="1">(G549+DCF!$D$40+DCF!$D$41+DCF!$D$42-DCF!$D$43-DCF!$D$44)/DCF!$C$35</f>
        <v>1.6901535024593897</v>
      </c>
    </row>
    <row r="550" spans="3:8" x14ac:dyDescent="0.35">
      <c r="C550" s="8">
        <f t="shared" ca="1" si="41"/>
        <v>0.83976463917869137</v>
      </c>
      <c r="D550" s="7">
        <f t="shared" ca="1" si="42"/>
        <v>9.662754088895463E-2</v>
      </c>
      <c r="E550" s="7">
        <f t="shared" ca="1" si="43"/>
        <v>0.68700120758447281</v>
      </c>
      <c r="F550" s="7">
        <f t="shared" ca="1" si="44"/>
        <v>2.2087999084738082E-2</v>
      </c>
      <c r="G550" s="7">
        <f t="shared" ca="1" si="40"/>
        <v>221.83651376656371</v>
      </c>
      <c r="H550" s="7">
        <f ca="1">(G550+DCF!$D$40+DCF!$D$41+DCF!$D$42-DCF!$D$43-DCF!$D$44)/DCF!$C$35</f>
        <v>1.8941388066743634</v>
      </c>
    </row>
    <row r="551" spans="3:8" x14ac:dyDescent="0.35">
      <c r="C551" s="8">
        <f t="shared" ca="1" si="41"/>
        <v>0.79069798239934519</v>
      </c>
      <c r="D551" s="7">
        <f t="shared" ca="1" si="42"/>
        <v>9.4716641349417638E-2</v>
      </c>
      <c r="E551" s="7">
        <f t="shared" ca="1" si="43"/>
        <v>0.65144010192899049</v>
      </c>
      <c r="F551" s="7">
        <f t="shared" ca="1" si="44"/>
        <v>2.1650629986986927E-2</v>
      </c>
      <c r="G551" s="7">
        <f t="shared" ca="1" si="40"/>
        <v>227.05706852064816</v>
      </c>
      <c r="H551" s="7">
        <f ca="1">(G551+DCF!$D$40+DCF!$D$41+DCF!$D$42-DCF!$D$43-DCF!$D$44)/DCF!$C$35</f>
        <v>1.9236035022048095</v>
      </c>
    </row>
    <row r="552" spans="3:8" x14ac:dyDescent="0.35">
      <c r="C552" s="8">
        <f t="shared" ca="1" si="41"/>
        <v>0.48953544490558387</v>
      </c>
      <c r="D552" s="7">
        <f t="shared" ca="1" si="42"/>
        <v>8.6132062437542539E-2</v>
      </c>
      <c r="E552" s="7">
        <f t="shared" ca="1" si="43"/>
        <v>0.12709155211799483</v>
      </c>
      <c r="F552" s="7">
        <f t="shared" ca="1" si="44"/>
        <v>1.5041657507566234E-2</v>
      </c>
      <c r="G552" s="7">
        <f t="shared" ca="1" si="40"/>
        <v>241.40384561431222</v>
      </c>
      <c r="H552" s="7">
        <f ca="1">(G552+DCF!$D$40+DCF!$D$41+DCF!$D$42-DCF!$D$43-DCF!$D$44)/DCF!$C$35</f>
        <v>2.0045763947077107</v>
      </c>
    </row>
    <row r="553" spans="3:8" x14ac:dyDescent="0.35">
      <c r="C553" s="8">
        <f t="shared" ca="1" si="41"/>
        <v>0.3166087605202087</v>
      </c>
      <c r="D553" s="7">
        <f t="shared" ca="1" si="42"/>
        <v>8.2383616759983819E-2</v>
      </c>
      <c r="E553" s="7">
        <f t="shared" ca="1" si="43"/>
        <v>0.35306539620060284</v>
      </c>
      <c r="F553" s="7">
        <f t="shared" ca="1" si="44"/>
        <v>1.8403158884617174E-2</v>
      </c>
      <c r="G553" s="7">
        <f t="shared" ca="1" si="40"/>
        <v>265.47681890784008</v>
      </c>
      <c r="H553" s="7">
        <f ca="1">(G553+DCF!$D$40+DCF!$D$41+DCF!$D$42-DCF!$D$43-DCF!$D$44)/DCF!$C$35</f>
        <v>2.1404437233764537</v>
      </c>
    </row>
    <row r="554" spans="3:8" x14ac:dyDescent="0.35">
      <c r="C554" s="8">
        <f t="shared" ca="1" si="41"/>
        <v>2.3216960287703148E-2</v>
      </c>
      <c r="D554" s="7">
        <f t="shared" ca="1" si="42"/>
        <v>7.3352164789989946E-2</v>
      </c>
      <c r="E554" s="7">
        <f t="shared" ca="1" si="43"/>
        <v>0.53483122953653761</v>
      </c>
      <c r="F554" s="7">
        <f t="shared" ca="1" si="44"/>
        <v>2.0354599329592757E-2</v>
      </c>
      <c r="G554" s="7">
        <f t="shared" ca="1" si="40"/>
        <v>320.4110190444037</v>
      </c>
      <c r="H554" s="7">
        <f ca="1">(G554+DCF!$D$40+DCF!$D$41+DCF!$D$42-DCF!$D$43-DCF!$D$44)/DCF!$C$35</f>
        <v>2.4504911335613708</v>
      </c>
    </row>
    <row r="555" spans="3:8" x14ac:dyDescent="0.35">
      <c r="C555" s="8">
        <f t="shared" ca="1" si="41"/>
        <v>0.7366075465987707</v>
      </c>
      <c r="D555" s="7">
        <f t="shared" ca="1" si="42"/>
        <v>9.2855147186523546E-2</v>
      </c>
      <c r="E555" s="7">
        <f t="shared" ca="1" si="43"/>
        <v>0.53412671216486285</v>
      </c>
      <c r="F555" s="7">
        <f t="shared" ca="1" si="44"/>
        <v>2.0347297913691345E-2</v>
      </c>
      <c r="G555" s="7">
        <f t="shared" ca="1" si="40"/>
        <v>230.35893487640323</v>
      </c>
      <c r="H555" s="7">
        <f ca="1">(G555+DCF!$D$40+DCF!$D$41+DCF!$D$42-DCF!$D$43-DCF!$D$44)/DCF!$C$35</f>
        <v>1.9422391628649012</v>
      </c>
    </row>
    <row r="556" spans="3:8" x14ac:dyDescent="0.35">
      <c r="C556" s="8">
        <f t="shared" ca="1" si="41"/>
        <v>0.20023341995385291</v>
      </c>
      <c r="D556" s="7">
        <f t="shared" ca="1" si="42"/>
        <v>7.9844438798512843E-2</v>
      </c>
      <c r="E556" s="7">
        <f t="shared" ca="1" si="43"/>
        <v>0.66351958085517115</v>
      </c>
      <c r="F556" s="7">
        <f t="shared" ca="1" si="44"/>
        <v>2.1796580967123173E-2</v>
      </c>
      <c r="G556" s="7">
        <f t="shared" ca="1" si="40"/>
        <v>289.15260075882742</v>
      </c>
      <c r="H556" s="7">
        <f ca="1">(G556+DCF!$D$40+DCF!$D$41+DCF!$D$42-DCF!$D$43-DCF!$D$44)/DCF!$C$35</f>
        <v>2.2740693123311173</v>
      </c>
    </row>
    <row r="557" spans="3:8" x14ac:dyDescent="0.35">
      <c r="C557" s="8">
        <f t="shared" ca="1" si="41"/>
        <v>3.3980325088954877E-2</v>
      </c>
      <c r="D557" s="7">
        <f t="shared" ca="1" si="42"/>
        <v>7.4055425667307218E-2</v>
      </c>
      <c r="E557" s="7">
        <f t="shared" ca="1" si="43"/>
        <v>0.84588787596718573</v>
      </c>
      <c r="F557" s="7">
        <f t="shared" ca="1" si="44"/>
        <v>2.4448205262569331E-2</v>
      </c>
      <c r="G557" s="7">
        <f t="shared" ca="1" si="40"/>
        <v>336.18848646199024</v>
      </c>
      <c r="H557" s="7">
        <f ca="1">(G557+DCF!$D$40+DCF!$D$41+DCF!$D$42-DCF!$D$43-DCF!$D$44)/DCF!$C$35</f>
        <v>2.5395388105993355</v>
      </c>
    </row>
    <row r="558" spans="3:8" x14ac:dyDescent="0.35">
      <c r="C558" s="8">
        <f t="shared" ca="1" si="41"/>
        <v>0.29899956257415206</v>
      </c>
      <c r="D558" s="7">
        <f t="shared" ca="1" si="42"/>
        <v>8.2029787541178345E-2</v>
      </c>
      <c r="E558" s="7">
        <f t="shared" ca="1" si="43"/>
        <v>5.0785371471806839E-2</v>
      </c>
      <c r="F558" s="7">
        <f t="shared" ca="1" si="44"/>
        <v>1.3187016519311026E-2</v>
      </c>
      <c r="G558" s="7">
        <f t="shared" ca="1" si="40"/>
        <v>252.08523301791786</v>
      </c>
      <c r="H558" s="7">
        <f ca="1">(G558+DCF!$D$40+DCF!$D$41+DCF!$D$42-DCF!$D$43-DCF!$D$44)/DCF!$C$35</f>
        <v>2.0648619088944455</v>
      </c>
    </row>
    <row r="559" spans="3:8" x14ac:dyDescent="0.35">
      <c r="C559" s="8">
        <f t="shared" ca="1" si="41"/>
        <v>0.8619748754193779</v>
      </c>
      <c r="D559" s="7">
        <f t="shared" ca="1" si="42"/>
        <v>9.7588874384973212E-2</v>
      </c>
      <c r="E559" s="7">
        <f t="shared" ca="1" si="43"/>
        <v>0.46490778561549495</v>
      </c>
      <c r="F559" s="7">
        <f t="shared" ca="1" si="44"/>
        <v>1.9642694494958292E-2</v>
      </c>
      <c r="G559" s="7">
        <f t="shared" ca="1" si="40"/>
        <v>214.05579326186691</v>
      </c>
      <c r="H559" s="7">
        <f ca="1">(G559+DCF!$D$40+DCF!$D$41+DCF!$D$42-DCF!$D$43-DCF!$D$44)/DCF!$C$35</f>
        <v>1.850224592289575</v>
      </c>
    </row>
    <row r="560" spans="3:8" x14ac:dyDescent="0.35">
      <c r="C560" s="8">
        <f t="shared" ca="1" si="41"/>
        <v>0.41583403299116539</v>
      </c>
      <c r="D560" s="7">
        <f t="shared" ca="1" si="42"/>
        <v>8.4467095363397082E-2</v>
      </c>
      <c r="E560" s="7">
        <f t="shared" ca="1" si="43"/>
        <v>0.74709550304478323</v>
      </c>
      <c r="F560" s="7">
        <f t="shared" ca="1" si="44"/>
        <v>2.2887975014734316E-2</v>
      </c>
      <c r="G560" s="7">
        <f t="shared" ca="1" si="40"/>
        <v>270.2946829020255</v>
      </c>
      <c r="H560" s="7">
        <f ca="1">(G560+DCF!$D$40+DCF!$D$41+DCF!$D$42-DCF!$D$43-DCF!$D$44)/DCF!$C$35</f>
        <v>2.1676356411673185</v>
      </c>
    </row>
    <row r="561" spans="3:8" x14ac:dyDescent="0.35">
      <c r="C561" s="8">
        <f t="shared" ca="1" si="41"/>
        <v>0.96948950566944048</v>
      </c>
      <c r="D561" s="7">
        <f t="shared" ca="1" si="42"/>
        <v>0.10416478692137944</v>
      </c>
      <c r="E561" s="7">
        <f t="shared" ca="1" si="43"/>
        <v>0.42020351286972046</v>
      </c>
      <c r="F561" s="7">
        <f t="shared" ca="1" si="44"/>
        <v>1.9167371628440951E-2</v>
      </c>
      <c r="G561" s="7">
        <f t="shared" ca="1" si="40"/>
        <v>195.6138245404664</v>
      </c>
      <c r="H561" s="7">
        <f ca="1">(G561+DCF!$D$40+DCF!$D$41+DCF!$D$42-DCF!$D$43-DCF!$D$44)/DCF!$C$35</f>
        <v>1.7461385288433593</v>
      </c>
    </row>
    <row r="562" spans="3:8" x14ac:dyDescent="0.35">
      <c r="C562" s="8">
        <f t="shared" ca="1" si="41"/>
        <v>0.44712520941816769</v>
      </c>
      <c r="D562" s="7">
        <f t="shared" ca="1" si="42"/>
        <v>8.5160348909670155E-2</v>
      </c>
      <c r="E562" s="7">
        <f t="shared" ca="1" si="43"/>
        <v>0.58523501753865115</v>
      </c>
      <c r="F562" s="7">
        <f t="shared" ca="1" si="44"/>
        <v>2.0892146438799657E-2</v>
      </c>
      <c r="G562" s="7">
        <f t="shared" ca="1" si="40"/>
        <v>260.9809724221048</v>
      </c>
      <c r="H562" s="7">
        <f ca="1">(G562+DCF!$D$40+DCF!$D$41+DCF!$D$42-DCF!$D$43-DCF!$D$44)/DCF!$C$35</f>
        <v>2.1150692652788394</v>
      </c>
    </row>
    <row r="563" spans="3:8" x14ac:dyDescent="0.35">
      <c r="C563" s="8">
        <f t="shared" ca="1" si="41"/>
        <v>0.90937052542969132</v>
      </c>
      <c r="D563" s="7">
        <f t="shared" ca="1" si="42"/>
        <v>9.9943037554983891E-2</v>
      </c>
      <c r="E563" s="7">
        <f t="shared" ca="1" si="43"/>
        <v>0.27154329809513911</v>
      </c>
      <c r="F563" s="7">
        <f t="shared" ca="1" si="44"/>
        <v>1.7369440929882525E-2</v>
      </c>
      <c r="G563" s="7">
        <f t="shared" ca="1" si="40"/>
        <v>203.48033110890574</v>
      </c>
      <c r="H563" s="7">
        <f ca="1">(G563+DCF!$D$40+DCF!$D$41+DCF!$D$42-DCF!$D$43-DCF!$D$44)/DCF!$C$35</f>
        <v>1.7905369178739456</v>
      </c>
    </row>
    <row r="564" spans="3:8" x14ac:dyDescent="0.35">
      <c r="C564" s="8">
        <f t="shared" ca="1" si="41"/>
        <v>0.6501688597891736</v>
      </c>
      <c r="D564" s="7">
        <f t="shared" ca="1" si="42"/>
        <v>9.0241165204514667E-2</v>
      </c>
      <c r="E564" s="7">
        <f t="shared" ca="1" si="43"/>
        <v>0.21686419757871689</v>
      </c>
      <c r="F564" s="7">
        <f t="shared" ca="1" si="44"/>
        <v>1.6585805912395488E-2</v>
      </c>
      <c r="G564" s="7">
        <f t="shared" ca="1" si="40"/>
        <v>230.7257916445997</v>
      </c>
      <c r="H564" s="7">
        <f ca="1">(G564+DCF!$D$40+DCF!$D$41+DCF!$D$42-DCF!$D$43-DCF!$D$44)/DCF!$C$35</f>
        <v>1.9443096943481186</v>
      </c>
    </row>
    <row r="565" spans="3:8" x14ac:dyDescent="0.35">
      <c r="C565" s="8">
        <f t="shared" ca="1" si="41"/>
        <v>0.99040858404549281</v>
      </c>
      <c r="D565" s="7">
        <f t="shared" ca="1" si="42"/>
        <v>0.10672830010465048</v>
      </c>
      <c r="E565" s="7">
        <f t="shared" ca="1" si="43"/>
        <v>0.36184474001264222</v>
      </c>
      <c r="F565" s="7">
        <f t="shared" ca="1" si="44"/>
        <v>1.8506994063858775E-2</v>
      </c>
      <c r="G565" s="7">
        <f t="shared" ca="1" si="40"/>
        <v>188.55707879475676</v>
      </c>
      <c r="H565" s="7">
        <f ca="1">(G565+DCF!$D$40+DCF!$D$41+DCF!$D$42-DCF!$D$43-DCF!$D$44)/DCF!$C$35</f>
        <v>1.7063104119807921</v>
      </c>
    </row>
    <row r="566" spans="3:8" x14ac:dyDescent="0.35">
      <c r="C566" s="8">
        <f t="shared" ca="1" si="41"/>
        <v>0.18454525479024819</v>
      </c>
      <c r="D566" s="7">
        <f t="shared" ca="1" si="42"/>
        <v>7.9450920765643959E-2</v>
      </c>
      <c r="E566" s="7">
        <f t="shared" ca="1" si="43"/>
        <v>0.69384851648227674</v>
      </c>
      <c r="F566" s="7">
        <f t="shared" ca="1" si="44"/>
        <v>2.2175020977437405E-2</v>
      </c>
      <c r="G566" s="7">
        <f t="shared" ca="1" si="40"/>
        <v>292.68213673998935</v>
      </c>
      <c r="H566" s="7">
        <f ca="1">(G566+DCF!$D$40+DCF!$D$41+DCF!$D$42-DCF!$D$43-DCF!$D$44)/DCF!$C$35</f>
        <v>2.2939899353199533</v>
      </c>
    </row>
    <row r="567" spans="3:8" x14ac:dyDescent="0.35">
      <c r="C567" s="8">
        <f t="shared" ca="1" si="41"/>
        <v>0.96813909184959313</v>
      </c>
      <c r="D567" s="7">
        <f t="shared" ca="1" si="42"/>
        <v>0.10403704993347637</v>
      </c>
      <c r="E567" s="7">
        <f t="shared" ca="1" si="43"/>
        <v>0.4032499245116552</v>
      </c>
      <c r="F567" s="7">
        <f t="shared" ca="1" si="44"/>
        <v>1.8980533664673331E-2</v>
      </c>
      <c r="G567" s="7">
        <f t="shared" ca="1" si="40"/>
        <v>195.64055694075566</v>
      </c>
      <c r="H567" s="7">
        <f ca="1">(G567+DCF!$D$40+DCF!$D$41+DCF!$D$42-DCF!$D$43-DCF!$D$44)/DCF!$C$35</f>
        <v>1.7462894059191538</v>
      </c>
    </row>
    <row r="568" spans="3:8" x14ac:dyDescent="0.35">
      <c r="C568" s="8">
        <f t="shared" ca="1" si="41"/>
        <v>0.56838545344033164</v>
      </c>
      <c r="D568" s="7">
        <f t="shared" ca="1" si="42"/>
        <v>8.805274882905402E-2</v>
      </c>
      <c r="E568" s="7">
        <f t="shared" ca="1" si="43"/>
        <v>0.42909260517257597</v>
      </c>
      <c r="F568" s="7">
        <f t="shared" ca="1" si="44"/>
        <v>1.926382863801545E-2</v>
      </c>
      <c r="G568" s="7">
        <f t="shared" ca="1" si="40"/>
        <v>244.85953640063997</v>
      </c>
      <c r="H568" s="7">
        <f ca="1">(G568+DCF!$D$40+DCF!$D$41+DCF!$D$42-DCF!$D$43-DCF!$D$44)/DCF!$C$35</f>
        <v>2.0240802370506827</v>
      </c>
    </row>
    <row r="569" spans="3:8" x14ac:dyDescent="0.35">
      <c r="C569" s="8">
        <f t="shared" ca="1" si="41"/>
        <v>0.11558644404990215</v>
      </c>
      <c r="D569" s="7">
        <f t="shared" ca="1" si="42"/>
        <v>7.7479561412285666E-2</v>
      </c>
      <c r="E569" s="7">
        <f t="shared" ca="1" si="43"/>
        <v>0.97993290596482263</v>
      </c>
      <c r="F569" s="7">
        <f t="shared" ca="1" si="44"/>
        <v>2.7996648107037739E-2</v>
      </c>
      <c r="G569" s="7">
        <f t="shared" ca="1" si="40"/>
        <v>331.00824345014587</v>
      </c>
      <c r="H569" s="7">
        <f ca="1">(G569+DCF!$D$40+DCF!$D$41+DCF!$D$42-DCF!$D$43-DCF!$D$44)/DCF!$C$35</f>
        <v>2.5103016336502191</v>
      </c>
    </row>
    <row r="570" spans="3:8" x14ac:dyDescent="0.35">
      <c r="C570" s="8">
        <f t="shared" ca="1" si="41"/>
        <v>0.32645210304856243</v>
      </c>
      <c r="D570" s="7">
        <f t="shared" ca="1" si="42"/>
        <v>8.2583226794573292E-2</v>
      </c>
      <c r="E570" s="7">
        <f t="shared" ca="1" si="43"/>
        <v>0.10720801817145775</v>
      </c>
      <c r="F570" s="7">
        <f t="shared" ca="1" si="44"/>
        <v>1.4630507924006993E-2</v>
      </c>
      <c r="G570" s="7">
        <f t="shared" ca="1" si="40"/>
        <v>253.77838826393833</v>
      </c>
      <c r="H570" s="7">
        <f ca="1">(G570+DCF!$D$40+DCF!$D$41+DCF!$D$42-DCF!$D$43-DCF!$D$44)/DCF!$C$35</f>
        <v>2.0744180396429526</v>
      </c>
    </row>
    <row r="571" spans="3:8" x14ac:dyDescent="0.35">
      <c r="C571" s="8">
        <f t="shared" ca="1" si="41"/>
        <v>0.1725294965187737</v>
      </c>
      <c r="D571" s="7">
        <f t="shared" ca="1" si="42"/>
        <v>7.9138067427803688E-2</v>
      </c>
      <c r="E571" s="7">
        <f t="shared" ca="1" si="43"/>
        <v>1.8818549837067322E-2</v>
      </c>
      <c r="F571" s="7">
        <f t="shared" ca="1" si="44"/>
        <v>1.1940028341909846E-2</v>
      </c>
      <c r="G571" s="7">
        <f t="shared" ca="1" si="40"/>
        <v>260.2550420110623</v>
      </c>
      <c r="H571" s="7">
        <f ca="1">(G571+DCF!$D$40+DCF!$D$41+DCF!$D$42-DCF!$D$43-DCF!$D$44)/DCF!$C$35</f>
        <v>2.1109721300996855</v>
      </c>
    </row>
    <row r="572" spans="3:8" x14ac:dyDescent="0.35">
      <c r="C572" s="8">
        <f t="shared" ca="1" si="41"/>
        <v>0.19137775947875957</v>
      </c>
      <c r="D572" s="7">
        <f t="shared" ca="1" si="42"/>
        <v>7.9624283640236285E-2</v>
      </c>
      <c r="E572" s="7">
        <f t="shared" ca="1" si="43"/>
        <v>0.58715753498442269</v>
      </c>
      <c r="F572" s="7">
        <f t="shared" ca="1" si="44"/>
        <v>2.0913279304220059E-2</v>
      </c>
      <c r="G572" s="7">
        <f t="shared" ca="1" si="40"/>
        <v>286.99706045947755</v>
      </c>
      <c r="H572" s="7">
        <f ca="1">(G572+DCF!$D$40+DCF!$D$41+DCF!$D$42-DCF!$D$43-DCF!$D$44)/DCF!$C$35</f>
        <v>2.261903490571608</v>
      </c>
    </row>
    <row r="573" spans="3:8" x14ac:dyDescent="0.35">
      <c r="C573" s="8">
        <f t="shared" ca="1" si="41"/>
        <v>0.70694075738840567</v>
      </c>
      <c r="D573" s="7">
        <f t="shared" ca="1" si="42"/>
        <v>9.1915362465491895E-2</v>
      </c>
      <c r="E573" s="7">
        <f t="shared" ca="1" si="43"/>
        <v>0.94509241983449543</v>
      </c>
      <c r="F573" s="7">
        <f t="shared" ca="1" si="44"/>
        <v>2.668616294409322E-2</v>
      </c>
      <c r="G573" s="7">
        <f t="shared" ca="1" si="40"/>
        <v>249.70662782476526</v>
      </c>
      <c r="H573" s="7">
        <f ca="1">(G573+DCF!$D$40+DCF!$D$41+DCF!$D$42-DCF!$D$43-DCF!$D$44)/DCF!$C$35</f>
        <v>2.0514371138094889</v>
      </c>
    </row>
    <row r="574" spans="3:8" x14ac:dyDescent="0.35">
      <c r="C574" s="8">
        <f t="shared" ca="1" si="41"/>
        <v>0.83950392412102925</v>
      </c>
      <c r="D574" s="7">
        <f t="shared" ca="1" si="42"/>
        <v>9.6616666309139149E-2</v>
      </c>
      <c r="E574" s="7">
        <f t="shared" ca="1" si="43"/>
        <v>0.82962755304620595</v>
      </c>
      <c r="F574" s="7">
        <f t="shared" ca="1" si="44"/>
        <v>2.4162664187254702E-2</v>
      </c>
      <c r="G574" s="7">
        <f t="shared" ca="1" si="40"/>
        <v>226.3218531706421</v>
      </c>
      <c r="H574" s="7">
        <f ca="1">(G574+DCF!$D$40+DCF!$D$41+DCF!$D$42-DCF!$D$43-DCF!$D$44)/DCF!$C$35</f>
        <v>1.9194539630355689</v>
      </c>
    </row>
    <row r="575" spans="3:8" x14ac:dyDescent="0.35">
      <c r="C575" s="8">
        <f t="shared" ca="1" si="41"/>
        <v>0.75020966831971447</v>
      </c>
      <c r="D575" s="7">
        <f t="shared" ca="1" si="42"/>
        <v>9.3303712683497617E-2</v>
      </c>
      <c r="E575" s="7">
        <f t="shared" ca="1" si="43"/>
        <v>0.16694367842889635</v>
      </c>
      <c r="F575" s="7">
        <f t="shared" ca="1" si="44"/>
        <v>1.5778298684368891E-2</v>
      </c>
      <c r="G575" s="7">
        <f t="shared" ca="1" si="40"/>
        <v>219.32786088114563</v>
      </c>
      <c r="H575" s="7">
        <f ca="1">(G575+DCF!$D$40+DCF!$D$41+DCF!$D$42-DCF!$D$43-DCF!$D$44)/DCF!$C$35</f>
        <v>1.8799800252914867</v>
      </c>
    </row>
    <row r="576" spans="3:8" x14ac:dyDescent="0.35">
      <c r="C576" s="8">
        <f t="shared" ca="1" si="41"/>
        <v>0.83416321228696799</v>
      </c>
      <c r="D576" s="7">
        <f t="shared" ca="1" si="42"/>
        <v>9.6395814795154258E-2</v>
      </c>
      <c r="E576" s="7">
        <f t="shared" ca="1" si="43"/>
        <v>0.8457619152532605</v>
      </c>
      <c r="F576" s="7">
        <f t="shared" ca="1" si="44"/>
        <v>2.4445936897248294E-2</v>
      </c>
      <c r="G576" s="7">
        <f t="shared" ca="1" si="40"/>
        <v>227.68505796886674</v>
      </c>
      <c r="H576" s="7">
        <f ca="1">(G576+DCF!$D$40+DCF!$D$41+DCF!$D$42-DCF!$D$43-DCF!$D$44)/DCF!$C$35</f>
        <v>1.9271478607566699</v>
      </c>
    </row>
    <row r="577" spans="3:8" x14ac:dyDescent="0.35">
      <c r="C577" s="8">
        <f t="shared" ca="1" si="41"/>
        <v>0.45195444708046673</v>
      </c>
      <c r="D577" s="7">
        <f t="shared" ca="1" si="42"/>
        <v>8.5269071245539549E-2</v>
      </c>
      <c r="E577" s="7">
        <f t="shared" ca="1" si="43"/>
        <v>0.6279681552709514</v>
      </c>
      <c r="F577" s="7">
        <f t="shared" ca="1" si="44"/>
        <v>2.1374087355774479E-2</v>
      </c>
      <c r="G577" s="7">
        <f t="shared" ca="1" si="40"/>
        <v>261.96127014696566</v>
      </c>
      <c r="H577" s="7">
        <f ca="1">(G577+DCF!$D$40+DCF!$D$41+DCF!$D$42-DCF!$D$43-DCF!$D$44)/DCF!$C$35</f>
        <v>2.1206020439494617</v>
      </c>
    </row>
    <row r="578" spans="3:8" x14ac:dyDescent="0.35">
      <c r="C578" s="8">
        <f t="shared" ca="1" si="41"/>
        <v>0.86244880083070075</v>
      </c>
      <c r="D578" s="7">
        <f t="shared" ca="1" si="42"/>
        <v>9.761020023273427E-2</v>
      </c>
      <c r="E578" s="7">
        <f t="shared" ca="1" si="43"/>
        <v>0.41564282014952836</v>
      </c>
      <c r="F578" s="7">
        <f t="shared" ca="1" si="44"/>
        <v>1.9117486716738647E-2</v>
      </c>
      <c r="G578" s="7">
        <f t="shared" ca="1" si="40"/>
        <v>213.00465458520449</v>
      </c>
      <c r="H578" s="7">
        <f ca="1">(G578+DCF!$D$40+DCF!$D$41+DCF!$D$42-DCF!$D$43-DCF!$D$44)/DCF!$C$35</f>
        <v>1.8442919888542977</v>
      </c>
    </row>
    <row r="579" spans="3:8" x14ac:dyDescent="0.35">
      <c r="C579" s="8">
        <f t="shared" ca="1" si="41"/>
        <v>0.50566164918419876</v>
      </c>
      <c r="D579" s="7">
        <f t="shared" ca="1" si="42"/>
        <v>8.6512096740866073E-2</v>
      </c>
      <c r="E579" s="7">
        <f t="shared" ca="1" si="43"/>
        <v>4.5214766678428608E-3</v>
      </c>
      <c r="F579" s="7">
        <f t="shared" ca="1" si="44"/>
        <v>1.0950944442945313E-2</v>
      </c>
      <c r="G579" s="7">
        <f t="shared" ca="1" si="40"/>
        <v>230.76195208639379</v>
      </c>
      <c r="H579" s="7">
        <f ca="1">(G579+DCF!$D$40+DCF!$D$41+DCF!$D$42-DCF!$D$43-DCF!$D$44)/DCF!$C$35</f>
        <v>1.9445137830815766</v>
      </c>
    </row>
    <row r="580" spans="3:8" x14ac:dyDescent="0.35">
      <c r="C580" s="8">
        <f t="shared" ca="1" si="41"/>
        <v>0.42001213831766293</v>
      </c>
      <c r="D580" s="7">
        <f t="shared" ca="1" si="42"/>
        <v>8.4558568168487697E-2</v>
      </c>
      <c r="E580" s="7">
        <f t="shared" ca="1" si="43"/>
        <v>0.92934155853381362</v>
      </c>
      <c r="F580" s="7">
        <f t="shared" ca="1" si="44"/>
        <v>2.624078621341679E-2</v>
      </c>
      <c r="G580" s="7">
        <f t="shared" ca="1" si="40"/>
        <v>281.4144863708737</v>
      </c>
      <c r="H580" s="7">
        <f ca="1">(G580+DCF!$D$40+DCF!$D$41+DCF!$D$42-DCF!$D$43-DCF!$D$44)/DCF!$C$35</f>
        <v>2.2303955659265928</v>
      </c>
    </row>
    <row r="581" spans="3:8" x14ac:dyDescent="0.35">
      <c r="C581" s="8">
        <f t="shared" ca="1" si="41"/>
        <v>0.47571784885788437</v>
      </c>
      <c r="D581" s="7">
        <f t="shared" ca="1" si="42"/>
        <v>8.5811182735102548E-2</v>
      </c>
      <c r="E581" s="7">
        <f t="shared" ca="1" si="43"/>
        <v>0.31694282177770816</v>
      </c>
      <c r="F581" s="7">
        <f t="shared" ca="1" si="44"/>
        <v>1.7961693560765928E-2</v>
      </c>
      <c r="G581" s="7">
        <f t="shared" ca="1" si="40"/>
        <v>250.04451321979988</v>
      </c>
      <c r="H581" s="7">
        <f ca="1">(G581+DCF!$D$40+DCF!$D$41+DCF!$D$42-DCF!$D$43-DCF!$D$44)/DCF!$C$35</f>
        <v>2.0533441315035552</v>
      </c>
    </row>
    <row r="582" spans="3:8" x14ac:dyDescent="0.35">
      <c r="C582" s="8">
        <f t="shared" ca="1" si="41"/>
        <v>0.74065513734739374</v>
      </c>
      <c r="D582" s="7">
        <f t="shared" ca="1" si="42"/>
        <v>9.298739094905463E-2</v>
      </c>
      <c r="E582" s="7">
        <f t="shared" ca="1" si="43"/>
        <v>0.11345234542953597</v>
      </c>
      <c r="F582" s="7">
        <f t="shared" ca="1" si="44"/>
        <v>1.4763451383808508E-2</v>
      </c>
      <c r="G582" s="7">
        <f t="shared" ca="1" si="40"/>
        <v>218.30119618929598</v>
      </c>
      <c r="H582" s="7">
        <f ca="1">(G582+DCF!$D$40+DCF!$D$41+DCF!$D$42-DCF!$D$43-DCF!$D$44)/DCF!$C$35</f>
        <v>1.8741855524850206</v>
      </c>
    </row>
    <row r="583" spans="3:8" x14ac:dyDescent="0.35">
      <c r="C583" s="8">
        <f t="shared" ca="1" si="41"/>
        <v>0.10160058596975752</v>
      </c>
      <c r="D583" s="7">
        <f t="shared" ca="1" si="42"/>
        <v>7.7012466300051832E-2</v>
      </c>
      <c r="E583" s="7">
        <f t="shared" ca="1" si="43"/>
        <v>0.30039864325767929</v>
      </c>
      <c r="F583" s="7">
        <f t="shared" ca="1" si="44"/>
        <v>1.7751111446207946E-2</v>
      </c>
      <c r="G583" s="7">
        <f t="shared" ca="1" si="40"/>
        <v>288.75074107654541</v>
      </c>
      <c r="H583" s="7">
        <f ca="1">(G583+DCF!$D$40+DCF!$D$41+DCF!$D$42-DCF!$D$43-DCF!$D$44)/DCF!$C$35</f>
        <v>2.2718012251752193</v>
      </c>
    </row>
    <row r="584" spans="3:8" x14ac:dyDescent="0.35">
      <c r="C584" s="8">
        <f t="shared" ca="1" si="41"/>
        <v>0.61876944520913357</v>
      </c>
      <c r="D584" s="7">
        <f t="shared" ca="1" si="42"/>
        <v>8.9373480682708326E-2</v>
      </c>
      <c r="E584" s="7">
        <f t="shared" ca="1" si="43"/>
        <v>0.5959753596845746</v>
      </c>
      <c r="F584" s="7">
        <f t="shared" ca="1" si="44"/>
        <v>2.1010843862570579E-2</v>
      </c>
      <c r="G584" s="7">
        <f t="shared" ca="1" si="40"/>
        <v>244.37275619993002</v>
      </c>
      <c r="H584" s="7">
        <f ca="1">(G584+DCF!$D$40+DCF!$D$41+DCF!$D$42-DCF!$D$43-DCF!$D$44)/DCF!$C$35</f>
        <v>2.021332860367592</v>
      </c>
    </row>
    <row r="585" spans="3:8" x14ac:dyDescent="0.35">
      <c r="C585" s="8">
        <f t="shared" ca="1" si="41"/>
        <v>0.7301748130346879</v>
      </c>
      <c r="D585" s="7">
        <f t="shared" ca="1" si="42"/>
        <v>9.2647048992943931E-2</v>
      </c>
      <c r="E585" s="7">
        <f t="shared" ca="1" si="43"/>
        <v>0.64716897668075402</v>
      </c>
      <c r="F585" s="7">
        <f t="shared" ca="1" si="44"/>
        <v>2.1599630682889639E-2</v>
      </c>
      <c r="G585" s="7">
        <f t="shared" ca="1" si="40"/>
        <v>233.94822265278086</v>
      </c>
      <c r="H585" s="7">
        <f ca="1">(G585+DCF!$D$40+DCF!$D$41+DCF!$D$42-DCF!$D$43-DCF!$D$44)/DCF!$C$35</f>
        <v>1.9624970236639621</v>
      </c>
    </row>
    <row r="586" spans="3:8" x14ac:dyDescent="0.35">
      <c r="C586" s="8">
        <f t="shared" ca="1" si="41"/>
        <v>0.88460671759123199</v>
      </c>
      <c r="D586" s="7">
        <f t="shared" ca="1" si="42"/>
        <v>9.8651920727797812E-2</v>
      </c>
      <c r="E586" s="7">
        <f t="shared" ca="1" si="43"/>
        <v>0.7341557297545358</v>
      </c>
      <c r="F586" s="7">
        <f t="shared" ca="1" si="44"/>
        <v>2.2708302389080247E-2</v>
      </c>
      <c r="G586" s="7">
        <f t="shared" ca="1" si="40"/>
        <v>216.84535697974428</v>
      </c>
      <c r="H586" s="7">
        <f ca="1">(G586+DCF!$D$40+DCF!$D$41+DCF!$D$42-DCF!$D$43-DCF!$D$44)/DCF!$C$35</f>
        <v>1.8659688281958702</v>
      </c>
    </row>
    <row r="587" spans="3:8" x14ac:dyDescent="0.35">
      <c r="C587" s="8">
        <f t="shared" ca="1" si="41"/>
        <v>0.55047787462144115</v>
      </c>
      <c r="D587" s="7">
        <f t="shared" ca="1" si="42"/>
        <v>8.7602082866425471E-2</v>
      </c>
      <c r="E587" s="7">
        <f t="shared" ca="1" si="43"/>
        <v>0.59283148549200226</v>
      </c>
      <c r="F587" s="7">
        <f t="shared" ca="1" si="44"/>
        <v>2.097593756107597E-2</v>
      </c>
      <c r="G587" s="7">
        <f t="shared" ca="1" si="40"/>
        <v>251.14601721437947</v>
      </c>
      <c r="H587" s="7">
        <f ca="1">(G587+DCF!$D$40+DCF!$D$41+DCF!$D$42-DCF!$D$43-DCF!$D$44)/DCF!$C$35</f>
        <v>2.0595609956788548</v>
      </c>
    </row>
    <row r="588" spans="3:8" x14ac:dyDescent="0.35">
      <c r="C588" s="8">
        <f t="shared" ca="1" si="41"/>
        <v>0.96538728109121763</v>
      </c>
      <c r="D588" s="7">
        <f t="shared" ca="1" si="42"/>
        <v>0.10378487375009959</v>
      </c>
      <c r="E588" s="7">
        <f t="shared" ca="1" si="43"/>
        <v>6.5523537760149408E-2</v>
      </c>
      <c r="F588" s="7">
        <f t="shared" ca="1" si="44"/>
        <v>1.3620042479312899E-2</v>
      </c>
      <c r="G588" s="7">
        <f t="shared" ca="1" si="40"/>
        <v>188.45215434970461</v>
      </c>
      <c r="H588" s="7">
        <f ca="1">(G588+DCF!$D$40+DCF!$D$41+DCF!$D$42-DCF!$D$43-DCF!$D$44)/DCF!$C$35</f>
        <v>1.7057182207343076</v>
      </c>
    </row>
    <row r="589" spans="3:8" x14ac:dyDescent="0.35">
      <c r="C589" s="8">
        <f t="shared" ca="1" si="41"/>
        <v>0.1468216378076207</v>
      </c>
      <c r="D589" s="7">
        <f t="shared" ca="1" si="42"/>
        <v>7.8429808580204444E-2</v>
      </c>
      <c r="E589" s="7">
        <f t="shared" ca="1" si="43"/>
        <v>0.77548956760143151</v>
      </c>
      <c r="F589" s="7">
        <f t="shared" ca="1" si="44"/>
        <v>2.3299098084607291E-2</v>
      </c>
      <c r="G589" s="7">
        <f t="shared" ca="1" si="40"/>
        <v>302.89243168215711</v>
      </c>
      <c r="H589" s="7">
        <f ca="1">(G589+DCF!$D$40+DCF!$D$41+DCF!$D$42-DCF!$D$43-DCF!$D$44)/DCF!$C$35</f>
        <v>2.3516166140769674</v>
      </c>
    </row>
    <row r="590" spans="3:8" x14ac:dyDescent="0.35">
      <c r="C590" s="8">
        <f t="shared" ca="1" si="41"/>
        <v>0.33949289710851471</v>
      </c>
      <c r="D590" s="7">
        <f t="shared" ca="1" si="42"/>
        <v>8.2849936890922377E-2</v>
      </c>
      <c r="E590" s="7">
        <f t="shared" ca="1" si="43"/>
        <v>0.78710714710756835</v>
      </c>
      <c r="F590" s="7">
        <f t="shared" ca="1" si="44"/>
        <v>2.3474774289077325E-2</v>
      </c>
      <c r="G590" s="7">
        <f t="shared" ca="1" si="40"/>
        <v>280.01282988744879</v>
      </c>
      <c r="H590" s="7">
        <f ca="1">(G590+DCF!$D$40+DCF!$D$41+DCF!$D$42-DCF!$D$43-DCF!$D$44)/DCF!$C$35</f>
        <v>2.2224846477449418</v>
      </c>
    </row>
    <row r="591" spans="3:8" x14ac:dyDescent="0.35">
      <c r="C591" s="8">
        <f t="shared" ca="1" si="41"/>
        <v>0.62087072591631176</v>
      </c>
      <c r="D591" s="7">
        <f t="shared" ca="1" si="42"/>
        <v>8.943040423641252E-2</v>
      </c>
      <c r="E591" s="7">
        <f t="shared" ca="1" si="43"/>
        <v>0.42227204399934326</v>
      </c>
      <c r="F591" s="7">
        <f t="shared" ca="1" si="44"/>
        <v>1.9189907986474547E-2</v>
      </c>
      <c r="G591" s="7">
        <f t="shared" ca="1" si="40"/>
        <v>239.59172093470912</v>
      </c>
      <c r="H591" s="7">
        <f ca="1">(G591+DCF!$D$40+DCF!$D$41+DCF!$D$42-DCF!$D$43-DCF!$D$44)/DCF!$C$35</f>
        <v>1.9943488031081897</v>
      </c>
    </row>
    <row r="592" spans="3:8" x14ac:dyDescent="0.35">
      <c r="C592" s="8">
        <f t="shared" ca="1" si="41"/>
        <v>0.271770465309084</v>
      </c>
      <c r="D592" s="7">
        <f t="shared" ca="1" si="42"/>
        <v>8.146895397190157E-2</v>
      </c>
      <c r="E592" s="7">
        <f t="shared" ca="1" si="43"/>
        <v>0.5954308221867407</v>
      </c>
      <c r="F592" s="7">
        <f t="shared" ca="1" si="44"/>
        <v>2.1004788186893438E-2</v>
      </c>
      <c r="G592" s="7">
        <f t="shared" ref="G592:G655" ca="1" si="45">$C$11/(1+D592)^1
 +$D$11/(1+D592)^2
 +$E$11/(1+D592)^3
 +$F$11/(1+D592)^4
 +$G$11/(1+D592)^5
 +$H$11/(1+D592)^6
 +$I$11/(1+D592)^7
 + ( $I$11*(1+F592)/(D592-F592) )/(1+D592)^7</f>
        <v>278.13389311174751</v>
      </c>
      <c r="H592" s="7">
        <f ca="1">(G592+DCF!$D$40+DCF!$D$41+DCF!$D$42-DCF!$D$43-DCF!$D$44)/DCF!$C$35</f>
        <v>2.2118799701532197</v>
      </c>
    </row>
    <row r="593" spans="3:8" x14ac:dyDescent="0.35">
      <c r="C593" s="8">
        <f t="shared" ref="C593:C656" ca="1" si="46">RAND()</f>
        <v>0.21365558332180401</v>
      </c>
      <c r="D593" s="7">
        <f t="shared" ref="D593:D656" ca="1" si="47">IF(C593&lt;($C$6-0.07)/(0.11-0.07),0.07+SQRT(C593*(0.11-0.07)*($C$6-0.07)),0.11-SQRT((1-C593)*(0.11-0.07)*(0.11-$C$6)))</f>
        <v>8.0169036450310982E-2</v>
      </c>
      <c r="E593" s="7">
        <f t="shared" ref="E593:E656" ca="1" si="48">RAND()</f>
        <v>0.72488484374211248</v>
      </c>
      <c r="F593" s="7">
        <f t="shared" ref="F593:F656" ca="1" si="49">MIN(
 IF(E593&lt;(0.02-0.01)/(0.03-0.01),
   0.01+SQRT(E593*(0.03-0.01)*(0.02-0.01)),
   0.03-SQRT((1-E593)*(0.03-0.01)*(0.03-0.02))
 ),
 D593-0.005
)</f>
        <v>2.2582248908760989E-2</v>
      </c>
      <c r="G593" s="7">
        <f t="shared" ca="1" si="45"/>
        <v>290.43096016740105</v>
      </c>
      <c r="H593" s="7">
        <f ca="1">(G593+DCF!$D$40+DCF!$D$41+DCF!$D$42-DCF!$D$43-DCF!$D$44)/DCF!$C$35</f>
        <v>2.2812843445501807</v>
      </c>
    </row>
    <row r="594" spans="3:8" x14ac:dyDescent="0.35">
      <c r="C594" s="8">
        <f t="shared" ca="1" si="46"/>
        <v>0.39702281852587584</v>
      </c>
      <c r="D594" s="7">
        <f t="shared" ca="1" si="47"/>
        <v>8.4059249538127809E-2</v>
      </c>
      <c r="E594" s="7">
        <f t="shared" ca="1" si="48"/>
        <v>0.96454630303211497</v>
      </c>
      <c r="F594" s="7">
        <f t="shared" ca="1" si="49"/>
        <v>2.7337155769937525E-2</v>
      </c>
      <c r="G594" s="7">
        <f t="shared" ca="1" si="45"/>
        <v>288.10580549133272</v>
      </c>
      <c r="H594" s="7">
        <f ca="1">(G594+DCF!$D$40+DCF!$D$41+DCF!$D$42-DCF!$D$43-DCF!$D$44)/DCF!$C$35</f>
        <v>2.2681612230010875</v>
      </c>
    </row>
    <row r="595" spans="3:8" x14ac:dyDescent="0.35">
      <c r="C595" s="8">
        <f t="shared" ca="1" si="46"/>
        <v>6.8544148681799366E-2</v>
      </c>
      <c r="D595" s="7">
        <f t="shared" ca="1" si="47"/>
        <v>7.575980624344178E-2</v>
      </c>
      <c r="E595" s="7">
        <f t="shared" ca="1" si="48"/>
        <v>0.21240700215077291</v>
      </c>
      <c r="F595" s="7">
        <f t="shared" ca="1" si="49"/>
        <v>1.6517775727205912E-2</v>
      </c>
      <c r="G595" s="7">
        <f t="shared" ca="1" si="45"/>
        <v>290.65054633987518</v>
      </c>
      <c r="H595" s="7">
        <f ca="1">(G595+DCF!$D$40+DCF!$D$41+DCF!$D$42-DCF!$D$43-DCF!$D$44)/DCF!$C$35</f>
        <v>2.2825236840494139</v>
      </c>
    </row>
    <row r="596" spans="3:8" x14ac:dyDescent="0.35">
      <c r="C596" s="8">
        <f t="shared" ca="1" si="46"/>
        <v>9.1556035905116184E-2</v>
      </c>
      <c r="D596" s="7">
        <f t="shared" ca="1" si="47"/>
        <v>7.6656810150370541E-2</v>
      </c>
      <c r="E596" s="7">
        <f t="shared" ca="1" si="48"/>
        <v>0.39923474034646889</v>
      </c>
      <c r="F596" s="7">
        <f t="shared" ca="1" si="49"/>
        <v>1.893571195089086E-2</v>
      </c>
      <c r="G596" s="7">
        <f t="shared" ca="1" si="45"/>
        <v>295.09277185366852</v>
      </c>
      <c r="H596" s="7">
        <f ca="1">(G596+DCF!$D$40+DCF!$D$41+DCF!$D$42-DCF!$D$43-DCF!$D$44)/DCF!$C$35</f>
        <v>2.3075955065677194</v>
      </c>
    </row>
    <row r="597" spans="3:8" x14ac:dyDescent="0.35">
      <c r="C597" s="8">
        <f t="shared" ca="1" si="46"/>
        <v>0.78835132756809922</v>
      </c>
      <c r="D597" s="7">
        <f t="shared" ca="1" si="47"/>
        <v>9.4631203090872695E-2</v>
      </c>
      <c r="E597" s="7">
        <f t="shared" ca="1" si="48"/>
        <v>0.84169472235407106</v>
      </c>
      <c r="F597" s="7">
        <f t="shared" ca="1" si="49"/>
        <v>2.4373184246024596E-2</v>
      </c>
      <c r="G597" s="7">
        <f t="shared" ca="1" si="45"/>
        <v>233.55720483325624</v>
      </c>
      <c r="H597" s="7">
        <f ca="1">(G597+DCF!$D$40+DCF!$D$41+DCF!$D$42-DCF!$D$43-DCF!$D$44)/DCF!$C$35</f>
        <v>1.9602901277415976</v>
      </c>
    </row>
    <row r="598" spans="3:8" x14ac:dyDescent="0.35">
      <c r="C598" s="8">
        <f t="shared" ca="1" si="46"/>
        <v>0.68967422164761383</v>
      </c>
      <c r="D598" s="7">
        <f t="shared" ca="1" si="47"/>
        <v>9.1390229215778537E-2</v>
      </c>
      <c r="E598" s="7">
        <f t="shared" ca="1" si="48"/>
        <v>0.57537037913438926</v>
      </c>
      <c r="F598" s="7">
        <f t="shared" ca="1" si="49"/>
        <v>2.0784473744103263E-2</v>
      </c>
      <c r="G598" s="7">
        <f t="shared" ca="1" si="45"/>
        <v>236.43290791821266</v>
      </c>
      <c r="H598" s="7">
        <f ca="1">(G598+DCF!$D$40+DCF!$D$41+DCF!$D$42-DCF!$D$43-DCF!$D$44)/DCF!$C$35</f>
        <v>1.9765205323299055</v>
      </c>
    </row>
    <row r="599" spans="3:8" x14ac:dyDescent="0.35">
      <c r="C599" s="8">
        <f t="shared" ca="1" si="46"/>
        <v>0.70663189353810418</v>
      </c>
      <c r="D599" s="7">
        <f t="shared" ca="1" si="47"/>
        <v>9.1905835006514516E-2</v>
      </c>
      <c r="E599" s="7">
        <f t="shared" ca="1" si="48"/>
        <v>0.54589810602708833</v>
      </c>
      <c r="F599" s="7">
        <f t="shared" ca="1" si="49"/>
        <v>2.0470027345549077E-2</v>
      </c>
      <c r="G599" s="7">
        <f t="shared" ca="1" si="45"/>
        <v>233.88344896345976</v>
      </c>
      <c r="H599" s="7">
        <f ca="1">(G599+DCF!$D$40+DCF!$D$41+DCF!$D$42-DCF!$D$43-DCF!$D$44)/DCF!$C$35</f>
        <v>1.9621314423945124</v>
      </c>
    </row>
    <row r="600" spans="3:8" x14ac:dyDescent="0.35">
      <c r="C600" s="8">
        <f t="shared" ca="1" si="46"/>
        <v>0.28597959620673663</v>
      </c>
      <c r="D600" s="7">
        <f t="shared" ca="1" si="47"/>
        <v>8.1764953232548815E-2</v>
      </c>
      <c r="E600" s="7">
        <f t="shared" ca="1" si="48"/>
        <v>0.45708919042660301</v>
      </c>
      <c r="F600" s="7">
        <f t="shared" ca="1" si="49"/>
        <v>1.9561267598248708E-2</v>
      </c>
      <c r="G600" s="7">
        <f t="shared" ca="1" si="45"/>
        <v>271.90773941435157</v>
      </c>
      <c r="H600" s="7">
        <f ca="1">(G600+DCF!$D$40+DCF!$D$41+DCF!$D$42-DCF!$D$43-DCF!$D$44)/DCF!$C$35</f>
        <v>2.1767396964349901</v>
      </c>
    </row>
    <row r="601" spans="3:8" x14ac:dyDescent="0.35">
      <c r="C601" s="8">
        <f t="shared" ca="1" si="46"/>
        <v>0.89769258428959808</v>
      </c>
      <c r="D601" s="7">
        <f t="shared" ca="1" si="47"/>
        <v>9.931472621161215E-2</v>
      </c>
      <c r="E601" s="7">
        <f t="shared" ca="1" si="48"/>
        <v>0.32952586861603439</v>
      </c>
      <c r="F601" s="7">
        <f t="shared" ca="1" si="49"/>
        <v>1.811820015294073E-2</v>
      </c>
      <c r="G601" s="7">
        <f t="shared" ca="1" si="45"/>
        <v>206.43308496473026</v>
      </c>
      <c r="H601" s="7">
        <f ca="1">(G601+DCF!$D$40+DCF!$D$41+DCF!$D$42-DCF!$D$43-DCF!$D$44)/DCF!$C$35</f>
        <v>1.8072021953083319</v>
      </c>
    </row>
    <row r="602" spans="3:8" x14ac:dyDescent="0.35">
      <c r="C602" s="8">
        <f t="shared" ca="1" si="46"/>
        <v>3.9327152853084746E-2</v>
      </c>
      <c r="D602" s="7">
        <f t="shared" ca="1" si="47"/>
        <v>7.4362836460479934E-2</v>
      </c>
      <c r="E602" s="7">
        <f t="shared" ca="1" si="48"/>
        <v>0.43797000668509523</v>
      </c>
      <c r="F602" s="7">
        <f t="shared" ca="1" si="49"/>
        <v>1.9359166700995287E-2</v>
      </c>
      <c r="G602" s="7">
        <f t="shared" ca="1" si="45"/>
        <v>309.74811844520605</v>
      </c>
      <c r="H602" s="7">
        <f ca="1">(G602+DCF!$D$40+DCF!$D$41+DCF!$D$42-DCF!$D$43-DCF!$D$44)/DCF!$C$35</f>
        <v>2.3903099584897056</v>
      </c>
    </row>
    <row r="603" spans="3:8" x14ac:dyDescent="0.35">
      <c r="C603" s="8">
        <f t="shared" ca="1" si="46"/>
        <v>0.39410458961007877</v>
      </c>
      <c r="D603" s="7">
        <f t="shared" ca="1" si="47"/>
        <v>8.3996552574799779E-2</v>
      </c>
      <c r="E603" s="7">
        <f t="shared" ca="1" si="48"/>
        <v>0.98781263940252007</v>
      </c>
      <c r="F603" s="7">
        <f t="shared" ca="1" si="49"/>
        <v>2.8438759429333202E-2</v>
      </c>
      <c r="G603" s="7">
        <f t="shared" ca="1" si="45"/>
        <v>292.78437003276633</v>
      </c>
      <c r="H603" s="7">
        <f ca="1">(G603+DCF!$D$40+DCF!$D$41+DCF!$D$42-DCF!$D$43-DCF!$D$44)/DCF!$C$35</f>
        <v>2.2945669377625371</v>
      </c>
    </row>
    <row r="604" spans="3:8" x14ac:dyDescent="0.35">
      <c r="C604" s="8">
        <f t="shared" ca="1" si="46"/>
        <v>0.87136030370706563</v>
      </c>
      <c r="D604" s="7">
        <f t="shared" ca="1" si="47"/>
        <v>9.8018268027412953E-2</v>
      </c>
      <c r="E604" s="7">
        <f t="shared" ca="1" si="48"/>
        <v>0.86974176486716626</v>
      </c>
      <c r="F604" s="7">
        <f t="shared" ca="1" si="49"/>
        <v>2.4895918591306878E-2</v>
      </c>
      <c r="G604" s="7">
        <f t="shared" ca="1" si="45"/>
        <v>223.34629001996129</v>
      </c>
      <c r="H604" s="7">
        <f ca="1">(G604+DCF!$D$40+DCF!$D$41+DCF!$D$42-DCF!$D$43-DCF!$D$44)/DCF!$C$35</f>
        <v>1.9026599504456558</v>
      </c>
    </row>
    <row r="605" spans="3:8" x14ac:dyDescent="0.35">
      <c r="C605" s="8">
        <f t="shared" ca="1" si="46"/>
        <v>0.6041601474790731</v>
      </c>
      <c r="D605" s="7">
        <f t="shared" ca="1" si="47"/>
        <v>8.8981977366713247E-2</v>
      </c>
      <c r="E605" s="7">
        <f t="shared" ca="1" si="48"/>
        <v>0.51058126868311338</v>
      </c>
      <c r="F605" s="7">
        <f t="shared" ca="1" si="49"/>
        <v>2.0106378506159775E-2</v>
      </c>
      <c r="G605" s="7">
        <f t="shared" ca="1" si="45"/>
        <v>243.52585361223865</v>
      </c>
      <c r="H605" s="7">
        <f ca="1">(G605+DCF!$D$40+DCF!$D$41+DCF!$D$42-DCF!$D$43-DCF!$D$44)/DCF!$C$35</f>
        <v>2.016552960899868</v>
      </c>
    </row>
    <row r="606" spans="3:8" x14ac:dyDescent="0.35">
      <c r="C606" s="8">
        <f t="shared" ca="1" si="46"/>
        <v>0.46663483184568977</v>
      </c>
      <c r="D606" s="7">
        <f t="shared" ca="1" si="47"/>
        <v>8.5602550796031768E-2</v>
      </c>
      <c r="E606" s="7">
        <f t="shared" ca="1" si="48"/>
        <v>0.70404095056642235</v>
      </c>
      <c r="F606" s="7">
        <f t="shared" ca="1" si="49"/>
        <v>2.2306378623384464E-2</v>
      </c>
      <c r="G606" s="7">
        <f t="shared" ca="1" si="45"/>
        <v>263.35144994376481</v>
      </c>
      <c r="H606" s="7">
        <f ca="1">(G606+DCF!$D$40+DCF!$D$41+DCF!$D$42-DCF!$D$43-DCF!$D$44)/DCF!$C$35</f>
        <v>2.1284481879657116</v>
      </c>
    </row>
    <row r="607" spans="3:8" x14ac:dyDescent="0.35">
      <c r="C607" s="8">
        <f t="shared" ca="1" si="46"/>
        <v>0.89295530889573504</v>
      </c>
      <c r="D607" s="7">
        <f t="shared" ca="1" si="47"/>
        <v>9.9070138369020413E-2</v>
      </c>
      <c r="E607" s="7">
        <f t="shared" ca="1" si="48"/>
        <v>0.52549938835356635</v>
      </c>
      <c r="F607" s="7">
        <f t="shared" ca="1" si="49"/>
        <v>2.025833061897055E-2</v>
      </c>
      <c r="G607" s="7">
        <f t="shared" ca="1" si="45"/>
        <v>210.93332583829158</v>
      </c>
      <c r="H607" s="7">
        <f ca="1">(G607+DCF!$D$40+DCF!$D$41+DCF!$D$42-DCF!$D$43-DCF!$D$44)/DCF!$C$35</f>
        <v>1.8326014552336132</v>
      </c>
    </row>
    <row r="608" spans="3:8" x14ac:dyDescent="0.35">
      <c r="C608" s="8">
        <f t="shared" ca="1" si="46"/>
        <v>3.9608742894933102E-2</v>
      </c>
      <c r="D608" s="7">
        <f t="shared" ca="1" si="47"/>
        <v>7.4378427978298564E-2</v>
      </c>
      <c r="E608" s="7">
        <f t="shared" ca="1" si="48"/>
        <v>0.20985350024187288</v>
      </c>
      <c r="F608" s="7">
        <f t="shared" ca="1" si="49"/>
        <v>1.6478479763677167E-2</v>
      </c>
      <c r="G608" s="7">
        <f t="shared" ca="1" si="45"/>
        <v>297.80964297922225</v>
      </c>
      <c r="H608" s="7">
        <f ca="1">(G608+DCF!$D$40+DCF!$D$41+DCF!$D$42-DCF!$D$43-DCF!$D$44)/DCF!$C$35</f>
        <v>2.3229294670912193</v>
      </c>
    </row>
    <row r="609" spans="3:8" x14ac:dyDescent="0.35">
      <c r="C609" s="8">
        <f t="shared" ca="1" si="46"/>
        <v>0.39409643457480048</v>
      </c>
      <c r="D609" s="7">
        <f t="shared" ca="1" si="47"/>
        <v>8.3996377578988687E-2</v>
      </c>
      <c r="E609" s="7">
        <f t="shared" ca="1" si="48"/>
        <v>0.74372202956932421</v>
      </c>
      <c r="F609" s="7">
        <f t="shared" ca="1" si="49"/>
        <v>2.2840698771099573E-2</v>
      </c>
      <c r="G609" s="7">
        <f t="shared" ca="1" si="45"/>
        <v>272.32470865002392</v>
      </c>
      <c r="H609" s="7">
        <f ca="1">(G609+DCF!$D$40+DCF!$D$41+DCF!$D$42-DCF!$D$43-DCF!$D$44)/DCF!$C$35</f>
        <v>2.1790930615759336</v>
      </c>
    </row>
    <row r="610" spans="3:8" x14ac:dyDescent="0.35">
      <c r="C610" s="8">
        <f t="shared" ca="1" si="46"/>
        <v>0.77109452133740131</v>
      </c>
      <c r="D610" s="7">
        <f t="shared" ca="1" si="47"/>
        <v>9.4016930389081696E-2</v>
      </c>
      <c r="E610" s="7">
        <f t="shared" ca="1" si="48"/>
        <v>0.22062564055934952</v>
      </c>
      <c r="F610" s="7">
        <f t="shared" ca="1" si="49"/>
        <v>1.6642674770893866E-2</v>
      </c>
      <c r="G610" s="7">
        <f t="shared" ca="1" si="45"/>
        <v>218.87196109346144</v>
      </c>
      <c r="H610" s="7">
        <f ca="1">(G610+DCF!$D$40+DCF!$D$41+DCF!$D$42-DCF!$D$43-DCF!$D$44)/DCF!$C$35</f>
        <v>1.8774069369763033</v>
      </c>
    </row>
    <row r="611" spans="3:8" x14ac:dyDescent="0.35">
      <c r="C611" s="8">
        <f t="shared" ca="1" si="46"/>
        <v>0.7010389287677431</v>
      </c>
      <c r="D611" s="7">
        <f t="shared" ca="1" si="47"/>
        <v>9.1734169728829779E-2</v>
      </c>
      <c r="E611" s="7">
        <f t="shared" ca="1" si="48"/>
        <v>0.44646189219185484</v>
      </c>
      <c r="F611" s="7">
        <f t="shared" ca="1" si="49"/>
        <v>1.9449464452463483E-2</v>
      </c>
      <c r="G611" s="7">
        <f t="shared" ca="1" si="45"/>
        <v>232.12260219298264</v>
      </c>
      <c r="H611" s="7">
        <f ca="1">(G611+DCF!$D$40+DCF!$D$41+DCF!$D$42-DCF!$D$43-DCF!$D$44)/DCF!$C$35</f>
        <v>1.9521932621796061</v>
      </c>
    </row>
    <row r="612" spans="3:8" x14ac:dyDescent="0.35">
      <c r="C612" s="8">
        <f t="shared" ca="1" si="46"/>
        <v>0.74054080904587982</v>
      </c>
      <c r="D612" s="7">
        <f t="shared" ca="1" si="47"/>
        <v>9.2983641485182622E-2</v>
      </c>
      <c r="E612" s="7">
        <f t="shared" ca="1" si="48"/>
        <v>0.86234127016109519</v>
      </c>
      <c r="F612" s="7">
        <f t="shared" ca="1" si="49"/>
        <v>2.4752929772932235E-2</v>
      </c>
      <c r="G612" s="7">
        <f t="shared" ca="1" si="45"/>
        <v>240.43266447177325</v>
      </c>
      <c r="H612" s="7">
        <f ca="1">(G612+DCF!$D$40+DCF!$D$41+DCF!$D$42-DCF!$D$43-DCF!$D$44)/DCF!$C$35</f>
        <v>1.9990950698260144</v>
      </c>
    </row>
    <row r="613" spans="3:8" x14ac:dyDescent="0.35">
      <c r="C613" s="8">
        <f t="shared" ca="1" si="46"/>
        <v>0.83802557414727052</v>
      </c>
      <c r="D613" s="7">
        <f t="shared" ca="1" si="47"/>
        <v>9.6555169794614509E-2</v>
      </c>
      <c r="E613" s="7">
        <f t="shared" ca="1" si="48"/>
        <v>0.29098356688020277</v>
      </c>
      <c r="F613" s="7">
        <f t="shared" ca="1" si="49"/>
        <v>1.7628677039699645E-2</v>
      </c>
      <c r="G613" s="7">
        <f t="shared" ca="1" si="45"/>
        <v>213.27215032471693</v>
      </c>
      <c r="H613" s="7">
        <f ca="1">(G613+DCF!$D$40+DCF!$D$41+DCF!$D$42-DCF!$D$43-DCF!$D$44)/DCF!$C$35</f>
        <v>1.8458017288899249</v>
      </c>
    </row>
    <row r="614" spans="3:8" x14ac:dyDescent="0.35">
      <c r="C614" s="8">
        <f t="shared" ca="1" si="46"/>
        <v>0.9487019938320399</v>
      </c>
      <c r="D614" s="7">
        <f t="shared" ca="1" si="47"/>
        <v>0.10243372119972814</v>
      </c>
      <c r="E614" s="7">
        <f t="shared" ca="1" si="48"/>
        <v>6.4445499424929831E-2</v>
      </c>
      <c r="F614" s="7">
        <f t="shared" ca="1" si="49"/>
        <v>1.3590139257046441E-2</v>
      </c>
      <c r="G614" s="7">
        <f t="shared" ca="1" si="45"/>
        <v>191.50011149504476</v>
      </c>
      <c r="H614" s="7">
        <f ca="1">(G614+DCF!$D$40+DCF!$D$41+DCF!$D$42-DCF!$D$43-DCF!$D$44)/DCF!$C$35</f>
        <v>1.7229208234284046</v>
      </c>
    </row>
    <row r="615" spans="3:8" x14ac:dyDescent="0.35">
      <c r="C615" s="8">
        <f t="shared" ca="1" si="46"/>
        <v>0.58293601120611749</v>
      </c>
      <c r="D615" s="7">
        <f t="shared" ca="1" si="47"/>
        <v>8.8425862439161729E-2</v>
      </c>
      <c r="E615" s="7">
        <f t="shared" ca="1" si="48"/>
        <v>0.16624875473740064</v>
      </c>
      <c r="F615" s="7">
        <f t="shared" ca="1" si="49"/>
        <v>1.5766259701702666E-2</v>
      </c>
      <c r="G615" s="7">
        <f t="shared" ca="1" si="45"/>
        <v>235.0274955197205</v>
      </c>
      <c r="H615" s="7">
        <f ca="1">(G615+DCF!$D$40+DCF!$D$41+DCF!$D$42-DCF!$D$43-DCF!$D$44)/DCF!$C$35</f>
        <v>1.9685884158467124</v>
      </c>
    </row>
    <row r="616" spans="3:8" x14ac:dyDescent="0.35">
      <c r="C616" s="8">
        <f t="shared" ca="1" si="46"/>
        <v>0.63423824322700029</v>
      </c>
      <c r="D616" s="7">
        <f t="shared" ca="1" si="47"/>
        <v>8.9796284486296396E-2</v>
      </c>
      <c r="E616" s="7">
        <f t="shared" ca="1" si="48"/>
        <v>0.26171508647935748</v>
      </c>
      <c r="F616" s="7">
        <f t="shared" ca="1" si="49"/>
        <v>1.7234847427269735E-2</v>
      </c>
      <c r="G616" s="7">
        <f t="shared" ca="1" si="45"/>
        <v>233.68703661580759</v>
      </c>
      <c r="H616" s="7">
        <f ca="1">(G616+DCF!$D$40+DCF!$D$41+DCF!$D$42-DCF!$D$43-DCF!$D$44)/DCF!$C$35</f>
        <v>1.9610228954498679</v>
      </c>
    </row>
    <row r="617" spans="3:8" x14ac:dyDescent="0.35">
      <c r="C617" s="8">
        <f t="shared" ca="1" si="46"/>
        <v>0.69854348333313743</v>
      </c>
      <c r="D617" s="7">
        <f t="shared" ca="1" si="47"/>
        <v>9.1658095175249144E-2</v>
      </c>
      <c r="E617" s="7">
        <f t="shared" ca="1" si="48"/>
        <v>0.81631204062546492</v>
      </c>
      <c r="F617" s="7">
        <f t="shared" ca="1" si="49"/>
        <v>2.3938845664817056E-2</v>
      </c>
      <c r="G617" s="7">
        <f t="shared" ca="1" si="45"/>
        <v>243.31128340933412</v>
      </c>
      <c r="H617" s="7">
        <f ca="1">(G617+DCF!$D$40+DCF!$D$41+DCF!$D$42-DCF!$D$43-DCF!$D$44)/DCF!$C$35</f>
        <v>2.0153419314219105</v>
      </c>
    </row>
    <row r="618" spans="3:8" x14ac:dyDescent="0.35">
      <c r="C618" s="8">
        <f t="shared" ca="1" si="46"/>
        <v>0.30970316695781808</v>
      </c>
      <c r="D618" s="7">
        <f t="shared" ca="1" si="47"/>
        <v>8.224443721206369E-2</v>
      </c>
      <c r="E618" s="7">
        <f t="shared" ca="1" si="48"/>
        <v>0.93986488595285778</v>
      </c>
      <c r="F618" s="7">
        <f t="shared" ca="1" si="49"/>
        <v>2.6532000171651034E-2</v>
      </c>
      <c r="G618" s="7">
        <f t="shared" ca="1" si="45"/>
        <v>294.74617189727985</v>
      </c>
      <c r="H618" s="7">
        <f ca="1">(G618+DCF!$D$40+DCF!$D$41+DCF!$D$42-DCF!$D$43-DCF!$D$44)/DCF!$C$35</f>
        <v>2.3056393040821752</v>
      </c>
    </row>
    <row r="619" spans="3:8" x14ac:dyDescent="0.35">
      <c r="C619" s="8">
        <f t="shared" ca="1" si="46"/>
        <v>0.27744920455973276</v>
      </c>
      <c r="D619" s="7">
        <f t="shared" ca="1" si="47"/>
        <v>8.1588158395832833E-2</v>
      </c>
      <c r="E619" s="7">
        <f t="shared" ca="1" si="48"/>
        <v>0.21562325211246691</v>
      </c>
      <c r="F619" s="7">
        <f t="shared" ca="1" si="49"/>
        <v>1.6566936151851439E-2</v>
      </c>
      <c r="G619" s="7">
        <f t="shared" ca="1" si="45"/>
        <v>263.38045495367163</v>
      </c>
      <c r="H619" s="7">
        <f ca="1">(G619+DCF!$D$40+DCF!$D$41+DCF!$D$42-DCF!$D$43-DCF!$D$44)/DCF!$C$35</f>
        <v>2.1286118915999075</v>
      </c>
    </row>
    <row r="620" spans="3:8" x14ac:dyDescent="0.35">
      <c r="C620" s="8">
        <f t="shared" ca="1" si="46"/>
        <v>2.27143234767192E-2</v>
      </c>
      <c r="D620" s="7">
        <f t="shared" ca="1" si="47"/>
        <v>7.3315679804011866E-2</v>
      </c>
      <c r="E620" s="7">
        <f t="shared" ca="1" si="48"/>
        <v>1.8339557168924436E-2</v>
      </c>
      <c r="F620" s="7">
        <f t="shared" ca="1" si="49"/>
        <v>1.1915179217145196E-2</v>
      </c>
      <c r="G620" s="7">
        <f t="shared" ca="1" si="45"/>
        <v>286.44026311078801</v>
      </c>
      <c r="H620" s="7">
        <f ca="1">(G620+DCF!$D$40+DCF!$D$41+DCF!$D$42-DCF!$D$43-DCF!$D$44)/DCF!$C$35</f>
        <v>2.2587609386544081</v>
      </c>
    </row>
    <row r="621" spans="3:8" x14ac:dyDescent="0.35">
      <c r="C621" s="8">
        <f t="shared" ca="1" si="46"/>
        <v>0.94878589001855418</v>
      </c>
      <c r="D621" s="7">
        <f t="shared" ca="1" si="47"/>
        <v>0.1024399109304656</v>
      </c>
      <c r="E621" s="7">
        <f t="shared" ca="1" si="48"/>
        <v>0.53981139094460584</v>
      </c>
      <c r="F621" s="7">
        <f t="shared" ca="1" si="49"/>
        <v>2.0406370769563857E-2</v>
      </c>
      <c r="G621" s="7">
        <f t="shared" ca="1" si="45"/>
        <v>201.98106297055887</v>
      </c>
      <c r="H621" s="7">
        <f ca="1">(G621+DCF!$D$40+DCF!$D$41+DCF!$D$42-DCF!$D$43-DCF!$D$44)/DCF!$C$35</f>
        <v>1.7820750816715141</v>
      </c>
    </row>
    <row r="622" spans="3:8" x14ac:dyDescent="0.35">
      <c r="C622" s="8">
        <f t="shared" ca="1" si="46"/>
        <v>0.31056666761387042</v>
      </c>
      <c r="D622" s="7">
        <f t="shared" ca="1" si="47"/>
        <v>8.2261802528950795E-2</v>
      </c>
      <c r="E622" s="7">
        <f t="shared" ca="1" si="48"/>
        <v>0.4488040143156482</v>
      </c>
      <c r="F622" s="7">
        <f t="shared" ca="1" si="49"/>
        <v>1.9474217796901738E-2</v>
      </c>
      <c r="G622" s="7">
        <f t="shared" ca="1" si="45"/>
        <v>269.36073371702594</v>
      </c>
      <c r="H622" s="7">
        <f ca="1">(G622+DCF!$D$40+DCF!$D$41+DCF!$D$42-DCF!$D$43-DCF!$D$44)/DCF!$C$35</f>
        <v>2.1623644526302401</v>
      </c>
    </row>
    <row r="623" spans="3:8" x14ac:dyDescent="0.35">
      <c r="C623" s="8">
        <f t="shared" ca="1" si="46"/>
        <v>0.39314387809968099</v>
      </c>
      <c r="D623" s="7">
        <f t="shared" ca="1" si="47"/>
        <v>8.3975945126849361E-2</v>
      </c>
      <c r="E623" s="7">
        <f t="shared" ca="1" si="48"/>
        <v>0.90049689616086404</v>
      </c>
      <c r="F623" s="7">
        <f t="shared" ca="1" si="49"/>
        <v>2.553898881778725E-2</v>
      </c>
      <c r="G623" s="7">
        <f t="shared" ca="1" si="45"/>
        <v>281.80066351375575</v>
      </c>
      <c r="H623" s="7">
        <f ca="1">(G623+DCF!$D$40+DCF!$D$41+DCF!$D$42-DCF!$D$43-DCF!$D$44)/DCF!$C$35</f>
        <v>2.232575141177084</v>
      </c>
    </row>
    <row r="624" spans="3:8" x14ac:dyDescent="0.35">
      <c r="C624" s="8">
        <f t="shared" ca="1" si="46"/>
        <v>0.16413511453830021</v>
      </c>
      <c r="D624" s="7">
        <f t="shared" ca="1" si="47"/>
        <v>7.8912990263460256E-2</v>
      </c>
      <c r="E624" s="7">
        <f t="shared" ca="1" si="48"/>
        <v>8.3565193654516867E-2</v>
      </c>
      <c r="F624" s="7">
        <f t="shared" ca="1" si="49"/>
        <v>1.4088158354430926E-2</v>
      </c>
      <c r="G624" s="7">
        <f t="shared" ca="1" si="45"/>
        <v>267.50533924270388</v>
      </c>
      <c r="H624" s="7">
        <f ca="1">(G624+DCF!$D$40+DCF!$D$41+DCF!$D$42-DCF!$D$43-DCF!$D$44)/DCF!$C$35</f>
        <v>2.1518926472666435</v>
      </c>
    </row>
    <row r="625" spans="3:8" x14ac:dyDescent="0.35">
      <c r="C625" s="8">
        <f t="shared" ca="1" si="46"/>
        <v>0.6662724332107911</v>
      </c>
      <c r="D625" s="7">
        <f t="shared" ca="1" si="47"/>
        <v>9.0701296299057876E-2</v>
      </c>
      <c r="E625" s="7">
        <f t="shared" ca="1" si="48"/>
        <v>0.92207148125709848</v>
      </c>
      <c r="F625" s="7">
        <f t="shared" ca="1" si="49"/>
        <v>2.6052126680277052E-2</v>
      </c>
      <c r="G625" s="7">
        <f t="shared" ca="1" si="45"/>
        <v>252.84485834887806</v>
      </c>
      <c r="H625" s="7">
        <f ca="1">(G625+DCF!$D$40+DCF!$D$41+DCF!$D$42-DCF!$D$43-DCF!$D$44)/DCF!$C$35</f>
        <v>2.0691492174561352</v>
      </c>
    </row>
    <row r="626" spans="3:8" x14ac:dyDescent="0.35">
      <c r="C626" s="8">
        <f t="shared" ca="1" si="46"/>
        <v>0.76829703546827466</v>
      </c>
      <c r="D626" s="7">
        <f t="shared" ca="1" si="47"/>
        <v>9.3919561311413005E-2</v>
      </c>
      <c r="E626" s="7">
        <f t="shared" ca="1" si="48"/>
        <v>0.32284582355338509</v>
      </c>
      <c r="F626" s="7">
        <f t="shared" ca="1" si="49"/>
        <v>1.8035494055170284E-2</v>
      </c>
      <c r="G626" s="7">
        <f t="shared" ca="1" si="45"/>
        <v>221.95867363397224</v>
      </c>
      <c r="H626" s="7">
        <f ca="1">(G626+DCF!$D$40+DCF!$D$41+DCF!$D$42-DCF!$D$43-DCF!$D$44)/DCF!$C$35</f>
        <v>1.894828274263304</v>
      </c>
    </row>
    <row r="627" spans="3:8" x14ac:dyDescent="0.35">
      <c r="C627" s="8">
        <f t="shared" ca="1" si="46"/>
        <v>0.81119144061868331</v>
      </c>
      <c r="D627" s="7">
        <f t="shared" ca="1" si="47"/>
        <v>9.5484134463644635E-2</v>
      </c>
      <c r="E627" s="7">
        <f t="shared" ca="1" si="48"/>
        <v>0.74145710814411914</v>
      </c>
      <c r="F627" s="7">
        <f t="shared" ca="1" si="49"/>
        <v>2.2809132293584021E-2</v>
      </c>
      <c r="G627" s="7">
        <f t="shared" ca="1" si="45"/>
        <v>227.07457739663869</v>
      </c>
      <c r="H627" s="7">
        <f ca="1">(G627+DCF!$D$40+DCF!$D$41+DCF!$D$42-DCF!$D$43-DCF!$D$44)/DCF!$C$35</f>
        <v>1.9237023219135267</v>
      </c>
    </row>
    <row r="628" spans="3:8" x14ac:dyDescent="0.35">
      <c r="C628" s="8">
        <f t="shared" ca="1" si="46"/>
        <v>0.45496763947815155</v>
      </c>
      <c r="D628" s="7">
        <f t="shared" ca="1" si="47"/>
        <v>8.5337151130853051E-2</v>
      </c>
      <c r="E628" s="7">
        <f t="shared" ca="1" si="48"/>
        <v>0.45905854454433193</v>
      </c>
      <c r="F628" s="7">
        <f t="shared" ca="1" si="49"/>
        <v>1.9581842667716183E-2</v>
      </c>
      <c r="G628" s="7">
        <f t="shared" ca="1" si="45"/>
        <v>256.41497712487694</v>
      </c>
      <c r="H628" s="7">
        <f ca="1">(G628+DCF!$D$40+DCF!$D$41+DCF!$D$42-DCF!$D$43-DCF!$D$44)/DCF!$C$35</f>
        <v>2.089298888841161</v>
      </c>
    </row>
    <row r="629" spans="3:8" x14ac:dyDescent="0.35">
      <c r="C629" s="8">
        <f t="shared" ca="1" si="46"/>
        <v>0.58187019878366741</v>
      </c>
      <c r="D629" s="7">
        <f t="shared" ca="1" si="47"/>
        <v>8.8398313534415254E-2</v>
      </c>
      <c r="E629" s="7">
        <f t="shared" ca="1" si="48"/>
        <v>0.32274711090967156</v>
      </c>
      <c r="F629" s="7">
        <f t="shared" ca="1" si="49"/>
        <v>1.8034265503574939E-2</v>
      </c>
      <c r="G629" s="7">
        <f t="shared" ca="1" si="45"/>
        <v>240.50091268797371</v>
      </c>
      <c r="H629" s="7">
        <f ca="1">(G629+DCF!$D$40+DCF!$D$41+DCF!$D$42-DCF!$D$43-DCF!$D$44)/DCF!$C$35</f>
        <v>1.9994802612482994</v>
      </c>
    </row>
    <row r="630" spans="3:8" x14ac:dyDescent="0.35">
      <c r="C630" s="8">
        <f t="shared" ca="1" si="46"/>
        <v>0.5786469669679335</v>
      </c>
      <c r="D630" s="7">
        <f t="shared" ca="1" si="47"/>
        <v>8.8315213054683109E-2</v>
      </c>
      <c r="E630" s="7">
        <f t="shared" ca="1" si="48"/>
        <v>0.40001127591411689</v>
      </c>
      <c r="F630" s="7">
        <f t="shared" ca="1" si="49"/>
        <v>1.8944397977663077E-2</v>
      </c>
      <c r="G630" s="7">
        <f t="shared" ca="1" si="45"/>
        <v>243.06601967167461</v>
      </c>
      <c r="H630" s="7">
        <f ca="1">(G630+DCF!$D$40+DCF!$D$41+DCF!$D$42-DCF!$D$43-DCF!$D$44)/DCF!$C$35</f>
        <v>2.0139576683128717</v>
      </c>
    </row>
    <row r="631" spans="3:8" x14ac:dyDescent="0.35">
      <c r="C631" s="8">
        <f t="shared" ca="1" si="46"/>
        <v>0.41990624770619145</v>
      </c>
      <c r="D631" s="7">
        <f t="shared" ca="1" si="47"/>
        <v>8.4556245804522284E-2</v>
      </c>
      <c r="E631" s="7">
        <f t="shared" ca="1" si="48"/>
        <v>0.37846033214231178</v>
      </c>
      <c r="F631" s="7">
        <f t="shared" ca="1" si="49"/>
        <v>1.8700118759445893E-2</v>
      </c>
      <c r="G631" s="7">
        <f t="shared" ca="1" si="45"/>
        <v>257.11838232563127</v>
      </c>
      <c r="H631" s="7">
        <f ca="1">(G631+DCF!$D$40+DCF!$D$41+DCF!$D$42-DCF!$D$43-DCF!$D$44)/DCF!$C$35</f>
        <v>2.0932688922318055</v>
      </c>
    </row>
    <row r="632" spans="3:8" x14ac:dyDescent="0.35">
      <c r="C632" s="8">
        <f t="shared" ca="1" si="46"/>
        <v>0.25380591155462917</v>
      </c>
      <c r="D632" s="7">
        <f t="shared" ca="1" si="47"/>
        <v>8.1083413787838149E-2</v>
      </c>
      <c r="E632" s="7">
        <f t="shared" ca="1" si="48"/>
        <v>0.56820871284445729</v>
      </c>
      <c r="F632" s="7">
        <f t="shared" ca="1" si="49"/>
        <v>2.0707085633069219E-2</v>
      </c>
      <c r="G632" s="7">
        <f t="shared" ca="1" si="45"/>
        <v>278.97427805348229</v>
      </c>
      <c r="H632" s="7">
        <f ca="1">(G632+DCF!$D$40+DCF!$D$41+DCF!$D$42-DCF!$D$43-DCF!$D$44)/DCF!$C$35</f>
        <v>2.2166230841713639</v>
      </c>
    </row>
    <row r="633" spans="3:8" x14ac:dyDescent="0.35">
      <c r="C633" s="8">
        <f t="shared" ca="1" si="46"/>
        <v>0.78626710878753459</v>
      </c>
      <c r="D633" s="7">
        <f t="shared" ca="1" si="47"/>
        <v>9.4555716054374309E-2</v>
      </c>
      <c r="E633" s="7">
        <f t="shared" ca="1" si="48"/>
        <v>0.1158490529013646</v>
      </c>
      <c r="F633" s="7">
        <f t="shared" ca="1" si="49"/>
        <v>1.481350294279259E-2</v>
      </c>
      <c r="G633" s="7">
        <f t="shared" ca="1" si="45"/>
        <v>213.80848039116847</v>
      </c>
      <c r="H633" s="7">
        <f ca="1">(G633+DCF!$D$40+DCF!$D$41+DCF!$D$42-DCF!$D$43-DCF!$D$44)/DCF!$C$35</f>
        <v>1.8488287639190002</v>
      </c>
    </row>
    <row r="634" spans="3:8" x14ac:dyDescent="0.35">
      <c r="C634" s="8">
        <f t="shared" ca="1" si="46"/>
        <v>0.21308176976797588</v>
      </c>
      <c r="D634" s="7">
        <f t="shared" ca="1" si="47"/>
        <v>8.0155371808442094E-2</v>
      </c>
      <c r="E634" s="7">
        <f t="shared" ca="1" si="48"/>
        <v>0.64210645218412743</v>
      </c>
      <c r="F634" s="7">
        <f t="shared" ca="1" si="49"/>
        <v>2.153957982348545E-2</v>
      </c>
      <c r="G634" s="7">
        <f t="shared" ca="1" si="45"/>
        <v>286.58376120979977</v>
      </c>
      <c r="H634" s="7">
        <f ca="1">(G634+DCF!$D$40+DCF!$D$41+DCF!$D$42-DCF!$D$43-DCF!$D$44)/DCF!$C$35</f>
        <v>2.2595708387504221</v>
      </c>
    </row>
    <row r="635" spans="3:8" x14ac:dyDescent="0.35">
      <c r="C635" s="8">
        <f t="shared" ca="1" si="46"/>
        <v>0.8510453281806033</v>
      </c>
      <c r="D635" s="7">
        <f t="shared" ca="1" si="47"/>
        <v>9.7106846244985418E-2</v>
      </c>
      <c r="E635" s="7">
        <f t="shared" ca="1" si="48"/>
        <v>0.83466887377102983</v>
      </c>
      <c r="F635" s="7">
        <f t="shared" ca="1" si="49"/>
        <v>2.4249676074707266E-2</v>
      </c>
      <c r="G635" s="7">
        <f t="shared" ca="1" si="45"/>
        <v>224.90450750728115</v>
      </c>
      <c r="H635" s="7">
        <f ca="1">(G635+DCF!$D$40+DCF!$D$41+DCF!$D$42-DCF!$D$43-DCF!$D$44)/DCF!$C$35</f>
        <v>1.9114544954694725</v>
      </c>
    </row>
    <row r="636" spans="3:8" x14ac:dyDescent="0.35">
      <c r="C636" s="8">
        <f t="shared" ca="1" si="46"/>
        <v>0.94671440126287776</v>
      </c>
      <c r="D636" s="7">
        <f t="shared" ca="1" si="47"/>
        <v>0.10228853268238602</v>
      </c>
      <c r="E636" s="7">
        <f t="shared" ca="1" si="48"/>
        <v>0.16981274241472732</v>
      </c>
      <c r="F636" s="7">
        <f t="shared" ca="1" si="49"/>
        <v>1.5827739568901947E-2</v>
      </c>
      <c r="G636" s="7">
        <f t="shared" ca="1" si="45"/>
        <v>195.11491107844569</v>
      </c>
      <c r="H636" s="7">
        <f ca="1">(G636+DCF!$D$40+DCF!$D$41+DCF!$D$42-DCF!$D$43-DCF!$D$44)/DCF!$C$35</f>
        <v>1.743322672301872</v>
      </c>
    </row>
    <row r="637" spans="3:8" x14ac:dyDescent="0.35">
      <c r="C637" s="8">
        <f t="shared" ca="1" si="46"/>
        <v>0.26862264319822438</v>
      </c>
      <c r="D637" s="7">
        <f t="shared" ca="1" si="47"/>
        <v>8.1402340080349328E-2</v>
      </c>
      <c r="E637" s="7">
        <f t="shared" ca="1" si="48"/>
        <v>0.21524517886185857</v>
      </c>
      <c r="F637" s="7">
        <f t="shared" ca="1" si="49"/>
        <v>1.6561176401558773E-2</v>
      </c>
      <c r="G637" s="7">
        <f t="shared" ca="1" si="45"/>
        <v>264.16177810342413</v>
      </c>
      <c r="H637" s="7">
        <f ca="1">(G637+DCF!$D$40+DCF!$D$41+DCF!$D$42-DCF!$D$43-DCF!$D$44)/DCF!$C$35</f>
        <v>2.13302166217081</v>
      </c>
    </row>
    <row r="638" spans="3:8" x14ac:dyDescent="0.35">
      <c r="C638" s="8">
        <f t="shared" ca="1" si="46"/>
        <v>0.56387767294121272</v>
      </c>
      <c r="D638" s="7">
        <f t="shared" ca="1" si="47"/>
        <v>8.7938438019994902E-2</v>
      </c>
      <c r="E638" s="7">
        <f t="shared" ca="1" si="48"/>
        <v>0.57955499256338072</v>
      </c>
      <c r="F638" s="7">
        <f t="shared" ca="1" si="49"/>
        <v>2.0829994466341699E-2</v>
      </c>
      <c r="G638" s="7">
        <f t="shared" ca="1" si="45"/>
        <v>249.42008239521959</v>
      </c>
      <c r="H638" s="7">
        <f ca="1">(G638+DCF!$D$40+DCF!$D$41+DCF!$D$42-DCF!$D$43-DCF!$D$44)/DCF!$C$35</f>
        <v>2.0498198577447768</v>
      </c>
    </row>
    <row r="639" spans="3:8" x14ac:dyDescent="0.35">
      <c r="C639" s="8">
        <f t="shared" ca="1" si="46"/>
        <v>0.95841027907766596</v>
      </c>
      <c r="D639" s="7">
        <f t="shared" ca="1" si="47"/>
        <v>0.10318720846133358</v>
      </c>
      <c r="E639" s="7">
        <f t="shared" ca="1" si="48"/>
        <v>0.93398548656773184</v>
      </c>
      <c r="F639" s="7">
        <f t="shared" ca="1" si="49"/>
        <v>2.6366420127965584E-2</v>
      </c>
      <c r="G639" s="7">
        <f t="shared" ca="1" si="45"/>
        <v>210.51337919491002</v>
      </c>
      <c r="H639" s="7">
        <f ca="1">(G639+DCF!$D$40+DCF!$D$41+DCF!$D$42-DCF!$D$43-DCF!$D$44)/DCF!$C$35</f>
        <v>1.8302312856694323</v>
      </c>
    </row>
    <row r="640" spans="3:8" x14ac:dyDescent="0.35">
      <c r="C640" s="8">
        <f t="shared" ca="1" si="46"/>
        <v>0.34872311980062098</v>
      </c>
      <c r="D640" s="7">
        <f t="shared" ca="1" si="47"/>
        <v>8.3040307896741355E-2</v>
      </c>
      <c r="E640" s="7">
        <f t="shared" ca="1" si="48"/>
        <v>0.88780668485044378</v>
      </c>
      <c r="F640" s="7">
        <f t="shared" ca="1" si="49"/>
        <v>2.5263053406474667E-2</v>
      </c>
      <c r="G640" s="7">
        <f t="shared" ca="1" si="45"/>
        <v>285.56156417574539</v>
      </c>
      <c r="H640" s="7">
        <f ca="1">(G640+DCF!$D$40+DCF!$D$41+DCF!$D$42-DCF!$D$43-DCF!$D$44)/DCF!$C$35</f>
        <v>2.2538015813057082</v>
      </c>
    </row>
    <row r="641" spans="3:8" x14ac:dyDescent="0.35">
      <c r="C641" s="8">
        <f t="shared" ca="1" si="46"/>
        <v>0.12915040449533943</v>
      </c>
      <c r="D641" s="7">
        <f t="shared" ca="1" si="47"/>
        <v>7.7906250424552986E-2</v>
      </c>
      <c r="E641" s="7">
        <f t="shared" ca="1" si="48"/>
        <v>0.39742854318064968</v>
      </c>
      <c r="F641" s="7">
        <f t="shared" ca="1" si="49"/>
        <v>1.8915475794153105E-2</v>
      </c>
      <c r="G641" s="7">
        <f t="shared" ca="1" si="45"/>
        <v>288.44921732424899</v>
      </c>
      <c r="H641" s="7">
        <f ca="1">(G641+DCF!$D$40+DCF!$D$41+DCF!$D$42-DCF!$D$43-DCF!$D$44)/DCF!$C$35</f>
        <v>2.2700994317882888</v>
      </c>
    </row>
    <row r="642" spans="3:8" x14ac:dyDescent="0.35">
      <c r="C642" s="8">
        <f t="shared" ca="1" si="46"/>
        <v>0.60624045258258286</v>
      </c>
      <c r="D642" s="7">
        <f t="shared" ca="1" si="47"/>
        <v>8.9037279400854541E-2</v>
      </c>
      <c r="E642" s="7">
        <f t="shared" ca="1" si="48"/>
        <v>0.32327103114849354</v>
      </c>
      <c r="F642" s="7">
        <f t="shared" ca="1" si="49"/>
        <v>1.8040783931290449E-2</v>
      </c>
      <c r="G642" s="7">
        <f t="shared" ca="1" si="45"/>
        <v>238.22161438314802</v>
      </c>
      <c r="H642" s="7">
        <f ca="1">(G642+DCF!$D$40+DCF!$D$41+DCF!$D$42-DCF!$D$43-DCF!$D$44)/DCF!$C$35</f>
        <v>1.9866159520439552</v>
      </c>
    </row>
    <row r="643" spans="3:8" x14ac:dyDescent="0.35">
      <c r="C643" s="8">
        <f t="shared" ca="1" si="46"/>
        <v>0.99505977266875922</v>
      </c>
      <c r="D643" s="7">
        <f t="shared" ca="1" si="47"/>
        <v>0.10765195960391123</v>
      </c>
      <c r="E643" s="7">
        <f t="shared" ca="1" si="48"/>
        <v>0.81361654027495034</v>
      </c>
      <c r="F643" s="7">
        <f t="shared" ca="1" si="49"/>
        <v>2.3894535894380352E-2</v>
      </c>
      <c r="G643" s="7">
        <f t="shared" ca="1" si="45"/>
        <v>194.33584237479002</v>
      </c>
      <c r="H643" s="7">
        <f ca="1">(G643+DCF!$D$40+DCF!$D$41+DCF!$D$42-DCF!$D$43-DCF!$D$44)/DCF!$C$35</f>
        <v>1.7389256257748615</v>
      </c>
    </row>
    <row r="644" spans="3:8" x14ac:dyDescent="0.35">
      <c r="C644" s="8">
        <f t="shared" ca="1" si="46"/>
        <v>0.48041875091389652</v>
      </c>
      <c r="D644" s="7">
        <f t="shared" ca="1" si="47"/>
        <v>8.5919869726679393E-2</v>
      </c>
      <c r="E644" s="7">
        <f t="shared" ca="1" si="48"/>
        <v>0.56741559976756228</v>
      </c>
      <c r="F644" s="7">
        <f t="shared" ca="1" si="49"/>
        <v>2.0698554948477763E-2</v>
      </c>
      <c r="G644" s="7">
        <f t="shared" ca="1" si="45"/>
        <v>257.20800669707654</v>
      </c>
      <c r="H644" s="7">
        <f ca="1">(G644+DCF!$D$40+DCF!$D$41+DCF!$D$42-DCF!$D$43-DCF!$D$44)/DCF!$C$35</f>
        <v>2.0937747302013574</v>
      </c>
    </row>
    <row r="645" spans="3:8" x14ac:dyDescent="0.35">
      <c r="C645" s="8">
        <f t="shared" ca="1" si="46"/>
        <v>0.65428699465178819</v>
      </c>
      <c r="D645" s="7">
        <f t="shared" ca="1" si="47"/>
        <v>9.0357807811534768E-2</v>
      </c>
      <c r="E645" s="7">
        <f t="shared" ca="1" si="48"/>
        <v>0.14906732173942305</v>
      </c>
      <c r="F645" s="7">
        <f t="shared" ca="1" si="49"/>
        <v>1.5460170725159116E-2</v>
      </c>
      <c r="G645" s="7">
        <f t="shared" ca="1" si="45"/>
        <v>227.89505763948526</v>
      </c>
      <c r="H645" s="7">
        <f ca="1">(G645+DCF!$D$40+DCF!$D$41+DCF!$D$42-DCF!$D$43-DCF!$D$44)/DCF!$C$35</f>
        <v>1.9283330942515251</v>
      </c>
    </row>
    <row r="646" spans="3:8" x14ac:dyDescent="0.35">
      <c r="C646" s="8">
        <f t="shared" ca="1" si="46"/>
        <v>0.7514704123606345</v>
      </c>
      <c r="D646" s="7">
        <f t="shared" ca="1" si="47"/>
        <v>9.3345900810745369E-2</v>
      </c>
      <c r="E646" s="7">
        <f t="shared" ca="1" si="48"/>
        <v>0.95994649363504947</v>
      </c>
      <c r="F646" s="7">
        <f t="shared" ca="1" si="49"/>
        <v>2.7169681771780758E-2</v>
      </c>
      <c r="G646" s="7">
        <f t="shared" ca="1" si="45"/>
        <v>245.37497356198588</v>
      </c>
      <c r="H646" s="7">
        <f ca="1">(G646+DCF!$D$40+DCF!$D$41+DCF!$D$42-DCF!$D$43-DCF!$D$44)/DCF!$C$35</f>
        <v>2.0269893529855847</v>
      </c>
    </row>
    <row r="647" spans="3:8" x14ac:dyDescent="0.35">
      <c r="C647" s="8">
        <f t="shared" ca="1" si="46"/>
        <v>0.82635706528081865</v>
      </c>
      <c r="D647" s="7">
        <f t="shared" ca="1" si="47"/>
        <v>9.607931340965517E-2</v>
      </c>
      <c r="E647" s="7">
        <f t="shared" ca="1" si="48"/>
        <v>0.27081572027437162</v>
      </c>
      <c r="F647" s="7">
        <f t="shared" ca="1" si="49"/>
        <v>1.7359561403702962E-2</v>
      </c>
      <c r="G647" s="7">
        <f t="shared" ca="1" si="45"/>
        <v>214.14557191937334</v>
      </c>
      <c r="H647" s="7">
        <f ca="1">(G647+DCF!$D$40+DCF!$D$41+DCF!$D$42-DCF!$D$43-DCF!$D$44)/DCF!$C$35</f>
        <v>1.8507313010462427</v>
      </c>
    </row>
    <row r="648" spans="3:8" x14ac:dyDescent="0.35">
      <c r="C648" s="8">
        <f t="shared" ca="1" si="46"/>
        <v>8.4544485665460578E-2</v>
      </c>
      <c r="D648" s="7">
        <f t="shared" ca="1" si="47"/>
        <v>7.6396837582906343E-2</v>
      </c>
      <c r="E648" s="7">
        <f t="shared" ca="1" si="48"/>
        <v>0.41288675716392731</v>
      </c>
      <c r="F648" s="7">
        <f t="shared" ca="1" si="49"/>
        <v>1.9087208120912906E-2</v>
      </c>
      <c r="G648" s="7">
        <f t="shared" ca="1" si="45"/>
        <v>297.09158266888721</v>
      </c>
      <c r="H648" s="7">
        <f ca="1">(G648+DCF!$D$40+DCF!$D$41+DCF!$D$42-DCF!$D$43-DCF!$D$44)/DCF!$C$35</f>
        <v>2.318876750586337</v>
      </c>
    </row>
    <row r="649" spans="3:8" x14ac:dyDescent="0.35">
      <c r="C649" s="8">
        <f t="shared" ca="1" si="46"/>
        <v>0.13028954823845618</v>
      </c>
      <c r="D649" s="7">
        <f t="shared" ca="1" si="47"/>
        <v>7.7941041578244816E-2</v>
      </c>
      <c r="E649" s="7">
        <f t="shared" ca="1" si="48"/>
        <v>0.33171474260660649</v>
      </c>
      <c r="F649" s="7">
        <f t="shared" ca="1" si="49"/>
        <v>1.8145118079028768E-2</v>
      </c>
      <c r="G649" s="7">
        <f t="shared" ca="1" si="45"/>
        <v>285.46730611359965</v>
      </c>
      <c r="H649" s="7">
        <f ca="1">(G649+DCF!$D$40+DCF!$D$41+DCF!$D$42-DCF!$D$43-DCF!$D$44)/DCF!$C$35</f>
        <v>2.25326959088836</v>
      </c>
    </row>
    <row r="650" spans="3:8" x14ac:dyDescent="0.35">
      <c r="C650" s="8">
        <f t="shared" ca="1" si="46"/>
        <v>0.80634740989019627</v>
      </c>
      <c r="D650" s="7">
        <f t="shared" ca="1" si="47"/>
        <v>9.5299105790376537E-2</v>
      </c>
      <c r="E650" s="7">
        <f t="shared" ca="1" si="48"/>
        <v>2.6029839136308519E-2</v>
      </c>
      <c r="F650" s="7">
        <f t="shared" ca="1" si="49"/>
        <v>1.2281659007665629E-2</v>
      </c>
      <c r="G650" s="7">
        <f t="shared" ca="1" si="45"/>
        <v>207.27453566983053</v>
      </c>
      <c r="H650" s="7">
        <f ca="1">(G650+DCF!$D$40+DCF!$D$41+DCF!$D$42-DCF!$D$43-DCF!$D$44)/DCF!$C$35</f>
        <v>1.8119513244713314</v>
      </c>
    </row>
    <row r="651" spans="3:8" x14ac:dyDescent="0.35">
      <c r="C651" s="8">
        <f t="shared" ca="1" si="46"/>
        <v>0.2003696705317829</v>
      </c>
      <c r="D651" s="7">
        <f t="shared" ca="1" si="47"/>
        <v>7.9847787596073694E-2</v>
      </c>
      <c r="E651" s="7">
        <f t="shared" ca="1" si="48"/>
        <v>0.23675575215320066</v>
      </c>
      <c r="F651" s="7">
        <f t="shared" ca="1" si="49"/>
        <v>1.6881217220131924E-2</v>
      </c>
      <c r="G651" s="7">
        <f t="shared" ca="1" si="45"/>
        <v>272.04724302102352</v>
      </c>
      <c r="H651" s="7">
        <f ca="1">(G651+DCF!$D$40+DCF!$D$41+DCF!$D$42-DCF!$D$43-DCF!$D$44)/DCF!$C$35</f>
        <v>2.1775270517046139</v>
      </c>
    </row>
    <row r="652" spans="3:8" x14ac:dyDescent="0.35">
      <c r="C652" s="8">
        <f t="shared" ca="1" si="46"/>
        <v>0.49541173636189162</v>
      </c>
      <c r="D652" s="7">
        <f t="shared" ca="1" si="47"/>
        <v>8.6269839818911287E-2</v>
      </c>
      <c r="E652" s="7">
        <f t="shared" ca="1" si="48"/>
        <v>1.4521781956495672E-2</v>
      </c>
      <c r="F652" s="7">
        <f t="shared" ca="1" si="49"/>
        <v>1.1704217237120647E-2</v>
      </c>
      <c r="G652" s="7">
        <f t="shared" ca="1" si="45"/>
        <v>233.20129131904221</v>
      </c>
      <c r="H652" s="7">
        <f ca="1">(G652+DCF!$D$40+DCF!$D$41+DCF!$D$42-DCF!$D$43-DCF!$D$44)/DCF!$C$35</f>
        <v>1.9582813597417439</v>
      </c>
    </row>
    <row r="653" spans="3:8" x14ac:dyDescent="0.35">
      <c r="C653" s="8">
        <f t="shared" ca="1" si="46"/>
        <v>0.90833135180644142</v>
      </c>
      <c r="D653" s="7">
        <f t="shared" ca="1" si="47"/>
        <v>9.9885544434621734E-2</v>
      </c>
      <c r="E653" s="7">
        <f t="shared" ca="1" si="48"/>
        <v>0.37669848632595071</v>
      </c>
      <c r="F653" s="7">
        <f t="shared" ca="1" si="49"/>
        <v>1.8679844311114698E-2</v>
      </c>
      <c r="G653" s="7">
        <f t="shared" ca="1" si="45"/>
        <v>205.85738414538093</v>
      </c>
      <c r="H653" s="7">
        <f ca="1">(G653+DCF!$D$40+DCF!$D$41+DCF!$D$42-DCF!$D$43-DCF!$D$44)/DCF!$C$35</f>
        <v>1.8039529526209557</v>
      </c>
    </row>
    <row r="654" spans="3:8" x14ac:dyDescent="0.35">
      <c r="C654" s="8">
        <f t="shared" ca="1" si="46"/>
        <v>0.94371439438084248</v>
      </c>
      <c r="D654" s="7">
        <f t="shared" ca="1" si="47"/>
        <v>0.10207442520248659</v>
      </c>
      <c r="E654" s="7">
        <f t="shared" ca="1" si="48"/>
        <v>0.51289107240970488</v>
      </c>
      <c r="F654" s="7">
        <f t="shared" ca="1" si="49"/>
        <v>2.0129752509786849E-2</v>
      </c>
      <c r="G654" s="7">
        <f t="shared" ca="1" si="45"/>
        <v>202.47969120427081</v>
      </c>
      <c r="H654" s="7">
        <f ca="1">(G654+DCF!$D$40+DCF!$D$41+DCF!$D$42-DCF!$D$43-DCF!$D$44)/DCF!$C$35</f>
        <v>1.784889328390737</v>
      </c>
    </row>
    <row r="655" spans="3:8" x14ac:dyDescent="0.35">
      <c r="C655" s="8">
        <f t="shared" ca="1" si="46"/>
        <v>0.49650367587418631</v>
      </c>
      <c r="D655" s="7">
        <f t="shared" ca="1" si="47"/>
        <v>8.6295530005410209E-2</v>
      </c>
      <c r="E655" s="7">
        <f t="shared" ca="1" si="48"/>
        <v>0.22430218247325584</v>
      </c>
      <c r="F655" s="7">
        <f t="shared" ca="1" si="49"/>
        <v>1.6697793404894717E-2</v>
      </c>
      <c r="G655" s="7">
        <f t="shared" ca="1" si="45"/>
        <v>244.90964272577935</v>
      </c>
      <c r="H655" s="7">
        <f ca="1">(G655+DCF!$D$40+DCF!$D$41+DCF!$D$42-DCF!$D$43-DCF!$D$44)/DCF!$C$35</f>
        <v>2.0243630360411973</v>
      </c>
    </row>
    <row r="656" spans="3:8" x14ac:dyDescent="0.35">
      <c r="C656" s="8">
        <f t="shared" ca="1" si="46"/>
        <v>0.86680332427237872</v>
      </c>
      <c r="D656" s="7">
        <f t="shared" ca="1" si="47"/>
        <v>9.7807892302311905E-2</v>
      </c>
      <c r="E656" s="7">
        <f t="shared" ca="1" si="48"/>
        <v>8.7777405332834735E-2</v>
      </c>
      <c r="F656" s="7">
        <f t="shared" ca="1" si="49"/>
        <v>1.4189926140944126E-2</v>
      </c>
      <c r="G656" s="7">
        <f t="shared" ref="G656:G719" ca="1" si="50">$C$11/(1+D656)^1
 +$D$11/(1+D656)^2
 +$E$11/(1+D656)^3
 +$F$11/(1+D656)^4
 +$G$11/(1+D656)^5
 +$H$11/(1+D656)^6
 +$I$11/(1+D656)^7
 + ( $I$11*(1+F656)/(D656-F656) )/(1+D656)^7</f>
        <v>203.81537531823125</v>
      </c>
      <c r="H656" s="7">
        <f ca="1">(G656+DCF!$D$40+DCF!$D$41+DCF!$D$42-DCF!$D$43-DCF!$D$44)/DCF!$C$35</f>
        <v>1.7924278999787291</v>
      </c>
    </row>
    <row r="657" spans="3:8" x14ac:dyDescent="0.35">
      <c r="C657" s="8">
        <f t="shared" ref="C657:C720" ca="1" si="51">RAND()</f>
        <v>0.46135694641960778</v>
      </c>
      <c r="D657" s="7">
        <f t="shared" ref="D657:D720" ca="1" si="52">IF(C657&lt;($C$6-0.07)/(0.11-0.07),0.07+SQRT(C657*(0.11-0.07)*($C$6-0.07)),0.11-SQRT((1-C657)*(0.11-0.07)*(0.11-$C$6)))</f>
        <v>8.5482136149417146E-2</v>
      </c>
      <c r="E657" s="7">
        <f t="shared" ref="E657:E720" ca="1" si="53">RAND()</f>
        <v>0.77636957640283866</v>
      </c>
      <c r="F657" s="7">
        <f t="shared" ref="F657:F720" ca="1" si="54">MIN(
 IF(E657&lt;(0.02-0.01)/(0.03-0.01),
   0.01+SQRT(E657*(0.03-0.01)*(0.02-0.01)),
   0.03-SQRT((1-E657)*(0.03-0.01)*(0.03-0.02))
 ),
 D657-0.005
)</f>
        <v>2.3312243670749341E-2</v>
      </c>
      <c r="G657" s="7">
        <f t="shared" ca="1" si="50"/>
        <v>267.03381742172883</v>
      </c>
      <c r="H657" s="7">
        <f ca="1">(G657+DCF!$D$40+DCF!$D$41+DCF!$D$42-DCF!$D$43-DCF!$D$44)/DCF!$C$35</f>
        <v>2.1492313885411942</v>
      </c>
    </row>
    <row r="658" spans="3:8" x14ac:dyDescent="0.35">
      <c r="C658" s="8">
        <f t="shared" ca="1" si="51"/>
        <v>0.17151208182666566</v>
      </c>
      <c r="D658" s="7">
        <f t="shared" ca="1" si="52"/>
        <v>7.9111083777691119E-2</v>
      </c>
      <c r="E658" s="7">
        <f t="shared" ca="1" si="53"/>
        <v>0.40466211173729616</v>
      </c>
      <c r="F658" s="7">
        <f t="shared" ca="1" si="54"/>
        <v>1.8996244902594592E-2</v>
      </c>
      <c r="G658" s="7">
        <f t="shared" ca="1" si="50"/>
        <v>282.66287565066824</v>
      </c>
      <c r="H658" s="7">
        <f ca="1">(G658+DCF!$D$40+DCF!$D$41+DCF!$D$42-DCF!$D$43-DCF!$D$44)/DCF!$C$35</f>
        <v>2.2374414474018978</v>
      </c>
    </row>
    <row r="659" spans="3:8" x14ac:dyDescent="0.35">
      <c r="C659" s="8">
        <f t="shared" ca="1" si="51"/>
        <v>4.3113526983061146E-2</v>
      </c>
      <c r="D659" s="7">
        <f t="shared" ca="1" si="52"/>
        <v>7.4568035361049834E-2</v>
      </c>
      <c r="E659" s="7">
        <f t="shared" ca="1" si="53"/>
        <v>0.63111528656360327</v>
      </c>
      <c r="F659" s="7">
        <f t="shared" ca="1" si="54"/>
        <v>2.1410649460682177E-2</v>
      </c>
      <c r="G659" s="7">
        <f t="shared" ca="1" si="50"/>
        <v>317.68899145873894</v>
      </c>
      <c r="H659" s="7">
        <f ca="1">(G659+DCF!$D$40+DCF!$D$41+DCF!$D$42-DCF!$D$43-DCF!$D$44)/DCF!$C$35</f>
        <v>2.4351280700910878</v>
      </c>
    </row>
    <row r="660" spans="3:8" x14ac:dyDescent="0.35">
      <c r="C660" s="8">
        <f t="shared" ca="1" si="51"/>
        <v>0.13721137992686494</v>
      </c>
      <c r="D660" s="7">
        <f t="shared" ca="1" si="52"/>
        <v>7.8149251983133342E-2</v>
      </c>
      <c r="E660" s="7">
        <f t="shared" ca="1" si="53"/>
        <v>0.9270988348627317</v>
      </c>
      <c r="F660" s="7">
        <f t="shared" ca="1" si="54"/>
        <v>2.6181592867771476E-2</v>
      </c>
      <c r="G660" s="7">
        <f t="shared" ca="1" si="50"/>
        <v>317.48469104093817</v>
      </c>
      <c r="H660" s="7">
        <f ca="1">(G660+DCF!$D$40+DCF!$D$41+DCF!$D$42-DCF!$D$43-DCF!$D$44)/DCF!$C$35</f>
        <v>2.4339750030530429</v>
      </c>
    </row>
    <row r="661" spans="3:8" x14ac:dyDescent="0.35">
      <c r="C661" s="8">
        <f t="shared" ca="1" si="51"/>
        <v>0.78066178528611851</v>
      </c>
      <c r="D661" s="7">
        <f t="shared" ca="1" si="52"/>
        <v>9.4354507114804864E-2</v>
      </c>
      <c r="E661" s="7">
        <f t="shared" ca="1" si="53"/>
        <v>0.32457164537531713</v>
      </c>
      <c r="F661" s="7">
        <f t="shared" ca="1" si="54"/>
        <v>1.8056942911245148E-2</v>
      </c>
      <c r="G661" s="7">
        <f t="shared" ca="1" si="50"/>
        <v>220.65586960645692</v>
      </c>
      <c r="H661" s="7">
        <f ca="1">(G661+DCF!$D$40+DCF!$D$41+DCF!$D$42-DCF!$D$43-DCF!$D$44)/DCF!$C$35</f>
        <v>1.8874752771557564</v>
      </c>
    </row>
    <row r="662" spans="3:8" x14ac:dyDescent="0.35">
      <c r="C662" s="8">
        <f t="shared" ca="1" si="51"/>
        <v>0.47092865376338544</v>
      </c>
      <c r="D662" s="7">
        <f t="shared" ca="1" si="52"/>
        <v>8.5700954290341733E-2</v>
      </c>
      <c r="E662" s="7">
        <f t="shared" ca="1" si="53"/>
        <v>0.77448257713286472</v>
      </c>
      <c r="F662" s="7">
        <f t="shared" ca="1" si="54"/>
        <v>2.3284087212193189E-2</v>
      </c>
      <c r="G662" s="7">
        <f t="shared" ca="1" si="50"/>
        <v>265.96104455242494</v>
      </c>
      <c r="H662" s="7">
        <f ca="1">(G662+DCF!$D$40+DCF!$D$41+DCF!$D$42-DCF!$D$43-DCF!$D$44)/DCF!$C$35</f>
        <v>2.1431766822012919</v>
      </c>
    </row>
    <row r="663" spans="3:8" x14ac:dyDescent="0.35">
      <c r="C663" s="8">
        <f t="shared" ca="1" si="51"/>
        <v>0.82907045406488444</v>
      </c>
      <c r="D663" s="7">
        <f t="shared" ca="1" si="52"/>
        <v>9.6188505755582104E-2</v>
      </c>
      <c r="E663" s="7">
        <f t="shared" ca="1" si="53"/>
        <v>0.43747367853327734</v>
      </c>
      <c r="F663" s="7">
        <f t="shared" ca="1" si="54"/>
        <v>1.9353862074386999E-2</v>
      </c>
      <c r="G663" s="7">
        <f t="shared" ca="1" si="50"/>
        <v>217.65271608679819</v>
      </c>
      <c r="H663" s="7">
        <f ca="1">(G663+DCF!$D$40+DCF!$D$41+DCF!$D$42-DCF!$D$43-DCF!$D$44)/DCF!$C$35</f>
        <v>1.8705255451337519</v>
      </c>
    </row>
    <row r="664" spans="3:8" x14ac:dyDescent="0.35">
      <c r="C664" s="8">
        <f t="shared" ca="1" si="51"/>
        <v>0.52364833471259065</v>
      </c>
      <c r="D664" s="7">
        <f t="shared" ca="1" si="52"/>
        <v>8.6943364112239865E-2</v>
      </c>
      <c r="E664" s="7">
        <f t="shared" ca="1" si="53"/>
        <v>0.27590577452398579</v>
      </c>
      <c r="F664" s="7">
        <f t="shared" ca="1" si="54"/>
        <v>1.7428401907866667E-2</v>
      </c>
      <c r="G664" s="7">
        <f t="shared" ca="1" si="50"/>
        <v>244.34123866478825</v>
      </c>
      <c r="H664" s="7">
        <f ca="1">(G664+DCF!$D$40+DCF!$D$41+DCF!$D$42-DCF!$D$43-DCF!$D$44)/DCF!$C$35</f>
        <v>2.0211549760965584</v>
      </c>
    </row>
    <row r="665" spans="3:8" x14ac:dyDescent="0.35">
      <c r="C665" s="8">
        <f t="shared" ca="1" si="51"/>
        <v>0.66818444635091434</v>
      </c>
      <c r="D665" s="7">
        <f t="shared" ca="1" si="52"/>
        <v>9.0756659388963171E-2</v>
      </c>
      <c r="E665" s="7">
        <f t="shared" ca="1" si="53"/>
        <v>0.36806398587613054</v>
      </c>
      <c r="F665" s="7">
        <f t="shared" ca="1" si="54"/>
        <v>1.8579790042607458E-2</v>
      </c>
      <c r="G665" s="7">
        <f t="shared" ca="1" si="50"/>
        <v>233.47582915257038</v>
      </c>
      <c r="H665" s="7">
        <f ca="1">(G665+DCF!$D$40+DCF!$D$41+DCF!$D$42-DCF!$D$43-DCF!$D$44)/DCF!$C$35</f>
        <v>1.959830845200194</v>
      </c>
    </row>
    <row r="666" spans="3:8" x14ac:dyDescent="0.35">
      <c r="C666" s="8">
        <f t="shared" ca="1" si="51"/>
        <v>0.81310064925080816</v>
      </c>
      <c r="D666" s="7">
        <f t="shared" ca="1" si="52"/>
        <v>9.5557712250612853E-2</v>
      </c>
      <c r="E666" s="7">
        <f t="shared" ca="1" si="53"/>
        <v>4.8493489706486592E-2</v>
      </c>
      <c r="F666" s="7">
        <f t="shared" ca="1" si="54"/>
        <v>1.3114273260537251E-2</v>
      </c>
      <c r="G666" s="7">
        <f t="shared" ca="1" si="50"/>
        <v>207.99612700616723</v>
      </c>
      <c r="H666" s="7">
        <f ca="1">(G666+DCF!$D$40+DCF!$D$41+DCF!$D$42-DCF!$D$43-DCF!$D$44)/DCF!$C$35</f>
        <v>1.8160239700088454</v>
      </c>
    </row>
    <row r="667" spans="3:8" x14ac:dyDescent="0.35">
      <c r="C667" s="8">
        <f t="shared" ca="1" si="51"/>
        <v>0.60711440035921582</v>
      </c>
      <c r="D667" s="7">
        <f t="shared" ca="1" si="52"/>
        <v>8.9060555661643864E-2</v>
      </c>
      <c r="E667" s="7">
        <f t="shared" ca="1" si="53"/>
        <v>0.69353420787531739</v>
      </c>
      <c r="F667" s="7">
        <f t="shared" ca="1" si="54"/>
        <v>2.2171005273667856E-2</v>
      </c>
      <c r="G667" s="7">
        <f t="shared" ca="1" si="50"/>
        <v>248.63789244463075</v>
      </c>
      <c r="H667" s="7">
        <f ca="1">(G667+DCF!$D$40+DCF!$D$41+DCF!$D$42-DCF!$D$43-DCF!$D$44)/DCF!$C$35</f>
        <v>2.0454051949691316</v>
      </c>
    </row>
    <row r="668" spans="3:8" x14ac:dyDescent="0.35">
      <c r="C668" s="8">
        <f t="shared" ca="1" si="51"/>
        <v>0.78680922190027469</v>
      </c>
      <c r="D668" s="7">
        <f t="shared" ca="1" si="52"/>
        <v>9.4575314967258059E-2</v>
      </c>
      <c r="E668" s="7">
        <f t="shared" ca="1" si="53"/>
        <v>0.93818648368255086</v>
      </c>
      <c r="F668" s="7">
        <f t="shared" ca="1" si="54"/>
        <v>2.648393639655227E-2</v>
      </c>
      <c r="G668" s="7">
        <f t="shared" ca="1" si="50"/>
        <v>238.92641706397589</v>
      </c>
      <c r="H668" s="7">
        <f ca="1">(G668+DCF!$D$40+DCF!$D$41+DCF!$D$42-DCF!$D$43-DCF!$D$44)/DCF!$C$35</f>
        <v>1.9905938427812162</v>
      </c>
    </row>
    <row r="669" spans="3:8" x14ac:dyDescent="0.35">
      <c r="C669" s="8">
        <f t="shared" ca="1" si="51"/>
        <v>0.78686353798160169</v>
      </c>
      <c r="D669" s="7">
        <f t="shared" ca="1" si="52"/>
        <v>9.4577280018993654E-2</v>
      </c>
      <c r="E669" s="7">
        <f t="shared" ca="1" si="53"/>
        <v>0.87997381961755849</v>
      </c>
      <c r="F669" s="7">
        <f t="shared" ca="1" si="54"/>
        <v>2.5100486138759447E-2</v>
      </c>
      <c r="G669" s="7">
        <f t="shared" ca="1" si="50"/>
        <v>235.49330937544923</v>
      </c>
      <c r="H669" s="7">
        <f ca="1">(G669+DCF!$D$40+DCF!$D$41+DCF!$D$42-DCF!$D$43-DCF!$D$44)/DCF!$C$35</f>
        <v>1.9712174589425964</v>
      </c>
    </row>
    <row r="670" spans="3:8" x14ac:dyDescent="0.35">
      <c r="C670" s="8">
        <f t="shared" ca="1" si="51"/>
        <v>0.64572633235714039</v>
      </c>
      <c r="D670" s="7">
        <f t="shared" ca="1" si="52"/>
        <v>9.0116101662666065E-2</v>
      </c>
      <c r="E670" s="7">
        <f t="shared" ca="1" si="53"/>
        <v>0.8403665364796904</v>
      </c>
      <c r="F670" s="7">
        <f t="shared" ca="1" si="54"/>
        <v>2.4349628976424474E-2</v>
      </c>
      <c r="G670" s="7">
        <f t="shared" ca="1" si="50"/>
        <v>250.41843651907661</v>
      </c>
      <c r="H670" s="7">
        <f ca="1">(G670+DCF!$D$40+DCF!$D$41+DCF!$D$42-DCF!$D$43-DCF!$D$44)/DCF!$C$35</f>
        <v>2.055454546331847</v>
      </c>
    </row>
    <row r="671" spans="3:8" x14ac:dyDescent="0.35">
      <c r="C671" s="8">
        <f t="shared" ca="1" si="51"/>
        <v>7.1237638416945526E-2</v>
      </c>
      <c r="D671" s="7">
        <f t="shared" ca="1" si="52"/>
        <v>7.5871883598454731E-2</v>
      </c>
      <c r="E671" s="7">
        <f t="shared" ca="1" si="53"/>
        <v>0.37660443935679144</v>
      </c>
      <c r="F671" s="7">
        <f t="shared" ca="1" si="54"/>
        <v>1.8678760733616191E-2</v>
      </c>
      <c r="G671" s="7">
        <f t="shared" ca="1" si="50"/>
        <v>298.34256620119169</v>
      </c>
      <c r="H671" s="7">
        <f ca="1">(G671+DCF!$D$40+DCF!$D$41+DCF!$D$42-DCF!$D$43-DCF!$D$44)/DCF!$C$35</f>
        <v>2.3259372739654118</v>
      </c>
    </row>
    <row r="672" spans="3:8" x14ac:dyDescent="0.35">
      <c r="C672" s="8">
        <f t="shared" ca="1" si="51"/>
        <v>0.85022352067344087</v>
      </c>
      <c r="D672" s="7">
        <f t="shared" ca="1" si="52"/>
        <v>9.7071328338594109E-2</v>
      </c>
      <c r="E672" s="7">
        <f t="shared" ca="1" si="53"/>
        <v>0.81062435014009715</v>
      </c>
      <c r="F672" s="7">
        <f t="shared" ca="1" si="54"/>
        <v>2.384572262796187E-2</v>
      </c>
      <c r="G672" s="7">
        <f t="shared" ca="1" si="50"/>
        <v>224.14496234547659</v>
      </c>
      <c r="H672" s="7">
        <f ca="1">(G672+DCF!$D$40+DCF!$D$41+DCF!$D$42-DCF!$D$43-DCF!$D$44)/DCF!$C$35</f>
        <v>1.9071676393807233</v>
      </c>
    </row>
    <row r="673" spans="3:8" x14ac:dyDescent="0.35">
      <c r="C673" s="8">
        <f t="shared" ca="1" si="51"/>
        <v>0.59616551876882962</v>
      </c>
      <c r="D673" s="7">
        <f t="shared" ca="1" si="52"/>
        <v>8.8770791793993206E-2</v>
      </c>
      <c r="E673" s="7">
        <f t="shared" ca="1" si="53"/>
        <v>0.73590735089592996</v>
      </c>
      <c r="F673" s="7">
        <f t="shared" ca="1" si="54"/>
        <v>2.273236422068263E-2</v>
      </c>
      <c r="G673" s="7">
        <f t="shared" ca="1" si="50"/>
        <v>251.32246248139828</v>
      </c>
      <c r="H673" s="7">
        <f ca="1">(G673+DCF!$D$40+DCF!$D$41+DCF!$D$42-DCF!$D$43-DCF!$D$44)/DCF!$C$35</f>
        <v>2.0605568488621642</v>
      </c>
    </row>
    <row r="674" spans="3:8" x14ac:dyDescent="0.35">
      <c r="C674" s="8">
        <f t="shared" ca="1" si="51"/>
        <v>0.80170754063345129</v>
      </c>
      <c r="D674" s="7">
        <f t="shared" ca="1" si="52"/>
        <v>9.5124033320383231E-2</v>
      </c>
      <c r="E674" s="7">
        <f t="shared" ca="1" si="53"/>
        <v>0.21120609488654929</v>
      </c>
      <c r="F674" s="7">
        <f t="shared" ca="1" si="54"/>
        <v>1.6499324501616293E-2</v>
      </c>
      <c r="G674" s="7">
        <f t="shared" ca="1" si="50"/>
        <v>215.30844492384716</v>
      </c>
      <c r="H674" s="7">
        <f ca="1">(G674+DCF!$D$40+DCF!$D$41+DCF!$D$42-DCF!$D$43-DCF!$D$44)/DCF!$C$35</f>
        <v>1.8572945305556334</v>
      </c>
    </row>
    <row r="675" spans="3:8" x14ac:dyDescent="0.35">
      <c r="C675" s="8">
        <f t="shared" ca="1" si="51"/>
        <v>0.35393865205801256</v>
      </c>
      <c r="D675" s="7">
        <f t="shared" ca="1" si="52"/>
        <v>8.3148473706262854E-2</v>
      </c>
      <c r="E675" s="7">
        <f t="shared" ca="1" si="53"/>
        <v>0.29337453371170552</v>
      </c>
      <c r="F675" s="7">
        <f t="shared" ca="1" si="54"/>
        <v>1.7659954748060924E-2</v>
      </c>
      <c r="G675" s="7">
        <f t="shared" ca="1" si="50"/>
        <v>259.97939106798106</v>
      </c>
      <c r="H675" s="7">
        <f ca="1">(G675+DCF!$D$40+DCF!$D$41+DCF!$D$42-DCF!$D$43-DCF!$D$44)/DCF!$C$35</f>
        <v>2.1094163622755446</v>
      </c>
    </row>
    <row r="676" spans="3:8" x14ac:dyDescent="0.35">
      <c r="C676" s="8">
        <f t="shared" ca="1" si="51"/>
        <v>5.8849007677491016E-2</v>
      </c>
      <c r="D676" s="7">
        <f t="shared" ca="1" si="52"/>
        <v>7.5336939171089148E-2</v>
      </c>
      <c r="E676" s="7">
        <f t="shared" ca="1" si="53"/>
        <v>0.93411962363347067</v>
      </c>
      <c r="F676" s="7">
        <f t="shared" ca="1" si="54"/>
        <v>2.6370113600495758E-2</v>
      </c>
      <c r="G676" s="7">
        <f t="shared" ca="1" si="50"/>
        <v>337.42624811312987</v>
      </c>
      <c r="H676" s="7">
        <f ca="1">(G676+DCF!$D$40+DCF!$D$41+DCF!$D$42-DCF!$D$43-DCF!$D$44)/DCF!$C$35</f>
        <v>2.5465247099736419</v>
      </c>
    </row>
    <row r="677" spans="3:8" x14ac:dyDescent="0.35">
      <c r="C677" s="8">
        <f t="shared" ca="1" si="51"/>
        <v>0.9765843179385123</v>
      </c>
      <c r="D677" s="7">
        <f t="shared" ca="1" si="52"/>
        <v>0.10488806287395666</v>
      </c>
      <c r="E677" s="7">
        <f t="shared" ca="1" si="53"/>
        <v>0.56802453756971749</v>
      </c>
      <c r="F677" s="7">
        <f t="shared" ca="1" si="54"/>
        <v>2.0705103955069939E-2</v>
      </c>
      <c r="G677" s="7">
        <f t="shared" ca="1" si="50"/>
        <v>196.20971164089406</v>
      </c>
      <c r="H677" s="7">
        <f ca="1">(G677+DCF!$D$40+DCF!$D$41+DCF!$D$42-DCF!$D$43-DCF!$D$44)/DCF!$C$35</f>
        <v>1.7495017024545323</v>
      </c>
    </row>
    <row r="678" spans="3:8" x14ac:dyDescent="0.35">
      <c r="C678" s="8">
        <f t="shared" ca="1" si="51"/>
        <v>0.79884012944059024</v>
      </c>
      <c r="D678" s="7">
        <f t="shared" ca="1" si="52"/>
        <v>9.5016862293087562E-2</v>
      </c>
      <c r="E678" s="7">
        <f t="shared" ca="1" si="53"/>
        <v>0.41122358035982831</v>
      </c>
      <c r="F678" s="7">
        <f t="shared" ca="1" si="54"/>
        <v>1.906888725654728E-2</v>
      </c>
      <c r="G678" s="7">
        <f t="shared" ca="1" si="50"/>
        <v>220.65806796890394</v>
      </c>
      <c r="H678" s="7">
        <f ca="1">(G678+DCF!$D$40+DCF!$D$41+DCF!$D$42-DCF!$D$43-DCF!$D$44)/DCF!$C$35</f>
        <v>1.8874876846647699</v>
      </c>
    </row>
    <row r="679" spans="3:8" x14ac:dyDescent="0.35">
      <c r="C679" s="8">
        <f t="shared" ca="1" si="51"/>
        <v>0.98633102837078157</v>
      </c>
      <c r="D679" s="7">
        <f t="shared" ca="1" si="52"/>
        <v>0.10609428977800353</v>
      </c>
      <c r="E679" s="7">
        <f t="shared" ca="1" si="53"/>
        <v>0.48025088354458745</v>
      </c>
      <c r="F679" s="7">
        <f t="shared" ca="1" si="54"/>
        <v>1.9800519206088905E-2</v>
      </c>
      <c r="G679" s="7">
        <f t="shared" ca="1" si="50"/>
        <v>191.90256766732415</v>
      </c>
      <c r="H679" s="7">
        <f ca="1">(G679+DCF!$D$40+DCF!$D$41+DCF!$D$42-DCF!$D$43-DCF!$D$44)/DCF!$C$35</f>
        <v>1.7251922771606509</v>
      </c>
    </row>
    <row r="680" spans="3:8" x14ac:dyDescent="0.35">
      <c r="C680" s="8">
        <f t="shared" ca="1" si="51"/>
        <v>0.30869899756909702</v>
      </c>
      <c r="D680" s="7">
        <f t="shared" ca="1" si="52"/>
        <v>8.2224256648779179E-2</v>
      </c>
      <c r="E680" s="7">
        <f t="shared" ca="1" si="53"/>
        <v>0.49581493475507654</v>
      </c>
      <c r="F680" s="7">
        <f t="shared" ca="1" si="54"/>
        <v>1.9958061405264346E-2</v>
      </c>
      <c r="G680" s="7">
        <f t="shared" ca="1" si="50"/>
        <v>271.08357295645436</v>
      </c>
      <c r="H680" s="7">
        <f ca="1">(G680+DCF!$D$40+DCF!$D$41+DCF!$D$42-DCF!$D$43-DCF!$D$44)/DCF!$C$35</f>
        <v>2.1720881191808012</v>
      </c>
    </row>
    <row r="681" spans="3:8" x14ac:dyDescent="0.35">
      <c r="C681" s="8">
        <f t="shared" ca="1" si="51"/>
        <v>0.43989264463569566</v>
      </c>
      <c r="D681" s="7">
        <f t="shared" ca="1" si="52"/>
        <v>8.4998403879220766E-2</v>
      </c>
      <c r="E681" s="7">
        <f t="shared" ca="1" si="53"/>
        <v>0.27092111627133109</v>
      </c>
      <c r="F681" s="7">
        <f t="shared" ca="1" si="54"/>
        <v>1.7360993360563928E-2</v>
      </c>
      <c r="G681" s="7">
        <f t="shared" ca="1" si="50"/>
        <v>251.61842554142416</v>
      </c>
      <c r="H681" s="7">
        <f ca="1">(G681+DCF!$D$40+DCF!$D$41+DCF!$D$42-DCF!$D$43-DCF!$D$44)/DCF!$C$35</f>
        <v>2.0622272578249472</v>
      </c>
    </row>
    <row r="682" spans="3:8" x14ac:dyDescent="0.35">
      <c r="C682" s="8">
        <f t="shared" ca="1" si="51"/>
        <v>0.17261289235987132</v>
      </c>
      <c r="D682" s="7">
        <f t="shared" ca="1" si="52"/>
        <v>7.9140275701650248E-2</v>
      </c>
      <c r="E682" s="7">
        <f t="shared" ca="1" si="53"/>
        <v>0.5767686411493228</v>
      </c>
      <c r="F682" s="7">
        <f t="shared" ca="1" si="54"/>
        <v>2.0799659149241513E-2</v>
      </c>
      <c r="G682" s="7">
        <f t="shared" ca="1" si="50"/>
        <v>289.07530535065763</v>
      </c>
      <c r="H682" s="7">
        <f ca="1">(G682+DCF!$D$40+DCF!$D$41+DCF!$D$42-DCF!$D$43-DCF!$D$44)/DCF!$C$35</f>
        <v>2.2736330587575213</v>
      </c>
    </row>
    <row r="683" spans="3:8" x14ac:dyDescent="0.35">
      <c r="C683" s="8">
        <f t="shared" ca="1" si="51"/>
        <v>0.56290399994741247</v>
      </c>
      <c r="D683" s="7">
        <f t="shared" ca="1" si="52"/>
        <v>8.7913824775242594E-2</v>
      </c>
      <c r="E683" s="7">
        <f t="shared" ca="1" si="53"/>
        <v>0.23677629565671832</v>
      </c>
      <c r="F683" s="7">
        <f t="shared" ca="1" si="54"/>
        <v>1.6881515758271841E-2</v>
      </c>
      <c r="G683" s="7">
        <f t="shared" ca="1" si="50"/>
        <v>239.44697642776967</v>
      </c>
      <c r="H683" s="7">
        <f ca="1">(G683+DCF!$D$40+DCF!$D$41+DCF!$D$42-DCF!$D$43-DCF!$D$44)/DCF!$C$35</f>
        <v>1.993531868313408</v>
      </c>
    </row>
    <row r="684" spans="3:8" x14ac:dyDescent="0.35">
      <c r="C684" s="8">
        <f t="shared" ca="1" si="51"/>
        <v>0.83770721294498995</v>
      </c>
      <c r="D684" s="7">
        <f t="shared" ca="1" si="52"/>
        <v>9.6541963354434226E-2</v>
      </c>
      <c r="E684" s="7">
        <f t="shared" ca="1" si="53"/>
        <v>0.5173846041102127</v>
      </c>
      <c r="F684" s="7">
        <f t="shared" ca="1" si="54"/>
        <v>2.0175384018804733E-2</v>
      </c>
      <c r="G684" s="7">
        <f t="shared" ca="1" si="50"/>
        <v>218.20803372947427</v>
      </c>
      <c r="H684" s="7">
        <f ca="1">(G684+DCF!$D$40+DCF!$D$41+DCF!$D$42-DCF!$D$43-DCF!$D$44)/DCF!$C$35</f>
        <v>1.8736597456229498</v>
      </c>
    </row>
    <row r="685" spans="3:8" x14ac:dyDescent="0.35">
      <c r="C685" s="8">
        <f t="shared" ca="1" si="51"/>
        <v>0.72868574493520921</v>
      </c>
      <c r="D685" s="7">
        <f t="shared" ca="1" si="52"/>
        <v>9.2599232526916916E-2</v>
      </c>
      <c r="E685" s="7">
        <f t="shared" ca="1" si="53"/>
        <v>0.25060624935145825</v>
      </c>
      <c r="F685" s="7">
        <f t="shared" ca="1" si="54"/>
        <v>1.707963628093221E-2</v>
      </c>
      <c r="G685" s="7">
        <f t="shared" ca="1" si="50"/>
        <v>224.13131598438736</v>
      </c>
      <c r="H685" s="7">
        <f ca="1">(G685+DCF!$D$40+DCF!$D$41+DCF!$D$42-DCF!$D$43-DCF!$D$44)/DCF!$C$35</f>
        <v>1.9070906196206532</v>
      </c>
    </row>
    <row r="686" spans="3:8" x14ac:dyDescent="0.35">
      <c r="C686" s="8">
        <f t="shared" ca="1" si="51"/>
        <v>0.45579709332479534</v>
      </c>
      <c r="D686" s="7">
        <f t="shared" ca="1" si="52"/>
        <v>8.5355924771874106E-2</v>
      </c>
      <c r="E686" s="7">
        <f t="shared" ca="1" si="53"/>
        <v>0.51742070566685594</v>
      </c>
      <c r="F686" s="7">
        <f t="shared" ca="1" si="54"/>
        <v>2.0175751485908514E-2</v>
      </c>
      <c r="G686" s="7">
        <f t="shared" ca="1" si="50"/>
        <v>258.04513407770037</v>
      </c>
      <c r="H686" s="7">
        <f ca="1">(G686+DCF!$D$40+DCF!$D$41+DCF!$D$42-DCF!$D$43-DCF!$D$44)/DCF!$C$35</f>
        <v>2.0984994586166632</v>
      </c>
    </row>
    <row r="687" spans="3:8" x14ac:dyDescent="0.35">
      <c r="C687" s="8">
        <f t="shared" ca="1" si="51"/>
        <v>0.30515860195425304</v>
      </c>
      <c r="D687" s="7">
        <f t="shared" ca="1" si="52"/>
        <v>8.2153222803723711E-2</v>
      </c>
      <c r="E687" s="7">
        <f t="shared" ca="1" si="53"/>
        <v>0.21716813037179106</v>
      </c>
      <c r="F687" s="7">
        <f t="shared" ca="1" si="54"/>
        <v>1.6590419263928374E-2</v>
      </c>
      <c r="G687" s="7">
        <f t="shared" ca="1" si="50"/>
        <v>261.04850759574845</v>
      </c>
      <c r="H687" s="7">
        <f ca="1">(G687+DCF!$D$40+DCF!$D$41+DCF!$D$42-DCF!$D$43-DCF!$D$44)/DCF!$C$35</f>
        <v>2.1154504323047094</v>
      </c>
    </row>
    <row r="688" spans="3:8" x14ac:dyDescent="0.35">
      <c r="C688" s="8">
        <f t="shared" ca="1" si="51"/>
        <v>0.90439677983394795</v>
      </c>
      <c r="D688" s="7">
        <f t="shared" ca="1" si="52"/>
        <v>9.967076025521171E-2</v>
      </c>
      <c r="E688" s="7">
        <f t="shared" ca="1" si="53"/>
        <v>0.36279110671652226</v>
      </c>
      <c r="F688" s="7">
        <f t="shared" ca="1" si="54"/>
        <v>1.8518111371853767E-2</v>
      </c>
      <c r="G688" s="7">
        <f t="shared" ca="1" si="50"/>
        <v>206.15952168781541</v>
      </c>
      <c r="H688" s="7">
        <f ca="1">(G688+DCF!$D$40+DCF!$D$41+DCF!$D$42-DCF!$D$43-DCF!$D$44)/DCF!$C$35</f>
        <v>1.805658210225846</v>
      </c>
    </row>
    <row r="689" spans="3:8" x14ac:dyDescent="0.35">
      <c r="C689" s="8">
        <f t="shared" ca="1" si="51"/>
        <v>0.42259494578538703</v>
      </c>
      <c r="D689" s="7">
        <f t="shared" ca="1" si="52"/>
        <v>8.4615279388901926E-2</v>
      </c>
      <c r="E689" s="7">
        <f t="shared" ca="1" si="53"/>
        <v>1.4793032830552666E-2</v>
      </c>
      <c r="F689" s="7">
        <f t="shared" ca="1" si="54"/>
        <v>1.1720060047239786E-2</v>
      </c>
      <c r="G689" s="7">
        <f t="shared" ca="1" si="50"/>
        <v>238.89672513793715</v>
      </c>
      <c r="H689" s="7">
        <f ca="1">(G689+DCF!$D$40+DCF!$D$41+DCF!$D$42-DCF!$D$43-DCF!$D$44)/DCF!$C$35</f>
        <v>1.9904262622075692</v>
      </c>
    </row>
    <row r="690" spans="3:8" x14ac:dyDescent="0.35">
      <c r="C690" s="8">
        <f t="shared" ca="1" si="51"/>
        <v>0.80379736536229596</v>
      </c>
      <c r="D690" s="7">
        <f t="shared" ca="1" si="52"/>
        <v>9.5202630630558768E-2</v>
      </c>
      <c r="E690" s="7">
        <f t="shared" ca="1" si="53"/>
        <v>0.68553137294194433</v>
      </c>
      <c r="F690" s="7">
        <f t="shared" ca="1" si="54"/>
        <v>2.2069443562295826E-2</v>
      </c>
      <c r="G690" s="7">
        <f t="shared" ca="1" si="50"/>
        <v>226.37738757372429</v>
      </c>
      <c r="H690" s="7">
        <f ca="1">(G690+DCF!$D$40+DCF!$D$41+DCF!$D$42-DCF!$D$43-DCF!$D$44)/DCF!$C$35</f>
        <v>1.9197673979778995</v>
      </c>
    </row>
    <row r="691" spans="3:8" x14ac:dyDescent="0.35">
      <c r="C691" s="8">
        <f t="shared" ca="1" si="51"/>
        <v>0.59214484927173561</v>
      </c>
      <c r="D691" s="7">
        <f t="shared" ca="1" si="52"/>
        <v>8.8665372086376967E-2</v>
      </c>
      <c r="E691" s="7">
        <f t="shared" ca="1" si="53"/>
        <v>5.7875454971763052E-2</v>
      </c>
      <c r="F691" s="7">
        <f t="shared" ca="1" si="54"/>
        <v>1.3402218540063618E-2</v>
      </c>
      <c r="G691" s="7">
        <f t="shared" ca="1" si="50"/>
        <v>228.9914080426056</v>
      </c>
      <c r="H691" s="7">
        <f ca="1">(G691+DCF!$D$40+DCF!$D$41+DCF!$D$42-DCF!$D$43-DCF!$D$44)/DCF!$C$35</f>
        <v>1.934520871670649</v>
      </c>
    </row>
    <row r="692" spans="3:8" x14ac:dyDescent="0.35">
      <c r="C692" s="8">
        <f t="shared" ca="1" si="51"/>
        <v>0.74165626328769496</v>
      </c>
      <c r="D692" s="7">
        <f t="shared" ca="1" si="52"/>
        <v>9.3020258830861638E-2</v>
      </c>
      <c r="E692" s="7">
        <f t="shared" ca="1" si="53"/>
        <v>0.7502674049664847</v>
      </c>
      <c r="F692" s="7">
        <f t="shared" ca="1" si="54"/>
        <v>2.2932714877217486E-2</v>
      </c>
      <c r="G692" s="7">
        <f t="shared" ca="1" si="50"/>
        <v>235.80185383120448</v>
      </c>
      <c r="H692" s="7">
        <f ca="1">(G692+DCF!$D$40+DCF!$D$41+DCF!$D$42-DCF!$D$43-DCF!$D$44)/DCF!$C$35</f>
        <v>1.9729588770245201</v>
      </c>
    </row>
    <row r="693" spans="3:8" x14ac:dyDescent="0.35">
      <c r="C693" s="8">
        <f t="shared" ca="1" si="51"/>
        <v>0.29557432632482949</v>
      </c>
      <c r="D693" s="7">
        <f t="shared" ca="1" si="52"/>
        <v>8.1960684509726753E-2</v>
      </c>
      <c r="E693" s="7">
        <f t="shared" ca="1" si="53"/>
        <v>0.99009638298493896</v>
      </c>
      <c r="F693" s="7">
        <f t="shared" ca="1" si="54"/>
        <v>2.8592618245459958E-2</v>
      </c>
      <c r="G693" s="7">
        <f t="shared" ca="1" si="50"/>
        <v>305.06969281221552</v>
      </c>
      <c r="H693" s="7">
        <f ca="1">(G693+DCF!$D$40+DCF!$D$41+DCF!$D$42-DCF!$D$43-DCF!$D$44)/DCF!$C$35</f>
        <v>2.3639050277244356</v>
      </c>
    </row>
    <row r="694" spans="3:8" x14ac:dyDescent="0.35">
      <c r="C694" s="8">
        <f t="shared" ca="1" si="51"/>
        <v>0.65169881882825054</v>
      </c>
      <c r="D694" s="7">
        <f t="shared" ca="1" si="52"/>
        <v>9.0284419405260413E-2</v>
      </c>
      <c r="E694" s="7">
        <f t="shared" ca="1" si="53"/>
        <v>0.41619108722600984</v>
      </c>
      <c r="F694" s="7">
        <f t="shared" ca="1" si="54"/>
        <v>1.9123498092574027E-2</v>
      </c>
      <c r="G694" s="7">
        <f t="shared" ca="1" si="50"/>
        <v>236.38572287634315</v>
      </c>
      <c r="H694" s="7">
        <f ca="1">(G694+DCF!$D$40+DCF!$D$41+DCF!$D$42-DCF!$D$43-DCF!$D$44)/DCF!$C$35</f>
        <v>1.9762542209975344</v>
      </c>
    </row>
    <row r="695" spans="3:8" x14ac:dyDescent="0.35">
      <c r="C695" s="8">
        <f t="shared" ca="1" si="51"/>
        <v>4.3573913603135339E-2</v>
      </c>
      <c r="D695" s="7">
        <f t="shared" ca="1" si="52"/>
        <v>7.4592360415289452E-2</v>
      </c>
      <c r="E695" s="7">
        <f t="shared" ca="1" si="53"/>
        <v>0.98341200473257617</v>
      </c>
      <c r="F695" s="7">
        <f t="shared" ca="1" si="54"/>
        <v>2.8178572248623412E-2</v>
      </c>
      <c r="G695" s="7">
        <f t="shared" ca="1" si="50"/>
        <v>353.41373094832738</v>
      </c>
      <c r="H695" s="7">
        <f ca="1">(G695+DCF!$D$40+DCF!$D$41+DCF!$D$42-DCF!$D$43-DCF!$D$44)/DCF!$C$35</f>
        <v>2.636757709382139</v>
      </c>
    </row>
    <row r="696" spans="3:8" x14ac:dyDescent="0.35">
      <c r="C696" s="8">
        <f t="shared" ca="1" si="51"/>
        <v>4.0303171114928094E-2</v>
      </c>
      <c r="D696" s="7">
        <f t="shared" ca="1" si="52"/>
        <v>7.4416642935491301E-2</v>
      </c>
      <c r="E696" s="7">
        <f t="shared" ca="1" si="53"/>
        <v>0.36947974234966652</v>
      </c>
      <c r="F696" s="7">
        <f t="shared" ca="1" si="54"/>
        <v>1.8596275267226688E-2</v>
      </c>
      <c r="G696" s="7">
        <f t="shared" ca="1" si="50"/>
        <v>306.17952922549472</v>
      </c>
      <c r="H696" s="7">
        <f ca="1">(G696+DCF!$D$40+DCF!$D$41+DCF!$D$42-DCF!$D$43-DCF!$D$44)/DCF!$C$35</f>
        <v>2.3701689198865261</v>
      </c>
    </row>
    <row r="697" spans="3:8" x14ac:dyDescent="0.35">
      <c r="C697" s="8">
        <f t="shared" ca="1" si="51"/>
        <v>2.1510945508465995E-2</v>
      </c>
      <c r="D697" s="7">
        <f t="shared" ca="1" si="52"/>
        <v>7.3226654246444381E-2</v>
      </c>
      <c r="E697" s="7">
        <f t="shared" ca="1" si="53"/>
        <v>0.41802698598824417</v>
      </c>
      <c r="F697" s="7">
        <f t="shared" ca="1" si="54"/>
        <v>1.9143598700601904E-2</v>
      </c>
      <c r="G697" s="7">
        <f t="shared" ca="1" si="50"/>
        <v>315.62292266220607</v>
      </c>
      <c r="H697" s="7">
        <f ca="1">(G697+DCF!$D$40+DCF!$D$41+DCF!$D$42-DCF!$D$43-DCF!$D$44)/DCF!$C$35</f>
        <v>2.4234672235139749</v>
      </c>
    </row>
    <row r="698" spans="3:8" x14ac:dyDescent="0.35">
      <c r="C698" s="8">
        <f t="shared" ca="1" si="51"/>
        <v>0.49253898337172708</v>
      </c>
      <c r="D698" s="7">
        <f t="shared" ca="1" si="52"/>
        <v>8.6202384687596278E-2</v>
      </c>
      <c r="E698" s="7">
        <f t="shared" ca="1" si="53"/>
        <v>0.74986005074687756</v>
      </c>
      <c r="F698" s="7">
        <f t="shared" ca="1" si="54"/>
        <v>2.2926953283723874E-2</v>
      </c>
      <c r="G698" s="7">
        <f t="shared" ca="1" si="50"/>
        <v>262.63370458947935</v>
      </c>
      <c r="H698" s="7">
        <f ca="1">(G698+DCF!$D$40+DCF!$D$41+DCF!$D$42-DCF!$D$43-DCF!$D$44)/DCF!$C$35</f>
        <v>2.124397249065805</v>
      </c>
    </row>
    <row r="699" spans="3:8" x14ac:dyDescent="0.35">
      <c r="C699" s="8">
        <f t="shared" ca="1" si="51"/>
        <v>0.39621218652020229</v>
      </c>
      <c r="D699" s="7">
        <f t="shared" ca="1" si="52"/>
        <v>8.4041818248508732E-2</v>
      </c>
      <c r="E699" s="7">
        <f t="shared" ca="1" si="53"/>
        <v>0.97950531577522815</v>
      </c>
      <c r="F699" s="7">
        <f t="shared" ca="1" si="54"/>
        <v>2.7975416871315387E-2</v>
      </c>
      <c r="G699" s="7">
        <f t="shared" ca="1" si="50"/>
        <v>290.69071479812288</v>
      </c>
      <c r="H699" s="7">
        <f ca="1">(G699+DCF!$D$40+DCF!$D$41+DCF!$D$42-DCF!$D$43-DCF!$D$44)/DCF!$C$35</f>
        <v>2.282750393939061</v>
      </c>
    </row>
    <row r="700" spans="3:8" x14ac:dyDescent="0.35">
      <c r="C700" s="8">
        <f t="shared" ca="1" si="51"/>
        <v>0.91033469202714512</v>
      </c>
      <c r="D700" s="7">
        <f t="shared" ca="1" si="52"/>
        <v>9.9996676367441362E-2</v>
      </c>
      <c r="E700" s="7">
        <f t="shared" ca="1" si="53"/>
        <v>4.1778649320763916E-2</v>
      </c>
      <c r="F700" s="7">
        <f t="shared" ca="1" si="54"/>
        <v>1.2890627935960072E-2</v>
      </c>
      <c r="G700" s="7">
        <f t="shared" ca="1" si="50"/>
        <v>196.26174206809236</v>
      </c>
      <c r="H700" s="7">
        <f ca="1">(G700+DCF!$D$40+DCF!$D$41+DCF!$D$42-DCF!$D$43-DCF!$D$44)/DCF!$C$35</f>
        <v>1.7497953610344978</v>
      </c>
    </row>
    <row r="701" spans="3:8" x14ac:dyDescent="0.35">
      <c r="C701" s="8">
        <f t="shared" ca="1" si="51"/>
        <v>0.64492819594126605</v>
      </c>
      <c r="D701" s="7">
        <f t="shared" ca="1" si="52"/>
        <v>9.0093716235079266E-2</v>
      </c>
      <c r="E701" s="7">
        <f t="shared" ca="1" si="53"/>
        <v>0.76228371685077623</v>
      </c>
      <c r="F701" s="7">
        <f t="shared" ca="1" si="54"/>
        <v>2.3104838172323672E-2</v>
      </c>
      <c r="G701" s="7">
        <f t="shared" ca="1" si="50"/>
        <v>247.11436322824258</v>
      </c>
      <c r="H701" s="7">
        <f ca="1">(G701+DCF!$D$40+DCF!$D$41+DCF!$D$42-DCF!$D$43-DCF!$D$44)/DCF!$C$35</f>
        <v>2.0368064297789963</v>
      </c>
    </row>
    <row r="702" spans="3:8" x14ac:dyDescent="0.35">
      <c r="C702" s="8">
        <f t="shared" ca="1" si="51"/>
        <v>0.80911637332658803</v>
      </c>
      <c r="D702" s="7">
        <f t="shared" ca="1" si="52"/>
        <v>9.5404585399258862E-2</v>
      </c>
      <c r="E702" s="7">
        <f t="shared" ca="1" si="53"/>
        <v>0.49740860157135747</v>
      </c>
      <c r="F702" s="7">
        <f t="shared" ca="1" si="54"/>
        <v>1.9974052351690936E-2</v>
      </c>
      <c r="G702" s="7">
        <f t="shared" ca="1" si="50"/>
        <v>221.29980793605358</v>
      </c>
      <c r="H702" s="7">
        <f ca="1">(G702+DCF!$D$40+DCF!$D$41+DCF!$D$42-DCF!$D$43-DCF!$D$44)/DCF!$C$35</f>
        <v>1.891109650841255</v>
      </c>
    </row>
    <row r="703" spans="3:8" x14ac:dyDescent="0.35">
      <c r="C703" s="8">
        <f t="shared" ca="1" si="51"/>
        <v>0.37229237832572193</v>
      </c>
      <c r="D703" s="7">
        <f t="shared" ca="1" si="52"/>
        <v>8.3532629413020754E-2</v>
      </c>
      <c r="E703" s="7">
        <f t="shared" ca="1" si="53"/>
        <v>0.27915764746054439</v>
      </c>
      <c r="F703" s="7">
        <f t="shared" ca="1" si="54"/>
        <v>1.7472049885547396E-2</v>
      </c>
      <c r="G703" s="7">
        <f t="shared" ca="1" si="50"/>
        <v>257.83875160083858</v>
      </c>
      <c r="H703" s="7">
        <f ca="1">(G703+DCF!$D$40+DCF!$D$41+DCF!$D$42-DCF!$D$43-DCF!$D$44)/DCF!$C$35</f>
        <v>2.0973346404833419</v>
      </c>
    </row>
    <row r="704" spans="3:8" x14ac:dyDescent="0.35">
      <c r="C704" s="8">
        <f t="shared" ca="1" si="51"/>
        <v>0.62144034393774505</v>
      </c>
      <c r="D704" s="7">
        <f t="shared" ca="1" si="52"/>
        <v>8.9445862310340615E-2</v>
      </c>
      <c r="E704" s="7">
        <f t="shared" ca="1" si="53"/>
        <v>0.89926390695181302</v>
      </c>
      <c r="F704" s="7">
        <f t="shared" ca="1" si="54"/>
        <v>2.5511434682480669E-2</v>
      </c>
      <c r="G704" s="7">
        <f t="shared" ca="1" si="50"/>
        <v>256.49482001917085</v>
      </c>
      <c r="H704" s="7">
        <f ca="1">(G704+DCF!$D$40+DCF!$D$41+DCF!$D$42-DCF!$D$43-DCF!$D$44)/DCF!$C$35</f>
        <v>2.0897495203700802</v>
      </c>
    </row>
    <row r="705" spans="3:8" x14ac:dyDescent="0.35">
      <c r="C705" s="8">
        <f t="shared" ca="1" si="51"/>
        <v>0.8793819309887565</v>
      </c>
      <c r="D705" s="7">
        <f t="shared" ca="1" si="52"/>
        <v>9.8397855154474773E-2</v>
      </c>
      <c r="E705" s="7">
        <f t="shared" ca="1" si="53"/>
        <v>6.3207622795927842E-2</v>
      </c>
      <c r="F705" s="7">
        <f t="shared" ca="1" si="54"/>
        <v>1.3555492168348227E-2</v>
      </c>
      <c r="G705" s="7">
        <f t="shared" ca="1" si="50"/>
        <v>201.26461388755644</v>
      </c>
      <c r="H705" s="7">
        <f ca="1">(G705+DCF!$D$40+DCF!$D$41+DCF!$D$42-DCF!$D$43-DCF!$D$44)/DCF!$C$35</f>
        <v>1.7780314588980495</v>
      </c>
    </row>
    <row r="706" spans="3:8" x14ac:dyDescent="0.35">
      <c r="C706" s="8">
        <f t="shared" ca="1" si="51"/>
        <v>0.47375138200436751</v>
      </c>
      <c r="D706" s="7">
        <f t="shared" ca="1" si="52"/>
        <v>8.5765861730131066E-2</v>
      </c>
      <c r="E706" s="7">
        <f t="shared" ca="1" si="53"/>
        <v>4.8776432213643028E-3</v>
      </c>
      <c r="F706" s="7">
        <f t="shared" ca="1" si="54"/>
        <v>1.098768853606431E-2</v>
      </c>
      <c r="G706" s="7">
        <f t="shared" ca="1" si="50"/>
        <v>233.30683353130956</v>
      </c>
      <c r="H706" s="7">
        <f ca="1">(G706+DCF!$D$40+DCF!$D$41+DCF!$D$42-DCF!$D$43-DCF!$D$44)/DCF!$C$35</f>
        <v>1.9588770376527236</v>
      </c>
    </row>
    <row r="707" spans="3:8" x14ac:dyDescent="0.35">
      <c r="C707" s="8">
        <f t="shared" ca="1" si="51"/>
        <v>0.47516524073411714</v>
      </c>
      <c r="D707" s="7">
        <f t="shared" ca="1" si="52"/>
        <v>8.5798438245833691E-2</v>
      </c>
      <c r="E707" s="7">
        <f t="shared" ca="1" si="53"/>
        <v>0.37602760666704982</v>
      </c>
      <c r="F707" s="7">
        <f t="shared" ca="1" si="54"/>
        <v>1.8672111699777047E-2</v>
      </c>
      <c r="G707" s="7">
        <f t="shared" ca="1" si="50"/>
        <v>252.01242976105823</v>
      </c>
      <c r="H707" s="7">
        <f ca="1">(G707+DCF!$D$40+DCF!$D$41+DCF!$D$42-DCF!$D$43-DCF!$D$44)/DCF!$C$35</f>
        <v>2.0644510089234576</v>
      </c>
    </row>
    <row r="708" spans="3:8" x14ac:dyDescent="0.35">
      <c r="C708" s="8">
        <f t="shared" ca="1" si="51"/>
        <v>4.290971693692458E-2</v>
      </c>
      <c r="D708" s="7">
        <f t="shared" ca="1" si="52"/>
        <v>7.4557225361716439E-2</v>
      </c>
      <c r="E708" s="7">
        <f t="shared" ca="1" si="53"/>
        <v>1.3341606026860853E-2</v>
      </c>
      <c r="F708" s="7">
        <f t="shared" ca="1" si="54"/>
        <v>1.1633499680248568E-2</v>
      </c>
      <c r="G708" s="7">
        <f t="shared" ca="1" si="50"/>
        <v>279.49400857193058</v>
      </c>
      <c r="H708" s="7">
        <f ca="1">(G708+DCF!$D$40+DCF!$D$41+DCF!$D$42-DCF!$D$43-DCF!$D$44)/DCF!$C$35</f>
        <v>2.2195564317187637</v>
      </c>
    </row>
    <row r="709" spans="3:8" x14ac:dyDescent="0.35">
      <c r="C709" s="8">
        <f t="shared" ca="1" si="51"/>
        <v>0.70959886110073866</v>
      </c>
      <c r="D709" s="7">
        <f t="shared" ca="1" si="52"/>
        <v>9.1997564858842695E-2</v>
      </c>
      <c r="E709" s="7">
        <f t="shared" ca="1" si="53"/>
        <v>0.23442430773984435</v>
      </c>
      <c r="F709" s="7">
        <f t="shared" ca="1" si="54"/>
        <v>1.6847252116577047E-2</v>
      </c>
      <c r="G709" s="7">
        <f t="shared" ca="1" si="50"/>
        <v>225.55759547419638</v>
      </c>
      <c r="H709" s="7">
        <f ca="1">(G709+DCF!$D$40+DCF!$D$41+DCF!$D$42-DCF!$D$43-DCF!$D$44)/DCF!$C$35</f>
        <v>1.9151405095055669</v>
      </c>
    </row>
    <row r="710" spans="3:8" x14ac:dyDescent="0.35">
      <c r="C710" s="8">
        <f t="shared" ca="1" si="51"/>
        <v>5.4028248107700461E-2</v>
      </c>
      <c r="D710" s="7">
        <f t="shared" ca="1" si="52"/>
        <v>7.5113675007675698E-2</v>
      </c>
      <c r="E710" s="7">
        <f t="shared" ca="1" si="53"/>
        <v>0.16628515164745594</v>
      </c>
      <c r="F710" s="7">
        <f t="shared" ca="1" si="54"/>
        <v>1.5766890871994302E-2</v>
      </c>
      <c r="G710" s="7">
        <f t="shared" ca="1" si="50"/>
        <v>291.21072252495406</v>
      </c>
      <c r="H710" s="7">
        <f ca="1">(G710+DCF!$D$40+DCF!$D$41+DCF!$D$42-DCF!$D$43-DCF!$D$44)/DCF!$C$35</f>
        <v>2.2856853060444409</v>
      </c>
    </row>
    <row r="711" spans="3:8" x14ac:dyDescent="0.35">
      <c r="C711" s="8">
        <f t="shared" ca="1" si="51"/>
        <v>0.32909514428751463</v>
      </c>
      <c r="D711" s="7">
        <f t="shared" ca="1" si="52"/>
        <v>8.2637072178307874E-2</v>
      </c>
      <c r="E711" s="7">
        <f t="shared" ca="1" si="53"/>
        <v>0.39646857541044933</v>
      </c>
      <c r="F711" s="7">
        <f t="shared" ca="1" si="54"/>
        <v>1.8904701852509712E-2</v>
      </c>
      <c r="G711" s="7">
        <f t="shared" ca="1" si="50"/>
        <v>265.90391301665829</v>
      </c>
      <c r="H711" s="7">
        <f ca="1">(G711+DCF!$D$40+DCF!$D$41+DCF!$D$42-DCF!$D$43-DCF!$D$44)/DCF!$C$35</f>
        <v>2.1428542330774256</v>
      </c>
    </row>
    <row r="712" spans="3:8" x14ac:dyDescent="0.35">
      <c r="C712" s="8">
        <f t="shared" ca="1" si="51"/>
        <v>7.3104127490964399E-2</v>
      </c>
      <c r="D712" s="7">
        <f t="shared" ca="1" si="52"/>
        <v>7.5948310491696508E-2</v>
      </c>
      <c r="E712" s="7">
        <f t="shared" ca="1" si="53"/>
        <v>0.24956126334308926</v>
      </c>
      <c r="F712" s="7">
        <f t="shared" ca="1" si="54"/>
        <v>1.7064860413951423E-2</v>
      </c>
      <c r="G712" s="7">
        <f t="shared" ca="1" si="50"/>
        <v>291.70931755249086</v>
      </c>
      <c r="H712" s="7">
        <f ca="1">(G712+DCF!$D$40+DCF!$D$41+DCF!$D$42-DCF!$D$43-DCF!$D$44)/DCF!$C$35</f>
        <v>2.2884993653487462</v>
      </c>
    </row>
    <row r="713" spans="3:8" x14ac:dyDescent="0.35">
      <c r="C713" s="8">
        <f t="shared" ca="1" si="51"/>
        <v>0.45566209070091868</v>
      </c>
      <c r="D713" s="7">
        <f t="shared" ca="1" si="52"/>
        <v>8.5352868183543651E-2</v>
      </c>
      <c r="E713" s="7">
        <f t="shared" ca="1" si="53"/>
        <v>0.60498365555129019</v>
      </c>
      <c r="F713" s="7">
        <f t="shared" ca="1" si="54"/>
        <v>2.1111621695171723E-2</v>
      </c>
      <c r="G713" s="7">
        <f t="shared" ca="1" si="50"/>
        <v>260.8128243628471</v>
      </c>
      <c r="H713" s="7">
        <f ca="1">(G713+DCF!$D$40+DCF!$D$41+DCF!$D$42-DCF!$D$43-DCF!$D$44)/DCF!$C$35</f>
        <v>2.1141202413525626</v>
      </c>
    </row>
    <row r="714" spans="3:8" x14ac:dyDescent="0.35">
      <c r="C714" s="8">
        <f t="shared" ca="1" si="51"/>
        <v>0.43323174337090997</v>
      </c>
      <c r="D714" s="7">
        <f t="shared" ca="1" si="52"/>
        <v>8.4850181424152099E-2</v>
      </c>
      <c r="E714" s="7">
        <f t="shared" ca="1" si="53"/>
        <v>0.72851542295955396</v>
      </c>
      <c r="F714" s="7">
        <f t="shared" ca="1" si="54"/>
        <v>2.263135593151025E-2</v>
      </c>
      <c r="G714" s="7">
        <f t="shared" ca="1" si="50"/>
        <v>267.7166711070837</v>
      </c>
      <c r="H714" s="7">
        <f ca="1">(G714+DCF!$D$40+DCF!$D$41+DCF!$D$42-DCF!$D$43-DCF!$D$44)/DCF!$C$35</f>
        <v>2.1530853996336137</v>
      </c>
    </row>
    <row r="715" spans="3:8" x14ac:dyDescent="0.35">
      <c r="C715" s="8">
        <f t="shared" ca="1" si="51"/>
        <v>0.70132217513543249</v>
      </c>
      <c r="D715" s="7">
        <f t="shared" ca="1" si="52"/>
        <v>9.1742824628413711E-2</v>
      </c>
      <c r="E715" s="7">
        <f t="shared" ca="1" si="53"/>
        <v>0.35380235593309295</v>
      </c>
      <c r="F715" s="7">
        <f t="shared" ca="1" si="54"/>
        <v>1.8411924345036551E-2</v>
      </c>
      <c r="G715" s="7">
        <f t="shared" ca="1" si="50"/>
        <v>229.7643654911696</v>
      </c>
      <c r="H715" s="7">
        <f ca="1">(G715+DCF!$D$40+DCF!$D$41+DCF!$D$42-DCF!$D$43-DCF!$D$44)/DCF!$C$35</f>
        <v>1.9388834264091297</v>
      </c>
    </row>
    <row r="716" spans="3:8" x14ac:dyDescent="0.35">
      <c r="C716" s="8">
        <f t="shared" ca="1" si="51"/>
        <v>0.80421130372190996</v>
      </c>
      <c r="D716" s="7">
        <f t="shared" ca="1" si="52"/>
        <v>9.5218248241620743E-2</v>
      </c>
      <c r="E716" s="7">
        <f t="shared" ca="1" si="53"/>
        <v>0.84379753579261807</v>
      </c>
      <c r="F716" s="7">
        <f t="shared" ca="1" si="54"/>
        <v>2.4410680467044636E-2</v>
      </c>
      <c r="G716" s="7">
        <f t="shared" ca="1" si="50"/>
        <v>231.60317048150307</v>
      </c>
      <c r="H716" s="7">
        <f ca="1">(G716+DCF!$D$40+DCF!$D$41+DCF!$D$42-DCF!$D$43-DCF!$D$44)/DCF!$C$35</f>
        <v>1.9492616010921269</v>
      </c>
    </row>
    <row r="717" spans="3:8" x14ac:dyDescent="0.35">
      <c r="C717" s="8">
        <f t="shared" ca="1" si="51"/>
        <v>0.13084806399048343</v>
      </c>
      <c r="D717" s="7">
        <f t="shared" ca="1" si="52"/>
        <v>7.7958043916151382E-2</v>
      </c>
      <c r="E717" s="7">
        <f t="shared" ca="1" si="53"/>
        <v>0.81470300751476143</v>
      </c>
      <c r="F717" s="7">
        <f t="shared" ca="1" si="54"/>
        <v>2.3912356901308378E-2</v>
      </c>
      <c r="G717" s="7">
        <f t="shared" ca="1" si="50"/>
        <v>308.2920939824026</v>
      </c>
      <c r="H717" s="7">
        <f ca="1">(G717+DCF!$D$40+DCF!$D$41+DCF!$D$42-DCF!$D$43-DCF!$D$44)/DCF!$C$35</f>
        <v>2.3820921886353008</v>
      </c>
    </row>
    <row r="718" spans="3:8" x14ac:dyDescent="0.35">
      <c r="C718" s="8">
        <f t="shared" ca="1" si="51"/>
        <v>0.25248055656629109</v>
      </c>
      <c r="D718" s="7">
        <f t="shared" ca="1" si="52"/>
        <v>8.1054437542366645E-2</v>
      </c>
      <c r="E718" s="7">
        <f t="shared" ca="1" si="53"/>
        <v>0.69560984559986527</v>
      </c>
      <c r="F718" s="7">
        <f t="shared" ca="1" si="54"/>
        <v>2.2197562503933344E-2</v>
      </c>
      <c r="G718" s="7">
        <f t="shared" ca="1" si="50"/>
        <v>284.41189478500434</v>
      </c>
      <c r="H718" s="7">
        <f ca="1">(G718+DCF!$D$40+DCF!$D$41+DCF!$D$42-DCF!$D$43-DCF!$D$44)/DCF!$C$35</f>
        <v>2.2473128727001033</v>
      </c>
    </row>
    <row r="719" spans="3:8" x14ac:dyDescent="0.35">
      <c r="C719" s="8">
        <f t="shared" ca="1" si="51"/>
        <v>0.50953779755815776</v>
      </c>
      <c r="D719" s="7">
        <f t="shared" ca="1" si="52"/>
        <v>8.6604363271646237E-2</v>
      </c>
      <c r="E719" s="7">
        <f t="shared" ca="1" si="53"/>
        <v>0.78071799835019839</v>
      </c>
      <c r="F719" s="7">
        <f t="shared" ca="1" si="54"/>
        <v>2.3377583497698116E-2</v>
      </c>
      <c r="G719" s="7">
        <f t="shared" ca="1" si="50"/>
        <v>262.26046536568833</v>
      </c>
      <c r="H719" s="7">
        <f ca="1">(G719+DCF!$D$40+DCF!$D$41+DCF!$D$42-DCF!$D$43-DCF!$D$44)/DCF!$C$35</f>
        <v>2.1222906951444198</v>
      </c>
    </row>
    <row r="720" spans="3:8" x14ac:dyDescent="0.35">
      <c r="C720" s="8">
        <f t="shared" ca="1" si="51"/>
        <v>0.70861677748379992</v>
      </c>
      <c r="D720" s="7">
        <f t="shared" ca="1" si="52"/>
        <v>9.1967150077481394E-2</v>
      </c>
      <c r="E720" s="7">
        <f t="shared" ca="1" si="53"/>
        <v>0.62029843677689833</v>
      </c>
      <c r="F720" s="7">
        <f t="shared" ca="1" si="54"/>
        <v>2.1285626089923595E-2</v>
      </c>
      <c r="G720" s="7">
        <f t="shared" ref="G720:G783" ca="1" si="55">$C$11/(1+D720)^1
 +$D$11/(1+D720)^2
 +$E$11/(1+D720)^3
 +$F$11/(1+D720)^4
 +$G$11/(1+D720)^5
 +$H$11/(1+D720)^6
 +$I$11/(1+D720)^7
 + ( $I$11*(1+F720)/(D720-F720) )/(1+D720)^7</f>
        <v>235.58906191473346</v>
      </c>
      <c r="H720" s="7">
        <f ca="1">(G720+DCF!$D$40+DCF!$D$41+DCF!$D$42-DCF!$D$43-DCF!$D$44)/DCF!$C$35</f>
        <v>1.9717578841558496</v>
      </c>
    </row>
    <row r="721" spans="3:8" x14ac:dyDescent="0.35">
      <c r="C721" s="8">
        <f t="shared" ref="C721:C784" ca="1" si="56">RAND()</f>
        <v>0.71838232102955757</v>
      </c>
      <c r="D721" s="7">
        <f t="shared" ref="D721:D784" ca="1" si="57">IF(C721&lt;($C$6-0.07)/(0.11-0.07),0.07+SQRT(C721*(0.11-0.07)*($C$6-0.07)),0.11-SQRT((1-C721)*(0.11-0.07)*(0.11-$C$6)))</f>
        <v>9.2271905637350257E-2</v>
      </c>
      <c r="E721" s="7">
        <f t="shared" ref="E721:E784" ca="1" si="58">RAND()</f>
        <v>0.91482037462808086</v>
      </c>
      <c r="F721" s="7">
        <f t="shared" ref="F721:F784" ca="1" si="59">MIN(
 IF(E721&lt;(0.02-0.01)/(0.03-0.01),
   0.01+SQRT(E721*(0.03-0.01)*(0.02-0.01)),
   0.03-SQRT((1-E721)*(0.03-0.01)*(0.03-0.02))
 ),
 D721-0.005
)</f>
        <v>2.5872540118379847E-2</v>
      </c>
      <c r="G721" s="7">
        <f t="shared" ca="1" si="55"/>
        <v>246.0650887822477</v>
      </c>
      <c r="H721" s="7">
        <f ca="1">(G721+DCF!$D$40+DCF!$D$41+DCF!$D$42-DCF!$D$43-DCF!$D$44)/DCF!$C$35</f>
        <v>2.0308843480203618</v>
      </c>
    </row>
    <row r="722" spans="3:8" x14ac:dyDescent="0.35">
      <c r="C722" s="8">
        <f t="shared" ca="1" si="56"/>
        <v>0.7504325258062261</v>
      </c>
      <c r="D722" s="7">
        <f t="shared" ca="1" si="57"/>
        <v>9.3311162377197998E-2</v>
      </c>
      <c r="E722" s="7">
        <f t="shared" ca="1" si="58"/>
        <v>0.36121343281432039</v>
      </c>
      <c r="F722" s="7">
        <f t="shared" ca="1" si="59"/>
        <v>1.849956978692828E-2</v>
      </c>
      <c r="G722" s="7">
        <f t="shared" ca="1" si="55"/>
        <v>224.83992714835551</v>
      </c>
      <c r="H722" s="7">
        <f ca="1">(G722+DCF!$D$40+DCF!$D$41+DCF!$D$42-DCF!$D$43-DCF!$D$44)/DCF!$C$35</f>
        <v>1.9110900053524975</v>
      </c>
    </row>
    <row r="723" spans="3:8" x14ac:dyDescent="0.35">
      <c r="C723" s="8">
        <f t="shared" ca="1" si="56"/>
        <v>0.13321673931847322</v>
      </c>
      <c r="D723" s="7">
        <f t="shared" ca="1" si="57"/>
        <v>7.8029751044094778E-2</v>
      </c>
      <c r="E723" s="7">
        <f t="shared" ca="1" si="58"/>
        <v>0.46175239116393763</v>
      </c>
      <c r="F723" s="7">
        <f t="shared" ca="1" si="59"/>
        <v>1.9609915620482185E-2</v>
      </c>
      <c r="G723" s="7">
        <f t="shared" ca="1" si="55"/>
        <v>290.39667862763486</v>
      </c>
      <c r="H723" s="7">
        <f ca="1">(G723+DCF!$D$40+DCF!$D$41+DCF!$D$42-DCF!$D$43-DCF!$D$44)/DCF!$C$35</f>
        <v>2.2810908602981987</v>
      </c>
    </row>
    <row r="724" spans="3:8" x14ac:dyDescent="0.35">
      <c r="C724" s="8">
        <f t="shared" ca="1" si="56"/>
        <v>0.86025346641278755</v>
      </c>
      <c r="D724" s="7">
        <f t="shared" ca="1" si="57"/>
        <v>9.7511720235223392E-2</v>
      </c>
      <c r="E724" s="7">
        <f t="shared" ca="1" si="58"/>
        <v>0.30442394142690399</v>
      </c>
      <c r="F724" s="7">
        <f t="shared" ca="1" si="59"/>
        <v>1.7802870515738475E-2</v>
      </c>
      <c r="G724" s="7">
        <f t="shared" ca="1" si="55"/>
        <v>210.86418825162073</v>
      </c>
      <c r="H724" s="7">
        <f ca="1">(G724+DCF!$D$40+DCF!$D$41+DCF!$D$42-DCF!$D$43-DCF!$D$44)/DCF!$C$35</f>
        <v>1.8322112442240699</v>
      </c>
    </row>
    <row r="725" spans="3:8" x14ac:dyDescent="0.35">
      <c r="C725" s="8">
        <f t="shared" ca="1" si="56"/>
        <v>0.1915737201308052</v>
      </c>
      <c r="D725" s="7">
        <f t="shared" ca="1" si="57"/>
        <v>7.9629209756948371E-2</v>
      </c>
      <c r="E725" s="7">
        <f t="shared" ca="1" si="58"/>
        <v>0.22975583562345359</v>
      </c>
      <c r="F725" s="7">
        <f t="shared" ca="1" si="59"/>
        <v>1.6778729019859898E-2</v>
      </c>
      <c r="G725" s="7">
        <f t="shared" ca="1" si="55"/>
        <v>272.71752134811743</v>
      </c>
      <c r="H725" s="7">
        <f ca="1">(G725+DCF!$D$40+DCF!$D$41+DCF!$D$42-DCF!$D$43-DCF!$D$44)/DCF!$C$35</f>
        <v>2.1813100877532308</v>
      </c>
    </row>
    <row r="726" spans="3:8" x14ac:dyDescent="0.35">
      <c r="C726" s="8">
        <f t="shared" ca="1" si="56"/>
        <v>0.73893484882083338</v>
      </c>
      <c r="D726" s="7">
        <f t="shared" ca="1" si="57"/>
        <v>9.2931060117395992E-2</v>
      </c>
      <c r="E726" s="7">
        <f t="shared" ca="1" si="58"/>
        <v>0.29476533146067563</v>
      </c>
      <c r="F726" s="7">
        <f t="shared" ca="1" si="59"/>
        <v>1.7678090015891657E-2</v>
      </c>
      <c r="G726" s="7">
        <f t="shared" ca="1" si="55"/>
        <v>224.32674984454377</v>
      </c>
      <c r="H726" s="7">
        <f ca="1">(G726+DCF!$D$40+DCF!$D$41+DCF!$D$42-DCF!$D$43-DCF!$D$44)/DCF!$C$35</f>
        <v>1.9081936440035205</v>
      </c>
    </row>
    <row r="727" spans="3:8" x14ac:dyDescent="0.35">
      <c r="C727" s="8">
        <f t="shared" ca="1" si="56"/>
        <v>0.43364194542872825</v>
      </c>
      <c r="D727" s="7">
        <f t="shared" ca="1" si="57"/>
        <v>8.4859284240468832E-2</v>
      </c>
      <c r="E727" s="7">
        <f t="shared" ca="1" si="58"/>
        <v>0.2886384316460624</v>
      </c>
      <c r="F727" s="7">
        <f t="shared" ca="1" si="59"/>
        <v>1.7597873803190764E-2</v>
      </c>
      <c r="G727" s="7">
        <f t="shared" ca="1" si="55"/>
        <v>252.81254711854712</v>
      </c>
      <c r="H727" s="7">
        <f ca="1">(G727+DCF!$D$40+DCF!$D$41+DCF!$D$42-DCF!$D$43-DCF!$D$44)/DCF!$C$35</f>
        <v>2.0689668535870136</v>
      </c>
    </row>
    <row r="728" spans="3:8" x14ac:dyDescent="0.35">
      <c r="C728" s="8">
        <f t="shared" ca="1" si="56"/>
        <v>0.64596368271999161</v>
      </c>
      <c r="D728" s="7">
        <f t="shared" ca="1" si="57"/>
        <v>9.0122763519933424E-2</v>
      </c>
      <c r="E728" s="7">
        <f t="shared" ca="1" si="58"/>
        <v>0.23765534887937723</v>
      </c>
      <c r="F728" s="7">
        <f t="shared" ca="1" si="59"/>
        <v>1.6894278046023052E-2</v>
      </c>
      <c r="G728" s="7">
        <f t="shared" ca="1" si="55"/>
        <v>231.80876039574133</v>
      </c>
      <c r="H728" s="7">
        <f ca="1">(G728+DCF!$D$40+DCF!$D$41+DCF!$D$42-DCF!$D$43-DCF!$D$44)/DCF!$C$35</f>
        <v>1.9504219460195356</v>
      </c>
    </row>
    <row r="729" spans="3:8" x14ac:dyDescent="0.35">
      <c r="C729" s="8">
        <f t="shared" ca="1" si="56"/>
        <v>0.37422064516652631</v>
      </c>
      <c r="D729" s="7">
        <f t="shared" ca="1" si="57"/>
        <v>8.3573313488177217E-2</v>
      </c>
      <c r="E729" s="7">
        <f t="shared" ca="1" si="58"/>
        <v>0.91462898592583763</v>
      </c>
      <c r="F729" s="7">
        <f t="shared" ca="1" si="59"/>
        <v>2.5867905759202427E-2</v>
      </c>
      <c r="G729" s="7">
        <f t="shared" ca="1" si="55"/>
        <v>285.06878382120328</v>
      </c>
      <c r="H729" s="7">
        <f ca="1">(G729+DCF!$D$40+DCF!$D$41+DCF!$D$42-DCF!$D$43-DCF!$D$44)/DCF!$C$35</f>
        <v>2.2510203398871389</v>
      </c>
    </row>
    <row r="730" spans="3:8" x14ac:dyDescent="0.35">
      <c r="C730" s="8">
        <f t="shared" ca="1" si="56"/>
        <v>0.40422247849066306</v>
      </c>
      <c r="D730" s="7">
        <f t="shared" ca="1" si="57"/>
        <v>8.4214583307527874E-2</v>
      </c>
      <c r="E730" s="7">
        <f t="shared" ca="1" si="58"/>
        <v>0.9221313198781681</v>
      </c>
      <c r="F730" s="7">
        <f t="shared" ca="1" si="59"/>
        <v>2.6053642689217511E-2</v>
      </c>
      <c r="G730" s="7">
        <f t="shared" ca="1" si="55"/>
        <v>282.47209403839884</v>
      </c>
      <c r="H730" s="7">
        <f ca="1">(G730+DCF!$D$40+DCF!$D$41+DCF!$D$42-DCF!$D$43-DCF!$D$44)/DCF!$C$35</f>
        <v>2.2363646802031765</v>
      </c>
    </row>
    <row r="731" spans="3:8" x14ac:dyDescent="0.35">
      <c r="C731" s="8">
        <f t="shared" ca="1" si="56"/>
        <v>7.6928836653051835E-2</v>
      </c>
      <c r="D731" s="7">
        <f t="shared" ca="1" si="57"/>
        <v>7.6101930591220876E-2</v>
      </c>
      <c r="E731" s="7">
        <f t="shared" ca="1" si="58"/>
        <v>0.16399563237402381</v>
      </c>
      <c r="F731" s="7">
        <f t="shared" ca="1" si="59"/>
        <v>1.5727052162745225E-2</v>
      </c>
      <c r="G731" s="7">
        <f t="shared" ca="1" si="55"/>
        <v>286.04011450021392</v>
      </c>
      <c r="H731" s="7">
        <f ca="1">(G731+DCF!$D$40+DCF!$D$41+DCF!$D$42-DCF!$D$43-DCF!$D$44)/DCF!$C$35</f>
        <v>2.2565025087493731</v>
      </c>
    </row>
    <row r="732" spans="3:8" x14ac:dyDescent="0.35">
      <c r="C732" s="8">
        <f t="shared" ca="1" si="56"/>
        <v>0.40913227789128048</v>
      </c>
      <c r="D732" s="7">
        <f t="shared" ca="1" si="57"/>
        <v>8.4321051854226378E-2</v>
      </c>
      <c r="E732" s="7">
        <f t="shared" ca="1" si="58"/>
        <v>0.77559778140280533</v>
      </c>
      <c r="F732" s="7">
        <f t="shared" ca="1" si="59"/>
        <v>2.3300713193224302E-2</v>
      </c>
      <c r="G732" s="7">
        <f t="shared" ca="1" si="55"/>
        <v>272.33447899590163</v>
      </c>
      <c r="H732" s="7">
        <f ca="1">(G732+DCF!$D$40+DCF!$D$41+DCF!$D$42-DCF!$D$43-DCF!$D$44)/DCF!$C$35</f>
        <v>2.1791482051919044</v>
      </c>
    </row>
    <row r="733" spans="3:8" x14ac:dyDescent="0.35">
      <c r="C733" s="8">
        <f t="shared" ca="1" si="56"/>
        <v>0.56097346868721298</v>
      </c>
      <c r="D733" s="7">
        <f t="shared" ca="1" si="57"/>
        <v>8.7865104270743219E-2</v>
      </c>
      <c r="E733" s="7">
        <f t="shared" ca="1" si="58"/>
        <v>6.4382571982525505E-2</v>
      </c>
      <c r="F733" s="7">
        <f t="shared" ca="1" si="59"/>
        <v>1.3588386043405183E-2</v>
      </c>
      <c r="G733" s="7">
        <f t="shared" ca="1" si="55"/>
        <v>232.02914138915423</v>
      </c>
      <c r="H733" s="7">
        <f ca="1">(G733+DCF!$D$40+DCF!$D$41+DCF!$D$42-DCF!$D$43-DCF!$D$44)/DCF!$C$35</f>
        <v>1.9516657714705623</v>
      </c>
    </row>
    <row r="734" spans="3:8" x14ac:dyDescent="0.35">
      <c r="C734" s="8">
        <f t="shared" ca="1" si="56"/>
        <v>7.0936375619948144E-2</v>
      </c>
      <c r="D734" s="7">
        <f t="shared" ca="1" si="57"/>
        <v>7.585945439440013E-2</v>
      </c>
      <c r="E734" s="7">
        <f t="shared" ca="1" si="58"/>
        <v>0.57000198741894015</v>
      </c>
      <c r="F734" s="7">
        <f t="shared" ca="1" si="59"/>
        <v>2.0726402935418643E-2</v>
      </c>
      <c r="G734" s="7">
        <f t="shared" ca="1" si="55"/>
        <v>306.84963687330145</v>
      </c>
      <c r="H734" s="7">
        <f ca="1">(G734+DCF!$D$40+DCF!$D$41+DCF!$D$42-DCF!$D$43-DCF!$D$44)/DCF!$C$35</f>
        <v>2.373950992625022</v>
      </c>
    </row>
    <row r="735" spans="3:8" x14ac:dyDescent="0.35">
      <c r="C735" s="8">
        <f t="shared" ca="1" si="56"/>
        <v>0.78754888879924378</v>
      </c>
      <c r="D735" s="7">
        <f t="shared" ca="1" si="57"/>
        <v>9.4602096243317932E-2</v>
      </c>
      <c r="E735" s="7">
        <f t="shared" ca="1" si="58"/>
        <v>0.48229379127791006</v>
      </c>
      <c r="F735" s="7">
        <f t="shared" ca="1" si="59"/>
        <v>1.9821341978343999E-2</v>
      </c>
      <c r="G735" s="7">
        <f t="shared" ca="1" si="55"/>
        <v>223.50682391613958</v>
      </c>
      <c r="H735" s="7">
        <f ca="1">(G735+DCF!$D$40+DCF!$D$41+DCF!$D$42-DCF!$D$43-DCF!$D$44)/DCF!$C$35</f>
        <v>1.9035660002039709</v>
      </c>
    </row>
    <row r="736" spans="3:8" x14ac:dyDescent="0.35">
      <c r="C736" s="8">
        <f t="shared" ca="1" si="56"/>
        <v>0.62392426658740852</v>
      </c>
      <c r="D736" s="7">
        <f t="shared" ca="1" si="57"/>
        <v>8.9513406371764678E-2</v>
      </c>
      <c r="E736" s="7">
        <f t="shared" ca="1" si="58"/>
        <v>0.86877645297183959</v>
      </c>
      <c r="F736" s="7">
        <f t="shared" ca="1" si="59"/>
        <v>2.4877040952180851E-2</v>
      </c>
      <c r="G736" s="7">
        <f t="shared" ca="1" si="55"/>
        <v>254.36340450855047</v>
      </c>
      <c r="H736" s="7">
        <f ca="1">(G736+DCF!$D$40+DCF!$D$41+DCF!$D$42-DCF!$D$43-DCF!$D$44)/DCF!$C$35</f>
        <v>2.0777198583844139</v>
      </c>
    </row>
    <row r="737" spans="3:8" x14ac:dyDescent="0.35">
      <c r="C737" s="8">
        <f t="shared" ca="1" si="56"/>
        <v>0.40708613865668164</v>
      </c>
      <c r="D737" s="7">
        <f t="shared" ca="1" si="57"/>
        <v>8.4276627957067085E-2</v>
      </c>
      <c r="E737" s="7">
        <f t="shared" ca="1" si="58"/>
        <v>0.2638200618505292</v>
      </c>
      <c r="F737" s="7">
        <f t="shared" ca="1" si="59"/>
        <v>1.7263884110453983E-2</v>
      </c>
      <c r="G737" s="7">
        <f t="shared" ca="1" si="55"/>
        <v>254.22461740856639</v>
      </c>
      <c r="H737" s="7">
        <f ca="1">(G737+DCF!$D$40+DCF!$D$41+DCF!$D$42-DCF!$D$43-DCF!$D$44)/DCF!$C$35</f>
        <v>2.0769365470626839</v>
      </c>
    </row>
    <row r="738" spans="3:8" x14ac:dyDescent="0.35">
      <c r="C738" s="8">
        <f t="shared" ca="1" si="56"/>
        <v>0.9216157637369069</v>
      </c>
      <c r="D738" s="7">
        <f t="shared" ca="1" si="57"/>
        <v>0.10064709629742656</v>
      </c>
      <c r="E738" s="7">
        <f t="shared" ca="1" si="58"/>
        <v>0.6167391834400775</v>
      </c>
      <c r="F738" s="7">
        <f t="shared" ca="1" si="59"/>
        <v>2.124487788137798E-2</v>
      </c>
      <c r="G738" s="7">
        <f t="shared" ca="1" si="55"/>
        <v>208.28331099649267</v>
      </c>
      <c r="H738" s="7">
        <f ca="1">(G738+DCF!$D$40+DCF!$D$41+DCF!$D$42-DCF!$D$43-DCF!$D$44)/DCF!$C$35</f>
        <v>1.8176448300964705</v>
      </c>
    </row>
    <row r="739" spans="3:8" x14ac:dyDescent="0.35">
      <c r="C739" s="8">
        <f t="shared" ca="1" si="56"/>
        <v>0.8094583318165044</v>
      </c>
      <c r="D739" s="7">
        <f t="shared" ca="1" si="57"/>
        <v>9.5417664738020144E-2</v>
      </c>
      <c r="E739" s="7">
        <f t="shared" ca="1" si="58"/>
        <v>0.4565718932821422</v>
      </c>
      <c r="F739" s="7">
        <f t="shared" ca="1" si="59"/>
        <v>1.9555855726015772E-2</v>
      </c>
      <c r="G739" s="7">
        <f t="shared" ca="1" si="55"/>
        <v>220.40697256250974</v>
      </c>
      <c r="H739" s="7">
        <f ca="1">(G739+DCF!$D$40+DCF!$D$41+DCF!$D$42-DCF!$D$43-DCF!$D$44)/DCF!$C$35</f>
        <v>1.8860705077464144</v>
      </c>
    </row>
    <row r="740" spans="3:8" x14ac:dyDescent="0.35">
      <c r="C740" s="8">
        <f t="shared" ca="1" si="56"/>
        <v>0.49308044687764396</v>
      </c>
      <c r="D740" s="7">
        <f t="shared" ca="1" si="57"/>
        <v>8.6215084164863037E-2</v>
      </c>
      <c r="E740" s="7">
        <f t="shared" ca="1" si="58"/>
        <v>1.4947799989644017E-2</v>
      </c>
      <c r="F740" s="7">
        <f t="shared" ca="1" si="59"/>
        <v>1.1729034412014059E-2</v>
      </c>
      <c r="G740" s="7">
        <f t="shared" ca="1" si="55"/>
        <v>233.43934831687892</v>
      </c>
      <c r="H740" s="7">
        <f ca="1">(G740+DCF!$D$40+DCF!$D$41+DCF!$D$42-DCF!$D$43-DCF!$D$44)/DCF!$C$35</f>
        <v>1.9596249481706678</v>
      </c>
    </row>
    <row r="741" spans="3:8" x14ac:dyDescent="0.35">
      <c r="C741" s="8">
        <f t="shared" ca="1" si="56"/>
        <v>0.12034754956025884</v>
      </c>
      <c r="D741" s="7">
        <f t="shared" ca="1" si="57"/>
        <v>7.7632051754748868E-2</v>
      </c>
      <c r="E741" s="7">
        <f t="shared" ca="1" si="58"/>
        <v>0.38933778428329302</v>
      </c>
      <c r="F741" s="7">
        <f t="shared" ca="1" si="59"/>
        <v>1.8824259564216059E-2</v>
      </c>
      <c r="G741" s="7">
        <f t="shared" ca="1" si="55"/>
        <v>289.52605283449736</v>
      </c>
      <c r="H741" s="7">
        <f ca="1">(G741+DCF!$D$40+DCF!$D$41+DCF!$D$42-DCF!$D$43-DCF!$D$44)/DCF!$C$35</f>
        <v>2.2761770675837982</v>
      </c>
    </row>
    <row r="742" spans="3:8" x14ac:dyDescent="0.35">
      <c r="C742" s="8">
        <f t="shared" ca="1" si="56"/>
        <v>0.90866542927586547</v>
      </c>
      <c r="D742" s="7">
        <f t="shared" ca="1" si="57"/>
        <v>9.9903991832009348E-2</v>
      </c>
      <c r="E742" s="7">
        <f t="shared" ca="1" si="58"/>
        <v>0.25758165625162055</v>
      </c>
      <c r="F742" s="7">
        <f t="shared" ca="1" si="59"/>
        <v>1.7177487809137963E-2</v>
      </c>
      <c r="G742" s="7">
        <f t="shared" ca="1" si="55"/>
        <v>203.2633473033795</v>
      </c>
      <c r="H742" s="7">
        <f ca="1">(G742+DCF!$D$40+DCF!$D$41+DCF!$D$42-DCF!$D$43-DCF!$D$44)/DCF!$C$35</f>
        <v>1.7893122660761909</v>
      </c>
    </row>
    <row r="743" spans="3:8" x14ac:dyDescent="0.35">
      <c r="C743" s="8">
        <f t="shared" ca="1" si="56"/>
        <v>0.40072284315777029</v>
      </c>
      <c r="D743" s="7">
        <f t="shared" ca="1" si="57"/>
        <v>8.4138961601746776E-2</v>
      </c>
      <c r="E743" s="7">
        <f t="shared" ca="1" si="58"/>
        <v>0.25122192011347566</v>
      </c>
      <c r="F743" s="7">
        <f t="shared" ca="1" si="59"/>
        <v>1.7088327307813539E-2</v>
      </c>
      <c r="G743" s="7">
        <f t="shared" ca="1" si="55"/>
        <v>254.29289829243714</v>
      </c>
      <c r="H743" s="7">
        <f ca="1">(G743+DCF!$D$40+DCF!$D$41+DCF!$D$42-DCF!$D$43-DCF!$D$44)/DCF!$C$35</f>
        <v>2.0773219228605777</v>
      </c>
    </row>
    <row r="744" spans="3:8" x14ac:dyDescent="0.35">
      <c r="C744" s="8">
        <f t="shared" ca="1" si="56"/>
        <v>0.43729723072337567</v>
      </c>
      <c r="D744" s="7">
        <f t="shared" ca="1" si="57"/>
        <v>8.4940544887952718E-2</v>
      </c>
      <c r="E744" s="7">
        <f t="shared" ca="1" si="58"/>
        <v>0.66071517974642935</v>
      </c>
      <c r="F744" s="7">
        <f t="shared" ca="1" si="59"/>
        <v>2.1762466142666598E-2</v>
      </c>
      <c r="G744" s="7">
        <f t="shared" ca="1" si="55"/>
        <v>264.58189116641137</v>
      </c>
      <c r="H744" s="7">
        <f ca="1">(G744+DCF!$D$40+DCF!$D$41+DCF!$D$42-DCF!$D$43-DCF!$D$44)/DCF!$C$35</f>
        <v>2.1353927710035632</v>
      </c>
    </row>
    <row r="745" spans="3:8" x14ac:dyDescent="0.35">
      <c r="C745" s="8">
        <f t="shared" ca="1" si="56"/>
        <v>4.9554977808450307E-2</v>
      </c>
      <c r="D745" s="7">
        <f t="shared" ca="1" si="57"/>
        <v>7.4897408422756884E-2</v>
      </c>
      <c r="E745" s="7">
        <f t="shared" ca="1" si="58"/>
        <v>1.6239074829937139E-2</v>
      </c>
      <c r="F745" s="7">
        <f t="shared" ca="1" si="59"/>
        <v>1.1802169516440511E-2</v>
      </c>
      <c r="G745" s="7">
        <f t="shared" ca="1" si="55"/>
        <v>278.45241426090462</v>
      </c>
      <c r="H745" s="7">
        <f ca="1">(G745+DCF!$D$40+DCF!$D$41+DCF!$D$42-DCF!$D$43-DCF!$D$44)/DCF!$C$35</f>
        <v>2.2136776964719753</v>
      </c>
    </row>
    <row r="746" spans="3:8" x14ac:dyDescent="0.35">
      <c r="C746" s="8">
        <f t="shared" ca="1" si="56"/>
        <v>0.76999648918482366</v>
      </c>
      <c r="D746" s="7">
        <f t="shared" ca="1" si="57"/>
        <v>9.3978641815696873E-2</v>
      </c>
      <c r="E746" s="7">
        <f t="shared" ca="1" si="58"/>
        <v>0.39049646836357421</v>
      </c>
      <c r="F746" s="7">
        <f t="shared" ca="1" si="59"/>
        <v>1.8837380475724402E-2</v>
      </c>
      <c r="G746" s="7">
        <f t="shared" ca="1" si="55"/>
        <v>223.42658957498796</v>
      </c>
      <c r="H746" s="7">
        <f ca="1">(G746+DCF!$D$40+DCF!$D$41+DCF!$D$42-DCF!$D$43-DCF!$D$44)/DCF!$C$35</f>
        <v>1.9031131593576471</v>
      </c>
    </row>
    <row r="747" spans="3:8" x14ac:dyDescent="0.35">
      <c r="C747" s="8">
        <f t="shared" ca="1" si="56"/>
        <v>5.109248998348459E-2</v>
      </c>
      <c r="D747" s="7">
        <f t="shared" ca="1" si="57"/>
        <v>7.4972802545045056E-2</v>
      </c>
      <c r="E747" s="7">
        <f t="shared" ca="1" si="58"/>
        <v>0.99645290957538679</v>
      </c>
      <c r="F747" s="7">
        <f t="shared" ca="1" si="59"/>
        <v>2.9157730396534076E-2</v>
      </c>
      <c r="G747" s="7">
        <f t="shared" ca="1" si="55"/>
        <v>356.39949500980214</v>
      </c>
      <c r="H747" s="7">
        <f ca="1">(G747+DCF!$D$40+DCF!$D$41+DCF!$D$42-DCF!$D$43-DCF!$D$44)/DCF!$C$35</f>
        <v>2.6536092956868846</v>
      </c>
    </row>
    <row r="748" spans="3:8" x14ac:dyDescent="0.35">
      <c r="C748" s="8">
        <f t="shared" ca="1" si="56"/>
        <v>0.47539589435862828</v>
      </c>
      <c r="D748" s="7">
        <f t="shared" ca="1" si="57"/>
        <v>8.5803756864013564E-2</v>
      </c>
      <c r="E748" s="7">
        <f t="shared" ca="1" si="58"/>
        <v>0.92840190188903216</v>
      </c>
      <c r="F748" s="7">
        <f t="shared" ca="1" si="59"/>
        <v>2.6215872673628227E-2</v>
      </c>
      <c r="G748" s="7">
        <f t="shared" ca="1" si="55"/>
        <v>275.17717551428376</v>
      </c>
      <c r="H748" s="7">
        <f ca="1">(G748+DCF!$D$40+DCF!$D$41+DCF!$D$42-DCF!$D$43-DCF!$D$44)/DCF!$C$35</f>
        <v>2.1951923214487175</v>
      </c>
    </row>
    <row r="749" spans="3:8" x14ac:dyDescent="0.35">
      <c r="C749" s="8">
        <f t="shared" ca="1" si="56"/>
        <v>0.31589260953768894</v>
      </c>
      <c r="D749" s="7">
        <f t="shared" ca="1" si="57"/>
        <v>8.2369150433692084E-2</v>
      </c>
      <c r="E749" s="7">
        <f t="shared" ca="1" si="58"/>
        <v>0.31764314100437241</v>
      </c>
      <c r="F749" s="7">
        <f t="shared" ca="1" si="59"/>
        <v>1.7970484815923966E-2</v>
      </c>
      <c r="G749" s="7">
        <f t="shared" ca="1" si="55"/>
        <v>264.2240334128432</v>
      </c>
      <c r="H749" s="7">
        <f ca="1">(G749+DCF!$D$40+DCF!$D$41+DCF!$D$42-DCF!$D$43-DCF!$D$44)/DCF!$C$35</f>
        <v>2.1333730297598104</v>
      </c>
    </row>
    <row r="750" spans="3:8" x14ac:dyDescent="0.35">
      <c r="C750" s="8">
        <f t="shared" ca="1" si="56"/>
        <v>0.73938476800631392</v>
      </c>
      <c r="D750" s="7">
        <f t="shared" ca="1" si="57"/>
        <v>9.294577474920207E-2</v>
      </c>
      <c r="E750" s="7">
        <f t="shared" ca="1" si="58"/>
        <v>0.27763003314075907</v>
      </c>
      <c r="F750" s="7">
        <f t="shared" ca="1" si="59"/>
        <v>1.7451577459045287E-2</v>
      </c>
      <c r="G750" s="7">
        <f t="shared" ca="1" si="55"/>
        <v>223.80888411726292</v>
      </c>
      <c r="H750" s="7">
        <f ca="1">(G750+DCF!$D$40+DCF!$D$41+DCF!$D$42-DCF!$D$43-DCF!$D$44)/DCF!$C$35</f>
        <v>1.9052708212962122</v>
      </c>
    </row>
    <row r="751" spans="3:8" x14ac:dyDescent="0.35">
      <c r="C751" s="8">
        <f t="shared" ca="1" si="56"/>
        <v>0.50873139171472126</v>
      </c>
      <c r="D751" s="7">
        <f t="shared" ca="1" si="57"/>
        <v>8.6585137906740287E-2</v>
      </c>
      <c r="E751" s="7">
        <f t="shared" ca="1" si="58"/>
        <v>0.39229687303446281</v>
      </c>
      <c r="F751" s="7">
        <f t="shared" ca="1" si="59"/>
        <v>1.8857729653070959E-2</v>
      </c>
      <c r="G751" s="7">
        <f t="shared" ca="1" si="55"/>
        <v>249.41912037249372</v>
      </c>
      <c r="H751" s="7">
        <f ca="1">(G751+DCF!$D$40+DCF!$D$41+DCF!$D$42-DCF!$D$43-DCF!$D$44)/DCF!$C$35</f>
        <v>2.0498144281097961</v>
      </c>
    </row>
    <row r="752" spans="3:8" x14ac:dyDescent="0.35">
      <c r="C752" s="8">
        <f t="shared" ca="1" si="56"/>
        <v>0.58992381649489967</v>
      </c>
      <c r="D752" s="7">
        <f t="shared" ca="1" si="57"/>
        <v>8.8607360593145779E-2</v>
      </c>
      <c r="E752" s="7">
        <f t="shared" ca="1" si="58"/>
        <v>0.86833448499656507</v>
      </c>
      <c r="F752" s="7">
        <f t="shared" ca="1" si="59"/>
        <v>2.486842100317193E-2</v>
      </c>
      <c r="G752" s="7">
        <f t="shared" ca="1" si="55"/>
        <v>258.13803686993833</v>
      </c>
      <c r="H752" s="7">
        <f ca="1">(G752+DCF!$D$40+DCF!$D$41+DCF!$D$42-DCF!$D$43-DCF!$D$44)/DCF!$C$35</f>
        <v>2.0990237999206363</v>
      </c>
    </row>
    <row r="753" spans="3:8" x14ac:dyDescent="0.35">
      <c r="C753" s="8">
        <f t="shared" ca="1" si="56"/>
        <v>0.87846132749326444</v>
      </c>
      <c r="D753" s="7">
        <f t="shared" ca="1" si="57"/>
        <v>9.8353663300525918E-2</v>
      </c>
      <c r="E753" s="7">
        <f t="shared" ca="1" si="58"/>
        <v>0.38991827476304808</v>
      </c>
      <c r="F753" s="7">
        <f t="shared" ca="1" si="59"/>
        <v>1.883083546175613E-2</v>
      </c>
      <c r="G753" s="7">
        <f t="shared" ca="1" si="55"/>
        <v>210.35464587777273</v>
      </c>
      <c r="H753" s="7">
        <f ca="1">(G753+DCF!$D$40+DCF!$D$41+DCF!$D$42-DCF!$D$43-DCF!$D$44)/DCF!$C$35</f>
        <v>1.8293353983393876</v>
      </c>
    </row>
    <row r="754" spans="3:8" x14ac:dyDescent="0.35">
      <c r="C754" s="8">
        <f t="shared" ca="1" si="56"/>
        <v>0.54005186420128781</v>
      </c>
      <c r="D754" s="7">
        <f t="shared" ca="1" si="57"/>
        <v>8.7343828223829106E-2</v>
      </c>
      <c r="E754" s="7">
        <f t="shared" ca="1" si="58"/>
        <v>0.67496287401484723</v>
      </c>
      <c r="F754" s="7">
        <f t="shared" ca="1" si="59"/>
        <v>2.1937281773680137E-2</v>
      </c>
      <c r="G754" s="7">
        <f t="shared" ca="1" si="55"/>
        <v>254.87719530864985</v>
      </c>
      <c r="H754" s="7">
        <f ca="1">(G754+DCF!$D$40+DCF!$D$41+DCF!$D$42-DCF!$D$43-DCF!$D$44)/DCF!$C$35</f>
        <v>2.0806196822928649</v>
      </c>
    </row>
    <row r="755" spans="3:8" x14ac:dyDescent="0.35">
      <c r="C755" s="8">
        <f t="shared" ca="1" si="56"/>
        <v>0.2078289258096393</v>
      </c>
      <c r="D755" s="7">
        <f t="shared" ca="1" si="57"/>
        <v>8.0029416737371392E-2</v>
      </c>
      <c r="E755" s="7">
        <f t="shared" ca="1" si="58"/>
        <v>0.68013719114778215</v>
      </c>
      <c r="F755" s="7">
        <f t="shared" ca="1" si="59"/>
        <v>2.2001715073189529E-2</v>
      </c>
      <c r="G755" s="7">
        <f t="shared" ca="1" si="55"/>
        <v>288.95990707842088</v>
      </c>
      <c r="H755" s="7">
        <f ca="1">(G755+DCF!$D$40+DCF!$D$41+DCF!$D$42-DCF!$D$43-DCF!$D$44)/DCF!$C$35</f>
        <v>2.2729817534621337</v>
      </c>
    </row>
    <row r="756" spans="3:8" x14ac:dyDescent="0.35">
      <c r="C756" s="8">
        <f t="shared" ca="1" si="56"/>
        <v>0.82273059652055769</v>
      </c>
      <c r="D756" s="7">
        <f t="shared" ca="1" si="57"/>
        <v>9.5934700348621879E-2</v>
      </c>
      <c r="E756" s="7">
        <f t="shared" ca="1" si="58"/>
        <v>0.31090351667710536</v>
      </c>
      <c r="F756" s="7">
        <f t="shared" ca="1" si="59"/>
        <v>1.7885474198513433E-2</v>
      </c>
      <c r="G756" s="7">
        <f t="shared" ca="1" si="55"/>
        <v>215.56315756278201</v>
      </c>
      <c r="H756" s="7">
        <f ca="1">(G756+DCF!$D$40+DCF!$D$41+DCF!$D$42-DCF!$D$43-DCF!$D$44)/DCF!$C$35</f>
        <v>1.8587321230544191</v>
      </c>
    </row>
    <row r="757" spans="3:8" x14ac:dyDescent="0.35">
      <c r="C757" s="8">
        <f t="shared" ca="1" si="56"/>
        <v>0.59718400797323046</v>
      </c>
      <c r="D757" s="7">
        <f t="shared" ca="1" si="57"/>
        <v>8.8797579215998124E-2</v>
      </c>
      <c r="E757" s="7">
        <f t="shared" ca="1" si="58"/>
        <v>0.68052614707065573</v>
      </c>
      <c r="F757" s="7">
        <f t="shared" ca="1" si="59"/>
        <v>2.2006579544033178E-2</v>
      </c>
      <c r="G757" s="7">
        <f t="shared" ca="1" si="55"/>
        <v>249.22597881341875</v>
      </c>
      <c r="H757" s="7">
        <f ca="1">(G757+DCF!$D$40+DCF!$D$41+DCF!$D$42-DCF!$D$43-DCF!$D$44)/DCF!$C$35</f>
        <v>2.048724341423517</v>
      </c>
    </row>
    <row r="758" spans="3:8" x14ac:dyDescent="0.35">
      <c r="C758" s="8">
        <f t="shared" ca="1" si="56"/>
        <v>3.7977243362456115E-2</v>
      </c>
      <c r="D758" s="7">
        <f t="shared" ca="1" si="57"/>
        <v>7.4287305189443459E-2</v>
      </c>
      <c r="E758" s="7">
        <f t="shared" ca="1" si="58"/>
        <v>0.30636681018756273</v>
      </c>
      <c r="F758" s="7">
        <f t="shared" ca="1" si="59"/>
        <v>1.7827730324782055E-2</v>
      </c>
      <c r="G758" s="7">
        <f t="shared" ca="1" si="55"/>
        <v>303.72217985795004</v>
      </c>
      <c r="H758" s="7">
        <f ca="1">(G758+DCF!$D$40+DCF!$D$41+DCF!$D$42-DCF!$D$43-DCF!$D$44)/DCF!$C$35</f>
        <v>2.356299694423468</v>
      </c>
    </row>
    <row r="759" spans="3:8" x14ac:dyDescent="0.35">
      <c r="C759" s="8">
        <f t="shared" ca="1" si="56"/>
        <v>0.24586408044219155</v>
      </c>
      <c r="D759" s="7">
        <f t="shared" ca="1" si="57"/>
        <v>8.0908630295963874E-2</v>
      </c>
      <c r="E759" s="7">
        <f t="shared" ca="1" si="58"/>
        <v>0.80485336819433784</v>
      </c>
      <c r="F759" s="7">
        <f t="shared" ca="1" si="59"/>
        <v>2.3752654454799828E-2</v>
      </c>
      <c r="G759" s="7">
        <f t="shared" ca="1" si="55"/>
        <v>291.00712424750577</v>
      </c>
      <c r="H759" s="7">
        <f ca="1">(G759+DCF!$D$40+DCF!$D$41+DCF!$D$42-DCF!$D$43-DCF!$D$44)/DCF!$C$35</f>
        <v>2.2845362018710111</v>
      </c>
    </row>
    <row r="760" spans="3:8" x14ac:dyDescent="0.35">
      <c r="C760" s="8">
        <f t="shared" ca="1" si="56"/>
        <v>6.3995332938782234E-2</v>
      </c>
      <c r="D760" s="7">
        <f t="shared" ca="1" si="57"/>
        <v>7.5565405748224526E-2</v>
      </c>
      <c r="E760" s="7">
        <f t="shared" ca="1" si="58"/>
        <v>0.19737936504118236</v>
      </c>
      <c r="F760" s="7">
        <f t="shared" ca="1" si="59"/>
        <v>1.6282982811391136E-2</v>
      </c>
      <c r="G760" s="7">
        <f t="shared" ca="1" si="55"/>
        <v>290.78596163928938</v>
      </c>
      <c r="H760" s="7">
        <f ca="1">(G760+DCF!$D$40+DCF!$D$41+DCF!$D$42-DCF!$D$43-DCF!$D$44)/DCF!$C$35</f>
        <v>2.2832879650033262</v>
      </c>
    </row>
    <row r="761" spans="3:8" x14ac:dyDescent="0.35">
      <c r="C761" s="8">
        <f t="shared" ca="1" si="56"/>
        <v>0.640064104199212</v>
      </c>
      <c r="D761" s="7">
        <f t="shared" ca="1" si="57"/>
        <v>8.9957832958642445E-2</v>
      </c>
      <c r="E761" s="7">
        <f t="shared" ca="1" si="58"/>
        <v>0.29956610764199942</v>
      </c>
      <c r="F761" s="7">
        <f t="shared" ca="1" si="59"/>
        <v>1.7740363139310704E-2</v>
      </c>
      <c r="G761" s="7">
        <f t="shared" ca="1" si="55"/>
        <v>234.29203785242848</v>
      </c>
      <c r="H761" s="7">
        <f ca="1">(G761+DCF!$D$40+DCF!$D$41+DCF!$D$42-DCF!$D$43-DCF!$D$44)/DCF!$C$35</f>
        <v>1.9644375090440709</v>
      </c>
    </row>
    <row r="762" spans="3:8" x14ac:dyDescent="0.35">
      <c r="C762" s="8">
        <f t="shared" ca="1" si="56"/>
        <v>0.35828764492354903</v>
      </c>
      <c r="D762" s="7">
        <f t="shared" ca="1" si="57"/>
        <v>8.3239002480002378E-2</v>
      </c>
      <c r="E762" s="7">
        <f t="shared" ca="1" si="58"/>
        <v>0.6733203395493883</v>
      </c>
      <c r="F762" s="7">
        <f t="shared" ca="1" si="59"/>
        <v>2.1916935476558267E-2</v>
      </c>
      <c r="G762" s="7">
        <f t="shared" ca="1" si="55"/>
        <v>272.80079827713092</v>
      </c>
      <c r="H762" s="7">
        <f ca="1">(G762+DCF!$D$40+DCF!$D$41+DCF!$D$42-DCF!$D$43-DCF!$D$44)/DCF!$C$35</f>
        <v>2.1817801008981315</v>
      </c>
    </row>
    <row r="763" spans="3:8" x14ac:dyDescent="0.35">
      <c r="C763" s="8">
        <f t="shared" ca="1" si="56"/>
        <v>0.96195579387267161</v>
      </c>
      <c r="D763" s="7">
        <f t="shared" ca="1" si="57"/>
        <v>0.10348407074638633</v>
      </c>
      <c r="E763" s="7">
        <f t="shared" ca="1" si="58"/>
        <v>0.11529811158786907</v>
      </c>
      <c r="F763" s="7">
        <f t="shared" ca="1" si="59"/>
        <v>1.4802043556401152E-2</v>
      </c>
      <c r="G763" s="7">
        <f t="shared" ca="1" si="55"/>
        <v>190.78715892271322</v>
      </c>
      <c r="H763" s="7">
        <f ca="1">(G763+DCF!$D$40+DCF!$D$41+DCF!$D$42-DCF!$D$43-DCF!$D$44)/DCF!$C$35</f>
        <v>1.7188969348838086</v>
      </c>
    </row>
    <row r="764" spans="3:8" x14ac:dyDescent="0.35">
      <c r="C764" s="8">
        <f t="shared" ca="1" si="56"/>
        <v>0.35110169639047317</v>
      </c>
      <c r="D764" s="7">
        <f t="shared" ca="1" si="57"/>
        <v>8.3089583674193529E-2</v>
      </c>
      <c r="E764" s="7">
        <f t="shared" ca="1" si="58"/>
        <v>0.42486017505592655</v>
      </c>
      <c r="F764" s="7">
        <f t="shared" ca="1" si="59"/>
        <v>1.9218027718074258E-2</v>
      </c>
      <c r="G764" s="7">
        <f t="shared" ca="1" si="55"/>
        <v>264.87996879987389</v>
      </c>
      <c r="H764" s="7">
        <f ca="1">(G764+DCF!$D$40+DCF!$D$41+DCF!$D$42-DCF!$D$43-DCF!$D$44)/DCF!$C$35</f>
        <v>2.1370751145720392</v>
      </c>
    </row>
    <row r="765" spans="3:8" x14ac:dyDescent="0.35">
      <c r="C765" s="8">
        <f t="shared" ca="1" si="56"/>
        <v>0.56415735110281551</v>
      </c>
      <c r="D765" s="7">
        <f t="shared" ca="1" si="57"/>
        <v>8.7945513015051616E-2</v>
      </c>
      <c r="E765" s="7">
        <f t="shared" ca="1" si="58"/>
        <v>0.47544305145460042</v>
      </c>
      <c r="F765" s="7">
        <f t="shared" ca="1" si="59"/>
        <v>1.9751338897347384E-2</v>
      </c>
      <c r="G765" s="7">
        <f t="shared" ca="1" si="55"/>
        <v>246.52881475749774</v>
      </c>
      <c r="H765" s="7">
        <f ca="1">(G765+DCF!$D$40+DCF!$D$41+DCF!$D$42-DCF!$D$43-DCF!$D$44)/DCF!$C$35</f>
        <v>2.0335016071650172</v>
      </c>
    </row>
    <row r="766" spans="3:8" x14ac:dyDescent="0.35">
      <c r="C766" s="8">
        <f t="shared" ca="1" si="56"/>
        <v>0.88519833654736257</v>
      </c>
      <c r="D766" s="7">
        <f t="shared" ca="1" si="57"/>
        <v>9.8681048793587661E-2</v>
      </c>
      <c r="E766" s="7">
        <f t="shared" ca="1" si="58"/>
        <v>0.93684524665306457</v>
      </c>
      <c r="F766" s="7">
        <f t="shared" ca="1" si="59"/>
        <v>2.6445995122486875E-2</v>
      </c>
      <c r="G766" s="7">
        <f t="shared" ca="1" si="55"/>
        <v>224.55907493736242</v>
      </c>
      <c r="H766" s="7">
        <f ca="1">(G766+DCF!$D$40+DCF!$D$41+DCF!$D$42-DCF!$D$43-DCF!$D$44)/DCF!$C$35</f>
        <v>1.9095048816873372</v>
      </c>
    </row>
    <row r="767" spans="3:8" x14ac:dyDescent="0.35">
      <c r="C767" s="8">
        <f t="shared" ca="1" si="56"/>
        <v>0.51445193233611275</v>
      </c>
      <c r="D767" s="7">
        <f t="shared" ca="1" si="57"/>
        <v>8.6721863401189134E-2</v>
      </c>
      <c r="E767" s="7">
        <f t="shared" ca="1" si="58"/>
        <v>0.48147041109734223</v>
      </c>
      <c r="F767" s="7">
        <f t="shared" ca="1" si="59"/>
        <v>1.9812954815929221E-2</v>
      </c>
      <c r="G767" s="7">
        <f t="shared" ca="1" si="55"/>
        <v>251.46088260080467</v>
      </c>
      <c r="H767" s="7">
        <f ca="1">(G767+DCF!$D$40+DCF!$D$41+DCF!$D$42-DCF!$D$43-DCF!$D$44)/DCF!$C$35</f>
        <v>2.0613380889536326</v>
      </c>
    </row>
    <row r="768" spans="3:8" x14ac:dyDescent="0.35">
      <c r="C768" s="8">
        <f t="shared" ca="1" si="56"/>
        <v>0.31251995700310953</v>
      </c>
      <c r="D768" s="7">
        <f t="shared" ca="1" si="57"/>
        <v>8.2301124066407869E-2</v>
      </c>
      <c r="E768" s="7">
        <f t="shared" ca="1" si="58"/>
        <v>0.59990339798206538</v>
      </c>
      <c r="F768" s="7">
        <f t="shared" ca="1" si="59"/>
        <v>2.1054648111807621E-2</v>
      </c>
      <c r="G768" s="7">
        <f t="shared" ca="1" si="55"/>
        <v>274.33164522822943</v>
      </c>
      <c r="H768" s="7">
        <f ca="1">(G768+DCF!$D$40+DCF!$D$41+DCF!$D$42-DCF!$D$43-DCF!$D$44)/DCF!$C$35</f>
        <v>2.1904201672210712</v>
      </c>
    </row>
    <row r="769" spans="3:8" x14ac:dyDescent="0.35">
      <c r="C769" s="8">
        <f t="shared" ca="1" si="56"/>
        <v>0.9180245817255045</v>
      </c>
      <c r="D769" s="7">
        <f t="shared" ca="1" si="57"/>
        <v>0.10043524350574794</v>
      </c>
      <c r="E769" s="7">
        <f t="shared" ca="1" si="58"/>
        <v>0.90435214300173772</v>
      </c>
      <c r="F769" s="7">
        <f t="shared" ca="1" si="59"/>
        <v>2.5626263451046412E-2</v>
      </c>
      <c r="G769" s="7">
        <f t="shared" ca="1" si="55"/>
        <v>217.26709646628677</v>
      </c>
      <c r="H769" s="7">
        <f ca="1">(G769+DCF!$D$40+DCF!$D$41+DCF!$D$42-DCF!$D$43-DCF!$D$44)/DCF!$C$35</f>
        <v>1.8683491165271857</v>
      </c>
    </row>
    <row r="770" spans="3:8" x14ac:dyDescent="0.35">
      <c r="C770" s="8">
        <f t="shared" ca="1" si="56"/>
        <v>0.39720536075345514</v>
      </c>
      <c r="D770" s="7">
        <f t="shared" ca="1" si="57"/>
        <v>8.406317642040291E-2</v>
      </c>
      <c r="E770" s="7">
        <f t="shared" ca="1" si="58"/>
        <v>0.90800881143066059</v>
      </c>
      <c r="F770" s="7">
        <f t="shared" ca="1" si="59"/>
        <v>2.5710683304549793E-2</v>
      </c>
      <c r="G770" s="7">
        <f t="shared" ca="1" si="55"/>
        <v>281.98532195114728</v>
      </c>
      <c r="H770" s="7">
        <f ca="1">(G770+DCF!$D$40+DCF!$D$41+DCF!$D$42-DCF!$D$43-DCF!$D$44)/DCF!$C$35</f>
        <v>2.233617349312266</v>
      </c>
    </row>
    <row r="771" spans="3:8" x14ac:dyDescent="0.35">
      <c r="C771" s="8">
        <f t="shared" ca="1" si="56"/>
        <v>0.90678805445846333</v>
      </c>
      <c r="D771" s="7">
        <f t="shared" ca="1" si="57"/>
        <v>9.9800758301503256E-2</v>
      </c>
      <c r="E771" s="7">
        <f t="shared" ca="1" si="58"/>
        <v>0.71527775348864786</v>
      </c>
      <c r="F771" s="7">
        <f t="shared" ca="1" si="59"/>
        <v>2.2453845396344544E-2</v>
      </c>
      <c r="G771" s="7">
        <f t="shared" ca="1" si="55"/>
        <v>212.93506266807177</v>
      </c>
      <c r="H771" s="7">
        <f ca="1">(G771+DCF!$D$40+DCF!$D$41+DCF!$D$42-DCF!$D$43-DCF!$D$44)/DCF!$C$35</f>
        <v>1.8438992136136794</v>
      </c>
    </row>
    <row r="772" spans="3:8" x14ac:dyDescent="0.35">
      <c r="C772" s="8">
        <f t="shared" ca="1" si="56"/>
        <v>0.58525557717787136</v>
      </c>
      <c r="D772" s="7">
        <f t="shared" ca="1" si="57"/>
        <v>8.8485940042160913E-2</v>
      </c>
      <c r="E772" s="7">
        <f t="shared" ca="1" si="58"/>
        <v>0.76296680949591755</v>
      </c>
      <c r="F772" s="7">
        <f t="shared" ca="1" si="59"/>
        <v>2.3114752139478455E-2</v>
      </c>
      <c r="G772" s="7">
        <f t="shared" ca="1" si="55"/>
        <v>253.547183080937</v>
      </c>
      <c r="H772" s="7">
        <f ca="1">(G772+DCF!$D$40+DCF!$D$41+DCF!$D$42-DCF!$D$43-DCF!$D$44)/DCF!$C$35</f>
        <v>2.073113122705367</v>
      </c>
    </row>
    <row r="773" spans="3:8" x14ac:dyDescent="0.35">
      <c r="C773" s="8">
        <f t="shared" ca="1" si="56"/>
        <v>0.99891755754028333</v>
      </c>
      <c r="D773" s="7">
        <f t="shared" ca="1" si="57"/>
        <v>0.10890090683513917</v>
      </c>
      <c r="E773" s="7">
        <f t="shared" ca="1" si="58"/>
        <v>0.7048399383413968</v>
      </c>
      <c r="F773" s="7">
        <f t="shared" ca="1" si="59"/>
        <v>2.2316770709413871E-2</v>
      </c>
      <c r="G773" s="7">
        <f t="shared" ca="1" si="55"/>
        <v>188.97709006508671</v>
      </c>
      <c r="H773" s="7">
        <f ca="1">(G773+DCF!$D$40+DCF!$D$41+DCF!$D$42-DCF!$D$43-DCF!$D$44)/DCF!$C$35</f>
        <v>1.7086809462980399</v>
      </c>
    </row>
    <row r="774" spans="3:8" x14ac:dyDescent="0.35">
      <c r="C774" s="8">
        <f t="shared" ca="1" si="56"/>
        <v>0.53927386704906466</v>
      </c>
      <c r="D774" s="7">
        <f t="shared" ca="1" si="57"/>
        <v>8.7324674988586301E-2</v>
      </c>
      <c r="E774" s="7">
        <f t="shared" ca="1" si="58"/>
        <v>0.35838512240037212</v>
      </c>
      <c r="F774" s="7">
        <f t="shared" ca="1" si="59"/>
        <v>1.8466228468454797E-2</v>
      </c>
      <c r="G774" s="7">
        <f t="shared" ca="1" si="55"/>
        <v>245.55683264989898</v>
      </c>
      <c r="H774" s="7">
        <f ca="1">(G774+DCF!$D$40+DCF!$D$41+DCF!$D$42-DCF!$D$43-DCF!$D$44)/DCF!$C$35</f>
        <v>2.028015761654244</v>
      </c>
    </row>
    <row r="775" spans="3:8" x14ac:dyDescent="0.35">
      <c r="C775" s="8">
        <f t="shared" ca="1" si="56"/>
        <v>0.92114785319102033</v>
      </c>
      <c r="D775" s="7">
        <f t="shared" ca="1" si="57"/>
        <v>0.10061922200247649</v>
      </c>
      <c r="E775" s="7">
        <f t="shared" ca="1" si="58"/>
        <v>0.14616496358673536</v>
      </c>
      <c r="F775" s="7">
        <f t="shared" ca="1" si="59"/>
        <v>1.5406754360736862E-2</v>
      </c>
      <c r="G775" s="7">
        <f t="shared" ca="1" si="55"/>
        <v>198.57754894452398</v>
      </c>
      <c r="H775" s="7">
        <f ca="1">(G775+DCF!$D$40+DCF!$D$41+DCF!$D$42-DCF!$D$43-DCF!$D$44)/DCF!$C$35</f>
        <v>1.762865723809256</v>
      </c>
    </row>
    <row r="776" spans="3:8" x14ac:dyDescent="0.35">
      <c r="C776" s="8">
        <f t="shared" ca="1" si="56"/>
        <v>0.79549752459540335</v>
      </c>
      <c r="D776" s="7">
        <f t="shared" ca="1" si="57"/>
        <v>9.4892890330988869E-2</v>
      </c>
      <c r="E776" s="7">
        <f t="shared" ca="1" si="58"/>
        <v>0.61769271266263892</v>
      </c>
      <c r="F776" s="7">
        <f t="shared" ca="1" si="59"/>
        <v>2.1255775765256689E-2</v>
      </c>
      <c r="G776" s="7">
        <f t="shared" ca="1" si="55"/>
        <v>225.62225132576509</v>
      </c>
      <c r="H776" s="7">
        <f ca="1">(G776+DCF!$D$40+DCF!$D$41+DCF!$D$42-DCF!$D$43-DCF!$D$44)/DCF!$C$35</f>
        <v>1.9155054257013493</v>
      </c>
    </row>
    <row r="777" spans="3:8" x14ac:dyDescent="0.35">
      <c r="C777" s="8">
        <f t="shared" ca="1" si="56"/>
        <v>0.3172776029950003</v>
      </c>
      <c r="D777" s="7">
        <f t="shared" ca="1" si="57"/>
        <v>8.23971342962804E-2</v>
      </c>
      <c r="E777" s="7">
        <f t="shared" ca="1" si="58"/>
        <v>0.55500634364168133</v>
      </c>
      <c r="F777" s="7">
        <f t="shared" ca="1" si="59"/>
        <v>2.0566086110650375E-2</v>
      </c>
      <c r="G777" s="7">
        <f t="shared" ca="1" si="55"/>
        <v>272.266271348918</v>
      </c>
      <c r="H777" s="7">
        <f ca="1">(G777+DCF!$D$40+DCF!$D$41+DCF!$D$42-DCF!$D$43-DCF!$D$44)/DCF!$C$35</f>
        <v>2.1787632427413817</v>
      </c>
    </row>
    <row r="778" spans="3:8" x14ac:dyDescent="0.35">
      <c r="C778" s="8">
        <f t="shared" ca="1" si="56"/>
        <v>0.91301325722652282</v>
      </c>
      <c r="D778" s="7">
        <f t="shared" ca="1" si="57"/>
        <v>0.10014722349105591</v>
      </c>
      <c r="E778" s="7">
        <f t="shared" ca="1" si="58"/>
        <v>0.79807635184833026</v>
      </c>
      <c r="F778" s="7">
        <f t="shared" ca="1" si="59"/>
        <v>2.3645101918178865E-2</v>
      </c>
      <c r="G778" s="7">
        <f t="shared" ca="1" si="55"/>
        <v>214.2052297057179</v>
      </c>
      <c r="H778" s="7">
        <f ca="1">(G778+DCF!$D$40+DCF!$D$41+DCF!$D$42-DCF!$D$43-DCF!$D$44)/DCF!$C$35</f>
        <v>1.8510680082724793</v>
      </c>
    </row>
    <row r="779" spans="3:8" x14ac:dyDescent="0.35">
      <c r="C779" s="8">
        <f t="shared" ca="1" si="56"/>
        <v>0.71538993285257324</v>
      </c>
      <c r="D779" s="7">
        <f t="shared" ca="1" si="57"/>
        <v>9.2177967710260197E-2</v>
      </c>
      <c r="E779" s="7">
        <f t="shared" ca="1" si="58"/>
        <v>0.22555397420499934</v>
      </c>
      <c r="F779" s="7">
        <f t="shared" ca="1" si="59"/>
        <v>1.6716457015495585E-2</v>
      </c>
      <c r="G779" s="7">
        <f t="shared" ca="1" si="55"/>
        <v>224.70934574314896</v>
      </c>
      <c r="H779" s="7">
        <f ca="1">(G779+DCF!$D$40+DCF!$D$41+DCF!$D$42-DCF!$D$43-DCF!$D$44)/DCF!$C$35</f>
        <v>1.9103530067905461</v>
      </c>
    </row>
    <row r="780" spans="3:8" x14ac:dyDescent="0.35">
      <c r="C780" s="8">
        <f t="shared" ca="1" si="56"/>
        <v>0.41706253617973077</v>
      </c>
      <c r="D780" s="7">
        <f t="shared" ca="1" si="57"/>
        <v>8.449395738999442E-2</v>
      </c>
      <c r="E780" s="7">
        <f t="shared" ca="1" si="58"/>
        <v>4.4163320087507785E-2</v>
      </c>
      <c r="F780" s="7">
        <f t="shared" ca="1" si="59"/>
        <v>1.2971979814450555E-2</v>
      </c>
      <c r="G780" s="7">
        <f t="shared" ca="1" si="55"/>
        <v>242.30070896075324</v>
      </c>
      <c r="H780" s="7">
        <f ca="1">(G780+DCF!$D$40+DCF!$D$41+DCF!$D$42-DCF!$D$43-DCF!$D$44)/DCF!$C$35</f>
        <v>2.0096382715924666</v>
      </c>
    </row>
    <row r="781" spans="3:8" x14ac:dyDescent="0.35">
      <c r="C781" s="8">
        <f t="shared" ca="1" si="56"/>
        <v>0.8382186238389826</v>
      </c>
      <c r="D781" s="7">
        <f t="shared" ca="1" si="57"/>
        <v>9.6563184313398678E-2</v>
      </c>
      <c r="E781" s="7">
        <f t="shared" ca="1" si="58"/>
        <v>0.75809848235193611</v>
      </c>
      <c r="F781" s="7">
        <f t="shared" ca="1" si="59"/>
        <v>2.3044404875956853E-2</v>
      </c>
      <c r="G781" s="7">
        <f t="shared" ca="1" si="55"/>
        <v>224.0638513791535</v>
      </c>
      <c r="H781" s="7">
        <f ca="1">(G781+DCF!$D$40+DCF!$D$41+DCF!$D$42-DCF!$D$43-DCF!$D$44)/DCF!$C$35</f>
        <v>1.9067098508813269</v>
      </c>
    </row>
    <row r="782" spans="3:8" x14ac:dyDescent="0.35">
      <c r="C782" s="8">
        <f t="shared" ca="1" si="56"/>
        <v>0.75947737235362989</v>
      </c>
      <c r="D782" s="7">
        <f t="shared" ca="1" si="57"/>
        <v>9.3616372426921168E-2</v>
      </c>
      <c r="E782" s="7">
        <f t="shared" ca="1" si="58"/>
        <v>0.42015898250805339</v>
      </c>
      <c r="F782" s="7">
        <f t="shared" ca="1" si="59"/>
        <v>1.9166885867163978E-2</v>
      </c>
      <c r="G782" s="7">
        <f t="shared" ca="1" si="55"/>
        <v>225.27416200468761</v>
      </c>
      <c r="H782" s="7">
        <f ca="1">(G782+DCF!$D$40+DCF!$D$41+DCF!$D$42-DCF!$D$43-DCF!$D$44)/DCF!$C$35</f>
        <v>1.9135408172744528</v>
      </c>
    </row>
    <row r="783" spans="3:8" x14ac:dyDescent="0.35">
      <c r="C783" s="8">
        <f t="shared" ca="1" si="56"/>
        <v>0.77990847298118482</v>
      </c>
      <c r="D783" s="7">
        <f t="shared" ca="1" si="57"/>
        <v>9.4327663092155095E-2</v>
      </c>
      <c r="E783" s="7">
        <f t="shared" ca="1" si="58"/>
        <v>0.67811973962708005</v>
      </c>
      <c r="F783" s="7">
        <f t="shared" ca="1" si="59"/>
        <v>2.1976531169463923E-2</v>
      </c>
      <c r="G783" s="7">
        <f t="shared" ca="1" si="55"/>
        <v>229.07115262295235</v>
      </c>
      <c r="H783" s="7">
        <f ca="1">(G783+DCF!$D$40+DCF!$D$41+DCF!$D$42-DCF!$D$43-DCF!$D$44)/DCF!$C$35</f>
        <v>1.9349709483178257</v>
      </c>
    </row>
    <row r="784" spans="3:8" x14ac:dyDescent="0.35">
      <c r="C784" s="8">
        <f t="shared" ca="1" si="56"/>
        <v>0.51698339734178655</v>
      </c>
      <c r="D784" s="7">
        <f t="shared" ca="1" si="57"/>
        <v>8.6782624425517735E-2</v>
      </c>
      <c r="E784" s="7">
        <f t="shared" ca="1" si="58"/>
        <v>0.98819647110546682</v>
      </c>
      <c r="F784" s="7">
        <f t="shared" ca="1" si="59"/>
        <v>2.8463541156129903E-2</v>
      </c>
      <c r="G784" s="7">
        <f t="shared" ref="G784:G847" ca="1" si="60">$C$11/(1+D784)^1
 +$D$11/(1+D784)^2
 +$E$11/(1+D784)^3
 +$F$11/(1+D784)^4
 +$G$11/(1+D784)^5
 +$H$11/(1+D784)^6
 +$I$11/(1+D784)^7
 + ( $I$11*(1+F784)/(D784-F784) )/(1+D784)^7</f>
        <v>278.30486110275422</v>
      </c>
      <c r="H784" s="7">
        <f ca="1">(G784+DCF!$D$40+DCF!$D$41+DCF!$D$42-DCF!$D$43-DCF!$D$44)/DCF!$C$35</f>
        <v>2.2128449097118987</v>
      </c>
    </row>
    <row r="785" spans="3:8" x14ac:dyDescent="0.35">
      <c r="C785" s="8">
        <f t="shared" ref="C785:C848" ca="1" si="61">RAND()</f>
        <v>0.47856247862450185</v>
      </c>
      <c r="D785" s="7">
        <f t="shared" ref="D785:D848" ca="1" si="62">IF(C785&lt;($C$6-0.07)/(0.11-0.07),0.07+SQRT(C785*(0.11-0.07)*($C$6-0.07)),0.11-SQRT((1-C785)*(0.11-0.07)*(0.11-$C$6)))</f>
        <v>8.5876893362274914E-2</v>
      </c>
      <c r="E785" s="7">
        <f t="shared" ref="E785:E848" ca="1" si="63">RAND()</f>
        <v>0.67898476727298995</v>
      </c>
      <c r="F785" s="7">
        <f t="shared" ref="F785:F848" ca="1" si="64">MIN(
 IF(E785&lt;(0.02-0.01)/(0.03-0.01),
   0.01+SQRT(E785*(0.03-0.01)*(0.02-0.01)),
   0.03-SQRT((1-E785)*(0.03-0.01)*(0.03-0.02))
 ),
 D785-0.005
)</f>
        <v>2.1987319640382377E-2</v>
      </c>
      <c r="G785" s="7">
        <f t="shared" ca="1" si="60"/>
        <v>261.19038697150665</v>
      </c>
      <c r="H785" s="7">
        <f ca="1">(G785+DCF!$D$40+DCF!$D$41+DCF!$D$42-DCF!$D$43-DCF!$D$44)/DCF!$C$35</f>
        <v>2.1162511963624939</v>
      </c>
    </row>
    <row r="786" spans="3:8" x14ac:dyDescent="0.35">
      <c r="C786" s="8">
        <f t="shared" ca="1" si="61"/>
        <v>0.49684994681386352</v>
      </c>
      <c r="D786" s="7">
        <f t="shared" ca="1" si="62"/>
        <v>8.6303682578178359E-2</v>
      </c>
      <c r="E786" s="7">
        <f t="shared" ca="1" si="63"/>
        <v>0.13149406386606666</v>
      </c>
      <c r="F786" s="7">
        <f t="shared" ca="1" si="64"/>
        <v>1.5128236809393004E-2</v>
      </c>
      <c r="G786" s="7">
        <f t="shared" ca="1" si="60"/>
        <v>240.99482440754906</v>
      </c>
      <c r="H786" s="7">
        <f ca="1">(G786+DCF!$D$40+DCF!$D$41+DCF!$D$42-DCF!$D$43-DCF!$D$44)/DCF!$C$35</f>
        <v>2.0022678880660858</v>
      </c>
    </row>
    <row r="787" spans="3:8" x14ac:dyDescent="0.35">
      <c r="C787" s="8">
        <f t="shared" ca="1" si="61"/>
        <v>0.97504575968992868</v>
      </c>
      <c r="D787" s="7">
        <f t="shared" ca="1" si="62"/>
        <v>0.10472279125047725</v>
      </c>
      <c r="E787" s="7">
        <f t="shared" ca="1" si="63"/>
        <v>0.89165033434354413</v>
      </c>
      <c r="F787" s="7">
        <f t="shared" ca="1" si="64"/>
        <v>2.5344902457381673E-2</v>
      </c>
      <c r="G787" s="7">
        <f t="shared" ca="1" si="60"/>
        <v>204.33295092544176</v>
      </c>
      <c r="H787" s="7">
        <f ca="1">(G787+DCF!$D$40+DCF!$D$41+DCF!$D$42-DCF!$D$43-DCF!$D$44)/DCF!$C$35</f>
        <v>1.7953490852547791</v>
      </c>
    </row>
    <row r="788" spans="3:8" x14ac:dyDescent="0.35">
      <c r="C788" s="8">
        <f t="shared" ca="1" si="61"/>
        <v>0.89721353743399435</v>
      </c>
      <c r="D788" s="7">
        <f t="shared" ca="1" si="62"/>
        <v>9.9289738928314483E-2</v>
      </c>
      <c r="E788" s="7">
        <f t="shared" ca="1" si="63"/>
        <v>0.94883781829455527</v>
      </c>
      <c r="F788" s="7">
        <f t="shared" ca="1" si="64"/>
        <v>2.6801182040020258E-2</v>
      </c>
      <c r="G788" s="7">
        <f t="shared" ca="1" si="60"/>
        <v>223.34903415463805</v>
      </c>
      <c r="H788" s="7">
        <f ca="1">(G788+DCF!$D$40+DCF!$D$41+DCF!$D$42-DCF!$D$43-DCF!$D$44)/DCF!$C$35</f>
        <v>1.9026754382810589</v>
      </c>
    </row>
    <row r="789" spans="3:8" x14ac:dyDescent="0.35">
      <c r="C789" s="8">
        <f t="shared" ca="1" si="61"/>
        <v>0.56674195046890075</v>
      </c>
      <c r="D789" s="7">
        <f t="shared" ca="1" si="62"/>
        <v>8.8011003131640897E-2</v>
      </c>
      <c r="E789" s="7">
        <f t="shared" ca="1" si="63"/>
        <v>6.7994226810604408E-2</v>
      </c>
      <c r="F789" s="7">
        <f t="shared" ca="1" si="64"/>
        <v>1.3687661232016965E-2</v>
      </c>
      <c r="G789" s="7">
        <f t="shared" ca="1" si="60"/>
        <v>231.76174050507871</v>
      </c>
      <c r="H789" s="7">
        <f ca="1">(G789+DCF!$D$40+DCF!$D$41+DCF!$D$42-DCF!$D$43-DCF!$D$44)/DCF!$C$35</f>
        <v>1.9501565667969223</v>
      </c>
    </row>
    <row r="790" spans="3:8" x14ac:dyDescent="0.35">
      <c r="C790" s="8">
        <f t="shared" ca="1" si="61"/>
        <v>0.25631609772665265</v>
      </c>
      <c r="D790" s="7">
        <f t="shared" ca="1" si="62"/>
        <v>8.1138087416594465E-2</v>
      </c>
      <c r="E790" s="7">
        <f t="shared" ca="1" si="63"/>
        <v>0.86489655275354416</v>
      </c>
      <c r="F790" s="7">
        <f t="shared" ca="1" si="64"/>
        <v>2.4801857115344831E-2</v>
      </c>
      <c r="G790" s="7">
        <f t="shared" ca="1" si="60"/>
        <v>293.88376364880804</v>
      </c>
      <c r="H790" s="7">
        <f ca="1">(G790+DCF!$D$40+DCF!$D$41+DCF!$D$42-DCF!$D$43-DCF!$D$44)/DCF!$C$35</f>
        <v>2.3007718910080599</v>
      </c>
    </row>
    <row r="791" spans="3:8" x14ac:dyDescent="0.35">
      <c r="C791" s="8">
        <f t="shared" ca="1" si="61"/>
        <v>0.44438378277957447</v>
      </c>
      <c r="D791" s="7">
        <f t="shared" ca="1" si="62"/>
        <v>8.5098841424182795E-2</v>
      </c>
      <c r="E791" s="7">
        <f t="shared" ca="1" si="63"/>
        <v>0.84163939889783912</v>
      </c>
      <c r="F791" s="7">
        <f t="shared" ca="1" si="64"/>
        <v>2.4372201121181374E-2</v>
      </c>
      <c r="G791" s="7">
        <f t="shared" ca="1" si="60"/>
        <v>272.26083424464628</v>
      </c>
      <c r="H791" s="7">
        <f ca="1">(G791+DCF!$D$40+DCF!$D$41+DCF!$D$42-DCF!$D$43-DCF!$D$44)/DCF!$C$35</f>
        <v>2.1787325558451647</v>
      </c>
    </row>
    <row r="792" spans="3:8" x14ac:dyDescent="0.35">
      <c r="C792" s="8">
        <f t="shared" ca="1" si="61"/>
        <v>0.76830760732109926</v>
      </c>
      <c r="D792" s="7">
        <f t="shared" ca="1" si="62"/>
        <v>9.3919928164661298E-2</v>
      </c>
      <c r="E792" s="7">
        <f t="shared" ca="1" si="63"/>
        <v>0.53951065405717136</v>
      </c>
      <c r="F792" s="7">
        <f t="shared" ca="1" si="64"/>
        <v>2.0403236525340131E-2</v>
      </c>
      <c r="G792" s="7">
        <f t="shared" ca="1" si="60"/>
        <v>226.94765471034066</v>
      </c>
      <c r="H792" s="7">
        <f ca="1">(G792+DCF!$D$40+DCF!$D$41+DCF!$D$42-DCF!$D$43-DCF!$D$44)/DCF!$C$35</f>
        <v>1.9229859730801482</v>
      </c>
    </row>
    <row r="793" spans="3:8" x14ac:dyDescent="0.35">
      <c r="C793" s="8">
        <f t="shared" ca="1" si="61"/>
        <v>0.82246404297342179</v>
      </c>
      <c r="D793" s="7">
        <f t="shared" ca="1" si="62"/>
        <v>9.5924129581384271E-2</v>
      </c>
      <c r="E793" s="7">
        <f t="shared" ca="1" si="63"/>
        <v>0.66502464781662318</v>
      </c>
      <c r="F793" s="7">
        <f t="shared" ca="1" si="64"/>
        <v>2.1814948354672688E-2</v>
      </c>
      <c r="G793" s="7">
        <f t="shared" ca="1" si="60"/>
        <v>223.49557127200424</v>
      </c>
      <c r="H793" s="7">
        <f ca="1">(G793+DCF!$D$40+DCF!$D$41+DCF!$D$42-DCF!$D$43-DCF!$D$44)/DCF!$C$35</f>
        <v>1.9035024905294289</v>
      </c>
    </row>
    <row r="794" spans="3:8" x14ac:dyDescent="0.35">
      <c r="C794" s="8">
        <f t="shared" ca="1" si="61"/>
        <v>0.98439712564743465</v>
      </c>
      <c r="D794" s="7">
        <f t="shared" ca="1" si="62"/>
        <v>0.10582713434466637</v>
      </c>
      <c r="E794" s="7">
        <f t="shared" ca="1" si="63"/>
        <v>0.55075655056099315</v>
      </c>
      <c r="F794" s="7">
        <f t="shared" ca="1" si="64"/>
        <v>2.0521145117272793E-2</v>
      </c>
      <c r="G794" s="7">
        <f t="shared" ca="1" si="60"/>
        <v>193.62160031130165</v>
      </c>
      <c r="H794" s="7">
        <f ca="1">(G794+DCF!$D$40+DCF!$D$41+DCF!$D$42-DCF!$D$43-DCF!$D$44)/DCF!$C$35</f>
        <v>1.7348944593707059</v>
      </c>
    </row>
    <row r="795" spans="3:8" x14ac:dyDescent="0.35">
      <c r="C795" s="8">
        <f t="shared" ca="1" si="61"/>
        <v>2.5202210937538938E-2</v>
      </c>
      <c r="D795" s="7">
        <f t="shared" ca="1" si="62"/>
        <v>7.3492544930816056E-2</v>
      </c>
      <c r="E795" s="7">
        <f t="shared" ca="1" si="63"/>
        <v>0.50087507973718148</v>
      </c>
      <c r="F795" s="7">
        <f t="shared" ca="1" si="64"/>
        <v>2.0008754629548743E-2</v>
      </c>
      <c r="G795" s="7">
        <f t="shared" ca="1" si="60"/>
        <v>317.92332199454154</v>
      </c>
      <c r="H795" s="7">
        <f ca="1">(G795+DCF!$D$40+DCF!$D$41+DCF!$D$42-DCF!$D$43-DCF!$D$44)/DCF!$C$35</f>
        <v>2.4364506264507368</v>
      </c>
    </row>
    <row r="796" spans="3:8" x14ac:dyDescent="0.35">
      <c r="C796" s="8">
        <f t="shared" ca="1" si="61"/>
        <v>0.14734268350443358</v>
      </c>
      <c r="D796" s="7">
        <f t="shared" ca="1" si="62"/>
        <v>7.8444753330686803E-2</v>
      </c>
      <c r="E796" s="7">
        <f t="shared" ca="1" si="63"/>
        <v>0.27544784448080284</v>
      </c>
      <c r="F796" s="7">
        <f t="shared" ca="1" si="64"/>
        <v>1.7422234764284984E-2</v>
      </c>
      <c r="G796" s="7">
        <f t="shared" ca="1" si="60"/>
        <v>280.44074829055887</v>
      </c>
      <c r="H796" s="7">
        <f ca="1">(G796+DCF!$D$40+DCF!$D$41+DCF!$D$42-DCF!$D$43-DCF!$D$44)/DCF!$C$35</f>
        <v>2.22489980974466</v>
      </c>
    </row>
    <row r="797" spans="3:8" x14ac:dyDescent="0.35">
      <c r="C797" s="8">
        <f t="shared" ca="1" si="61"/>
        <v>0.53192116775550935</v>
      </c>
      <c r="D797" s="7">
        <f t="shared" ca="1" si="62"/>
        <v>8.7144454135049593E-2</v>
      </c>
      <c r="E797" s="7">
        <f t="shared" ca="1" si="63"/>
        <v>8.3836689870313674E-2</v>
      </c>
      <c r="F797" s="7">
        <f t="shared" ca="1" si="64"/>
        <v>1.4094794008746074E-2</v>
      </c>
      <c r="G797" s="7">
        <f t="shared" ca="1" si="60"/>
        <v>235.60536626589447</v>
      </c>
      <c r="H797" s="7">
        <f ca="1">(G797+DCF!$D$40+DCF!$D$41+DCF!$D$42-DCF!$D$43-DCF!$D$44)/DCF!$C$35</f>
        <v>1.9718499055530785</v>
      </c>
    </row>
    <row r="798" spans="3:8" x14ac:dyDescent="0.35">
      <c r="C798" s="8">
        <f t="shared" ca="1" si="61"/>
        <v>0.98661155402618417</v>
      </c>
      <c r="D798" s="7">
        <f t="shared" ca="1" si="62"/>
        <v>0.10613457561103849</v>
      </c>
      <c r="E798" s="7">
        <f t="shared" ca="1" si="63"/>
        <v>0.65032711817428801</v>
      </c>
      <c r="F798" s="7">
        <f t="shared" ca="1" si="64"/>
        <v>2.1637310458641763E-2</v>
      </c>
      <c r="G798" s="7">
        <f t="shared" ca="1" si="60"/>
        <v>194.57643460129157</v>
      </c>
      <c r="H798" s="7">
        <f ca="1">(G798+DCF!$D$40+DCF!$D$41+DCF!$D$42-DCF!$D$43-DCF!$D$44)/DCF!$C$35</f>
        <v>1.7402835229782794</v>
      </c>
    </row>
    <row r="799" spans="3:8" x14ac:dyDescent="0.35">
      <c r="C799" s="8">
        <f t="shared" ca="1" si="61"/>
        <v>0.34181604892175954</v>
      </c>
      <c r="D799" s="7">
        <f t="shared" ca="1" si="62"/>
        <v>8.2897725383220766E-2</v>
      </c>
      <c r="E799" s="7">
        <f t="shared" ca="1" si="63"/>
        <v>0.67652630512568934</v>
      </c>
      <c r="F799" s="7">
        <f t="shared" ca="1" si="64"/>
        <v>2.1956696016259106E-2</v>
      </c>
      <c r="G799" s="7">
        <f t="shared" ca="1" si="60"/>
        <v>274.53910726926472</v>
      </c>
      <c r="H799" s="7">
        <f ca="1">(G799+DCF!$D$40+DCF!$D$41+DCF!$D$42-DCF!$D$43-DCF!$D$44)/DCF!$C$35</f>
        <v>2.1915910783907027</v>
      </c>
    </row>
    <row r="800" spans="3:8" x14ac:dyDescent="0.35">
      <c r="C800" s="8">
        <f t="shared" ca="1" si="61"/>
        <v>0.90219556874986817</v>
      </c>
      <c r="D800" s="7">
        <f t="shared" ca="1" si="62"/>
        <v>9.955252445443652E-2</v>
      </c>
      <c r="E800" s="7">
        <f t="shared" ca="1" si="63"/>
        <v>0.96400762354529113</v>
      </c>
      <c r="F800" s="7">
        <f t="shared" ca="1" si="64"/>
        <v>2.7317002554801482E-2</v>
      </c>
      <c r="G800" s="7">
        <f t="shared" ca="1" si="60"/>
        <v>223.61773016356682</v>
      </c>
      <c r="H800" s="7">
        <f ca="1">(G800+DCF!$D$40+DCF!$D$41+DCF!$D$42-DCF!$D$43-DCF!$D$44)/DCF!$C$35</f>
        <v>1.9041919526107167</v>
      </c>
    </row>
    <row r="801" spans="3:8" x14ac:dyDescent="0.35">
      <c r="C801" s="8">
        <f t="shared" ca="1" si="61"/>
        <v>0.47416440857368758</v>
      </c>
      <c r="D801" s="7">
        <f t="shared" ca="1" si="62"/>
        <v>8.577537368643709E-2</v>
      </c>
      <c r="E801" s="7">
        <f t="shared" ca="1" si="63"/>
        <v>0.63830384462938505</v>
      </c>
      <c r="F801" s="7">
        <f t="shared" ca="1" si="64"/>
        <v>2.1494752732922871E-2</v>
      </c>
      <c r="G801" s="7">
        <f t="shared" ca="1" si="60"/>
        <v>260.15079745710034</v>
      </c>
      <c r="H801" s="7">
        <f ca="1">(G801+DCF!$D$40+DCF!$D$41+DCF!$D$42-DCF!$D$43-DCF!$D$44)/DCF!$C$35</f>
        <v>2.1103837761434718</v>
      </c>
    </row>
    <row r="802" spans="3:8" x14ac:dyDescent="0.35">
      <c r="C802" s="8">
        <f t="shared" ca="1" si="61"/>
        <v>0.60588615054727446</v>
      </c>
      <c r="D802" s="7">
        <f t="shared" ca="1" si="62"/>
        <v>8.9027850468079303E-2</v>
      </c>
      <c r="E802" s="7">
        <f t="shared" ca="1" si="63"/>
        <v>0.78534697966771916</v>
      </c>
      <c r="F802" s="7">
        <f t="shared" ca="1" si="64"/>
        <v>2.3447855002637977E-2</v>
      </c>
      <c r="G802" s="7">
        <f t="shared" ca="1" si="60"/>
        <v>252.28351866277387</v>
      </c>
      <c r="H802" s="7">
        <f ca="1">(G802+DCF!$D$40+DCF!$D$41+DCF!$D$42-DCF!$D$43-DCF!$D$44)/DCF!$C$35</f>
        <v>2.0659810286870632</v>
      </c>
    </row>
    <row r="803" spans="3:8" x14ac:dyDescent="0.35">
      <c r="C803" s="8">
        <f t="shared" ca="1" si="61"/>
        <v>0.48001879738981434</v>
      </c>
      <c r="D803" s="7">
        <f t="shared" ca="1" si="62"/>
        <v>8.5910603533650598E-2</v>
      </c>
      <c r="E803" s="7">
        <f t="shared" ca="1" si="63"/>
        <v>0.85884290015459974</v>
      </c>
      <c r="F803" s="7">
        <f t="shared" ca="1" si="64"/>
        <v>2.4686675243401731E-2</v>
      </c>
      <c r="G803" s="7">
        <f t="shared" ca="1" si="60"/>
        <v>269.52047487143852</v>
      </c>
      <c r="H803" s="7">
        <f ca="1">(G803+DCF!$D$40+DCF!$D$41+DCF!$D$42-DCF!$D$43-DCF!$D$44)/DCF!$C$35</f>
        <v>2.1632660281715683</v>
      </c>
    </row>
    <row r="804" spans="3:8" x14ac:dyDescent="0.35">
      <c r="C804" s="8">
        <f t="shared" ca="1" si="61"/>
        <v>0.64408227444158983</v>
      </c>
      <c r="D804" s="7">
        <f t="shared" ca="1" si="62"/>
        <v>9.0070018019998477E-2</v>
      </c>
      <c r="E804" s="7">
        <f t="shared" ca="1" si="63"/>
        <v>0.61352220678800462</v>
      </c>
      <c r="F804" s="7">
        <f t="shared" ca="1" si="64"/>
        <v>2.1208210725773786E-2</v>
      </c>
      <c r="G804" s="7">
        <f t="shared" ca="1" si="60"/>
        <v>242.26731776713441</v>
      </c>
      <c r="H804" s="7">
        <f ca="1">(G804+DCF!$D$40+DCF!$D$41+DCF!$D$42-DCF!$D$43-DCF!$D$44)/DCF!$C$35</f>
        <v>2.0094498124344415</v>
      </c>
    </row>
    <row r="805" spans="3:8" x14ac:dyDescent="0.35">
      <c r="C805" s="8">
        <f t="shared" ca="1" si="61"/>
        <v>0.50198147215515487</v>
      </c>
      <c r="D805" s="7">
        <f t="shared" ca="1" si="62"/>
        <v>8.6424829224905991E-2</v>
      </c>
      <c r="E805" s="7">
        <f t="shared" ca="1" si="63"/>
        <v>0.37037403345735209</v>
      </c>
      <c r="F805" s="7">
        <f t="shared" ca="1" si="64"/>
        <v>1.8606672219358095E-2</v>
      </c>
      <c r="G805" s="7">
        <f t="shared" ca="1" si="60"/>
        <v>249.37385561192863</v>
      </c>
      <c r="H805" s="7">
        <f ca="1">(G805+DCF!$D$40+DCF!$D$41+DCF!$D$42-DCF!$D$43-DCF!$D$44)/DCF!$C$35</f>
        <v>2.0495589548026225</v>
      </c>
    </row>
    <row r="806" spans="3:8" x14ac:dyDescent="0.35">
      <c r="C806" s="8">
        <f t="shared" ca="1" si="61"/>
        <v>0.50692464064268838</v>
      </c>
      <c r="D806" s="7">
        <f t="shared" ca="1" si="62"/>
        <v>8.6542120704489092E-2</v>
      </c>
      <c r="E806" s="7">
        <f t="shared" ca="1" si="63"/>
        <v>0.6504956151183785</v>
      </c>
      <c r="F806" s="7">
        <f t="shared" ca="1" si="64"/>
        <v>2.1639325566898071E-2</v>
      </c>
      <c r="G806" s="7">
        <f t="shared" ca="1" si="60"/>
        <v>257.34020480900199</v>
      </c>
      <c r="H806" s="7">
        <f ca="1">(G806+DCF!$D$40+DCF!$D$41+DCF!$D$42-DCF!$D$43-DCF!$D$44)/DCF!$C$35</f>
        <v>2.0945208534202617</v>
      </c>
    </row>
    <row r="807" spans="3:8" x14ac:dyDescent="0.35">
      <c r="C807" s="8">
        <f t="shared" ca="1" si="61"/>
        <v>0.81449690714776124</v>
      </c>
      <c r="D807" s="7">
        <f t="shared" ca="1" si="62"/>
        <v>9.5611759953938141E-2</v>
      </c>
      <c r="E807" s="7">
        <f t="shared" ca="1" si="63"/>
        <v>0.7455401745233674</v>
      </c>
      <c r="F807" s="7">
        <f t="shared" ca="1" si="64"/>
        <v>2.2866139537716868E-2</v>
      </c>
      <c r="G807" s="7">
        <f t="shared" ca="1" si="60"/>
        <v>226.77892988084045</v>
      </c>
      <c r="H807" s="7">
        <f ca="1">(G807+DCF!$D$40+DCF!$D$41+DCF!$D$42-DCF!$D$43-DCF!$D$44)/DCF!$C$35</f>
        <v>1.9220336938753835</v>
      </c>
    </row>
    <row r="808" spans="3:8" x14ac:dyDescent="0.35">
      <c r="C808" s="8">
        <f t="shared" ca="1" si="61"/>
        <v>0.61116640873233508</v>
      </c>
      <c r="D808" s="7">
        <f t="shared" ca="1" si="62"/>
        <v>8.9168814535540375E-2</v>
      </c>
      <c r="E808" s="7">
        <f t="shared" ca="1" si="63"/>
        <v>0.9628484990135695</v>
      </c>
      <c r="F808" s="7">
        <f t="shared" ca="1" si="64"/>
        <v>2.7274142300616904E-2</v>
      </c>
      <c r="G808" s="7">
        <f t="shared" ca="1" si="60"/>
        <v>263.0660820648543</v>
      </c>
      <c r="H808" s="7">
        <f ca="1">(G808+DCF!$D$40+DCF!$D$41+DCF!$D$42-DCF!$D$43-DCF!$D$44)/DCF!$C$35</f>
        <v>2.1268375779707318</v>
      </c>
    </row>
    <row r="809" spans="3:8" x14ac:dyDescent="0.35">
      <c r="C809" s="8">
        <f t="shared" ca="1" si="61"/>
        <v>0.71050569576086686</v>
      </c>
      <c r="D809" s="7">
        <f t="shared" ca="1" si="62"/>
        <v>9.2025694908262179E-2</v>
      </c>
      <c r="E809" s="7">
        <f t="shared" ca="1" si="63"/>
        <v>0.50409556180042903</v>
      </c>
      <c r="F809" s="7">
        <f t="shared" ca="1" si="64"/>
        <v>2.0041039831392327E-2</v>
      </c>
      <c r="G809" s="7">
        <f t="shared" ca="1" si="60"/>
        <v>232.47912628196872</v>
      </c>
      <c r="H809" s="7">
        <f ca="1">(G809+DCF!$D$40+DCF!$D$41+DCF!$D$42-DCF!$D$43-DCF!$D$44)/DCF!$C$35</f>
        <v>1.9542054762499645</v>
      </c>
    </row>
    <row r="810" spans="3:8" x14ac:dyDescent="0.35">
      <c r="C810" s="8">
        <f t="shared" ca="1" si="61"/>
        <v>0.23651698066559557</v>
      </c>
      <c r="D810" s="7">
        <f t="shared" ca="1" si="62"/>
        <v>8.0699262527957172E-2</v>
      </c>
      <c r="E810" s="7">
        <f t="shared" ca="1" si="63"/>
        <v>6.1247436523323207E-2</v>
      </c>
      <c r="F810" s="7">
        <f t="shared" ca="1" si="64"/>
        <v>1.3499926757042873E-2</v>
      </c>
      <c r="G810" s="7">
        <f t="shared" ca="1" si="60"/>
        <v>258.24216456935392</v>
      </c>
      <c r="H810" s="7">
        <f ca="1">(G810+DCF!$D$40+DCF!$D$41+DCF!$D$42-DCF!$D$43-DCF!$D$44)/DCF!$C$35</f>
        <v>2.0996114943523754</v>
      </c>
    </row>
    <row r="811" spans="3:8" x14ac:dyDescent="0.35">
      <c r="C811" s="8">
        <f t="shared" ca="1" si="61"/>
        <v>1.3112464978078942E-2</v>
      </c>
      <c r="D811" s="7">
        <f t="shared" ca="1" si="62"/>
        <v>7.2519212783666798E-2</v>
      </c>
      <c r="E811" s="7">
        <f t="shared" ca="1" si="63"/>
        <v>0.75778140499183388</v>
      </c>
      <c r="F811" s="7">
        <f t="shared" ca="1" si="64"/>
        <v>2.3039847774535875E-2</v>
      </c>
      <c r="G811" s="7">
        <f t="shared" ca="1" si="60"/>
        <v>339.53579703502066</v>
      </c>
      <c r="H811" s="7">
        <f ca="1">(G811+DCF!$D$40+DCF!$D$41+DCF!$D$42-DCF!$D$43-DCF!$D$44)/DCF!$C$35</f>
        <v>2.5584309574163036</v>
      </c>
    </row>
    <row r="812" spans="3:8" x14ac:dyDescent="0.35">
      <c r="C812" s="8">
        <f t="shared" ca="1" si="61"/>
        <v>0.50637514223519831</v>
      </c>
      <c r="D812" s="7">
        <f t="shared" ca="1" si="62"/>
        <v>8.6529053251615126E-2</v>
      </c>
      <c r="E812" s="7">
        <f t="shared" ca="1" si="63"/>
        <v>0.42984685201453898</v>
      </c>
      <c r="F812" s="7">
        <f t="shared" ca="1" si="64"/>
        <v>1.9271966911228046E-2</v>
      </c>
      <c r="G812" s="7">
        <f t="shared" ca="1" si="60"/>
        <v>250.75232262848755</v>
      </c>
      <c r="H812" s="7">
        <f ca="1">(G812+DCF!$D$40+DCF!$D$41+DCF!$D$42-DCF!$D$43-DCF!$D$44)/DCF!$C$35</f>
        <v>2.0573389921463345</v>
      </c>
    </row>
    <row r="813" spans="3:8" x14ac:dyDescent="0.35">
      <c r="C813" s="8">
        <f t="shared" ca="1" si="61"/>
        <v>0.79973179514461856</v>
      </c>
      <c r="D813" s="7">
        <f t="shared" ca="1" si="62"/>
        <v>9.5050106467984272E-2</v>
      </c>
      <c r="E813" s="7">
        <f t="shared" ca="1" si="63"/>
        <v>4.1413620212902069E-2</v>
      </c>
      <c r="F813" s="7">
        <f t="shared" ca="1" si="64"/>
        <v>1.2877972210182095E-2</v>
      </c>
      <c r="G813" s="7">
        <f t="shared" ca="1" si="60"/>
        <v>208.96901520483146</v>
      </c>
      <c r="H813" s="7">
        <f ca="1">(G813+DCF!$D$40+DCF!$D$41+DCF!$D$42-DCF!$D$43-DCF!$D$44)/DCF!$C$35</f>
        <v>1.8215149294775452</v>
      </c>
    </row>
    <row r="814" spans="3:8" x14ac:dyDescent="0.35">
      <c r="C814" s="8">
        <f t="shared" ca="1" si="61"/>
        <v>0.49197942461096267</v>
      </c>
      <c r="D814" s="7">
        <f t="shared" ca="1" si="62"/>
        <v>8.6189267921078838E-2</v>
      </c>
      <c r="E814" s="7">
        <f t="shared" ca="1" si="63"/>
        <v>0.44585189507887502</v>
      </c>
      <c r="F814" s="7">
        <f t="shared" ca="1" si="64"/>
        <v>1.9443006884238462E-2</v>
      </c>
      <c r="G814" s="7">
        <f t="shared" ca="1" si="60"/>
        <v>252.56829507373197</v>
      </c>
      <c r="H814" s="7">
        <f ca="1">(G814+DCF!$D$40+DCF!$D$41+DCF!$D$42-DCF!$D$43-DCF!$D$44)/DCF!$C$35</f>
        <v>2.0675883004500055</v>
      </c>
    </row>
    <row r="815" spans="3:8" x14ac:dyDescent="0.35">
      <c r="C815" s="8">
        <f t="shared" ca="1" si="61"/>
        <v>0.72504021813101427</v>
      </c>
      <c r="D815" s="7">
        <f t="shared" ca="1" si="62"/>
        <v>9.2482719487152476E-2</v>
      </c>
      <c r="E815" s="7">
        <f t="shared" ca="1" si="63"/>
        <v>0.65792914170504413</v>
      </c>
      <c r="F815" s="7">
        <f t="shared" ca="1" si="64"/>
        <v>2.1728714026283992E-2</v>
      </c>
      <c r="G815" s="7">
        <f t="shared" ca="1" si="60"/>
        <v>234.82693067178155</v>
      </c>
      <c r="H815" s="7">
        <f ca="1">(G815+DCF!$D$40+DCF!$D$41+DCF!$D$42-DCF!$D$43-DCF!$D$44)/DCF!$C$35</f>
        <v>1.9674564322823205</v>
      </c>
    </row>
    <row r="816" spans="3:8" x14ac:dyDescent="0.35">
      <c r="C816" s="8">
        <f t="shared" ca="1" si="61"/>
        <v>0.31371629450980509</v>
      </c>
      <c r="D816" s="7">
        <f t="shared" ca="1" si="62"/>
        <v>8.2325235044773057E-2</v>
      </c>
      <c r="E816" s="7">
        <f t="shared" ca="1" si="63"/>
        <v>0.59123560671185282</v>
      </c>
      <c r="F816" s="7">
        <f t="shared" ca="1" si="64"/>
        <v>2.0958270151258146E-2</v>
      </c>
      <c r="G816" s="7">
        <f t="shared" ca="1" si="60"/>
        <v>273.89684603000927</v>
      </c>
      <c r="H816" s="7">
        <f ca="1">(G816+DCF!$D$40+DCF!$D$41+DCF!$D$42-DCF!$D$43-DCF!$D$44)/DCF!$C$35</f>
        <v>2.1879661701659852</v>
      </c>
    </row>
    <row r="817" spans="3:8" x14ac:dyDescent="0.35">
      <c r="C817" s="8">
        <f t="shared" ca="1" si="61"/>
        <v>0.24568965763310346</v>
      </c>
      <c r="D817" s="7">
        <f t="shared" ca="1" si="62"/>
        <v>8.0904760166753881E-2</v>
      </c>
      <c r="E817" s="7">
        <f t="shared" ca="1" si="63"/>
        <v>0.86967717252912302</v>
      </c>
      <c r="F817" s="7">
        <f t="shared" ca="1" si="64"/>
        <v>2.489465324447248E-2</v>
      </c>
      <c r="G817" s="7">
        <f t="shared" ca="1" si="60"/>
        <v>295.53458007598692</v>
      </c>
      <c r="H817" s="7">
        <f ca="1">(G817+DCF!$D$40+DCF!$D$41+DCF!$D$42-DCF!$D$43-DCF!$D$44)/DCF!$C$35</f>
        <v>2.3100890623997454</v>
      </c>
    </row>
    <row r="818" spans="3:8" x14ac:dyDescent="0.35">
      <c r="C818" s="8">
        <f t="shared" ca="1" si="61"/>
        <v>0.93735416910910918</v>
      </c>
      <c r="D818" s="7">
        <f t="shared" ca="1" si="62"/>
        <v>0.10163861570825536</v>
      </c>
      <c r="E818" s="7">
        <f t="shared" ca="1" si="63"/>
        <v>0.78945937542125144</v>
      </c>
      <c r="F818" s="7">
        <f t="shared" ca="1" si="64"/>
        <v>2.3510922645263835E-2</v>
      </c>
      <c r="G818" s="7">
        <f t="shared" ca="1" si="60"/>
        <v>209.61864596493206</v>
      </c>
      <c r="H818" s="7">
        <f ca="1">(G818+DCF!$D$40+DCF!$D$41+DCF!$D$42-DCF!$D$43-DCF!$D$44)/DCF!$C$35</f>
        <v>1.8251814311148664</v>
      </c>
    </row>
    <row r="819" spans="3:8" x14ac:dyDescent="0.35">
      <c r="C819" s="8">
        <f t="shared" ca="1" si="61"/>
        <v>0.5159181960649617</v>
      </c>
      <c r="D819" s="7">
        <f t="shared" ca="1" si="62"/>
        <v>8.6757037770725035E-2</v>
      </c>
      <c r="E819" s="7">
        <f t="shared" ca="1" si="63"/>
        <v>9.0379038875757378E-2</v>
      </c>
      <c r="F819" s="7">
        <f t="shared" ca="1" si="64"/>
        <v>1.4251565332339546E-2</v>
      </c>
      <c r="G819" s="7">
        <f t="shared" ca="1" si="60"/>
        <v>237.30818929211864</v>
      </c>
      <c r="H819" s="7">
        <f ca="1">(G819+DCF!$D$40+DCF!$D$41+DCF!$D$42-DCF!$D$43-DCF!$D$44)/DCF!$C$35</f>
        <v>1.9814606010391613</v>
      </c>
    </row>
    <row r="820" spans="3:8" x14ac:dyDescent="0.35">
      <c r="C820" s="8">
        <f t="shared" ca="1" si="61"/>
        <v>2.4336091970923124E-2</v>
      </c>
      <c r="D820" s="7">
        <f t="shared" ca="1" si="62"/>
        <v>7.3432006485123075E-2</v>
      </c>
      <c r="E820" s="7">
        <f t="shared" ca="1" si="63"/>
        <v>0.47900286552964766</v>
      </c>
      <c r="F820" s="7">
        <f t="shared" ca="1" si="64"/>
        <v>1.9787776719251901E-2</v>
      </c>
      <c r="G820" s="7">
        <f t="shared" ca="1" si="60"/>
        <v>317.28497590414332</v>
      </c>
      <c r="H820" s="7">
        <f ca="1">(G820+DCF!$D$40+DCF!$D$41+DCF!$D$42-DCF!$D$43-DCF!$D$44)/DCF!$C$35</f>
        <v>2.432847815239549</v>
      </c>
    </row>
    <row r="821" spans="3:8" x14ac:dyDescent="0.35">
      <c r="C821" s="8">
        <f t="shared" ca="1" si="61"/>
        <v>0.32817717388373668</v>
      </c>
      <c r="D821" s="7">
        <f t="shared" ca="1" si="62"/>
        <v>8.261835881570008E-2</v>
      </c>
      <c r="E821" s="7">
        <f t="shared" ca="1" si="63"/>
        <v>3.9989546643332874E-2</v>
      </c>
      <c r="F821" s="7">
        <f t="shared" ca="1" si="64"/>
        <v>1.2828057518627685E-2</v>
      </c>
      <c r="G821" s="7">
        <f t="shared" ca="1" si="60"/>
        <v>248.88566768952396</v>
      </c>
      <c r="H821" s="7">
        <f ca="1">(G821+DCF!$D$40+DCF!$D$41+DCF!$D$42-DCF!$D$43-DCF!$D$44)/DCF!$C$35</f>
        <v>2.0468036329694321</v>
      </c>
    </row>
    <row r="822" spans="3:8" x14ac:dyDescent="0.35">
      <c r="C822" s="8">
        <f t="shared" ca="1" si="61"/>
        <v>0.80087827732694428</v>
      </c>
      <c r="D822" s="7">
        <f t="shared" ca="1" si="62"/>
        <v>9.5092959968419946E-2</v>
      </c>
      <c r="E822" s="7">
        <f t="shared" ca="1" si="63"/>
        <v>0.78303626124857328</v>
      </c>
      <c r="F822" s="7">
        <f t="shared" ca="1" si="64"/>
        <v>2.3412682810864095E-2</v>
      </c>
      <c r="G822" s="7">
        <f t="shared" ca="1" si="60"/>
        <v>229.73519942982909</v>
      </c>
      <c r="H822" s="7">
        <f ca="1">(G822+DCF!$D$40+DCF!$D$41+DCF!$D$42-DCF!$D$43-DCF!$D$44)/DCF!$C$35</f>
        <v>1.9387188138042053</v>
      </c>
    </row>
    <row r="823" spans="3:8" x14ac:dyDescent="0.35">
      <c r="C823" s="8">
        <f t="shared" ca="1" si="61"/>
        <v>0.90908049474640018</v>
      </c>
      <c r="D823" s="7">
        <f t="shared" ca="1" si="62"/>
        <v>9.992695836090125E-2</v>
      </c>
      <c r="E823" s="7">
        <f t="shared" ca="1" si="63"/>
        <v>0.1512463419780764</v>
      </c>
      <c r="F823" s="7">
        <f t="shared" ca="1" si="64"/>
        <v>1.5499933490108336E-2</v>
      </c>
      <c r="G823" s="7">
        <f t="shared" ca="1" si="60"/>
        <v>200.47105118509268</v>
      </c>
      <c r="H823" s="7">
        <f ca="1">(G823+DCF!$D$40+DCF!$D$41+DCF!$D$42-DCF!$D$43-DCF!$D$44)/DCF!$C$35</f>
        <v>1.7735526085624373</v>
      </c>
    </row>
    <row r="824" spans="3:8" x14ac:dyDescent="0.35">
      <c r="C824" s="8">
        <f t="shared" ca="1" si="61"/>
        <v>0.10819425658746817</v>
      </c>
      <c r="D824" s="7">
        <f t="shared" ca="1" si="62"/>
        <v>7.7236436981576964E-2</v>
      </c>
      <c r="E824" s="7">
        <f t="shared" ca="1" si="63"/>
        <v>0.19096586373705871</v>
      </c>
      <c r="F824" s="7">
        <f t="shared" ca="1" si="64"/>
        <v>1.6180062519700892E-2</v>
      </c>
      <c r="G824" s="7">
        <f t="shared" ca="1" si="60"/>
        <v>282.02906101563138</v>
      </c>
      <c r="H824" s="7">
        <f ca="1">(G824+DCF!$D$40+DCF!$D$41+DCF!$D$42-DCF!$D$43-DCF!$D$44)/DCF!$C$35</f>
        <v>2.233864211624514</v>
      </c>
    </row>
    <row r="825" spans="3:8" x14ac:dyDescent="0.35">
      <c r="C825" s="8">
        <f t="shared" ca="1" si="61"/>
        <v>0.50099856286480948</v>
      </c>
      <c r="D825" s="7">
        <f t="shared" ca="1" si="62"/>
        <v>8.6401576242408212E-2</v>
      </c>
      <c r="E825" s="7">
        <f t="shared" ca="1" si="63"/>
        <v>0.9977856835254878</v>
      </c>
      <c r="F825" s="7">
        <f t="shared" ca="1" si="64"/>
        <v>2.9334520252071904E-2</v>
      </c>
      <c r="G825" s="7">
        <f t="shared" ca="1" si="60"/>
        <v>283.44382000629724</v>
      </c>
      <c r="H825" s="7">
        <f ca="1">(G825+DCF!$D$40+DCF!$D$41+DCF!$D$42-DCF!$D$43-DCF!$D$44)/DCF!$C$35</f>
        <v>2.2418490800671478</v>
      </c>
    </row>
    <row r="826" spans="3:8" x14ac:dyDescent="0.35">
      <c r="C826" s="8">
        <f t="shared" ca="1" si="61"/>
        <v>0.38766426978968005</v>
      </c>
      <c r="D826" s="7">
        <f t="shared" ca="1" si="62"/>
        <v>8.3858717037706115E-2</v>
      </c>
      <c r="E826" s="7">
        <f t="shared" ca="1" si="63"/>
        <v>0.48908956355590893</v>
      </c>
      <c r="F826" s="7">
        <f t="shared" ca="1" si="64"/>
        <v>1.9890293863742463E-2</v>
      </c>
      <c r="G826" s="7">
        <f t="shared" ca="1" si="60"/>
        <v>263.57591698811558</v>
      </c>
      <c r="H826" s="7">
        <f ca="1">(G826+DCF!$D$40+DCF!$D$41+DCF!$D$42-DCF!$D$43-DCF!$D$44)/DCF!$C$35</f>
        <v>2.1297150749978302</v>
      </c>
    </row>
    <row r="827" spans="3:8" x14ac:dyDescent="0.35">
      <c r="C827" s="8">
        <f t="shared" ca="1" si="61"/>
        <v>0.82585965052309207</v>
      </c>
      <c r="D827" s="7">
        <f t="shared" ca="1" si="62"/>
        <v>9.6059389180662522E-2</v>
      </c>
      <c r="E827" s="7">
        <f t="shared" ca="1" si="63"/>
        <v>0.98586112649425683</v>
      </c>
      <c r="F827" s="7">
        <f t="shared" ca="1" si="64"/>
        <v>2.831840114737532E-2</v>
      </c>
      <c r="G827" s="7">
        <f t="shared" ca="1" si="60"/>
        <v>238.09049664881221</v>
      </c>
      <c r="H827" s="7">
        <f ca="1">(G827+DCF!$D$40+DCF!$D$41+DCF!$D$42-DCF!$D$43-DCF!$D$44)/DCF!$C$35</f>
        <v>1.9858759264522641</v>
      </c>
    </row>
    <row r="828" spans="3:8" x14ac:dyDescent="0.35">
      <c r="C828" s="8">
        <f t="shared" ca="1" si="61"/>
        <v>0.89419742556100823</v>
      </c>
      <c r="D828" s="7">
        <f t="shared" ca="1" si="62"/>
        <v>9.913373693149688E-2</v>
      </c>
      <c r="E828" s="7">
        <f t="shared" ca="1" si="63"/>
        <v>0.93654618336597917</v>
      </c>
      <c r="F828" s="7">
        <f t="shared" ca="1" si="64"/>
        <v>2.6437590235977314E-2</v>
      </c>
      <c r="G828" s="7">
        <f t="shared" ca="1" si="60"/>
        <v>223.0666490549857</v>
      </c>
      <c r="H828" s="7">
        <f ca="1">(G828+DCF!$D$40+DCF!$D$41+DCF!$D$42-DCF!$D$43-DCF!$D$44)/DCF!$C$35</f>
        <v>1.9010816630262202</v>
      </c>
    </row>
    <row r="829" spans="3:8" x14ac:dyDescent="0.35">
      <c r="C829" s="8">
        <f t="shared" ca="1" si="61"/>
        <v>0.67800424139517024</v>
      </c>
      <c r="D829" s="7">
        <f t="shared" ca="1" si="62"/>
        <v>9.1043542878401829E-2</v>
      </c>
      <c r="E829" s="7">
        <f t="shared" ca="1" si="63"/>
        <v>0.52026585860421137</v>
      </c>
      <c r="F829" s="7">
        <f t="shared" ca="1" si="64"/>
        <v>2.0204754812708479E-2</v>
      </c>
      <c r="G829" s="7">
        <f t="shared" ca="1" si="60"/>
        <v>236.27617774609337</v>
      </c>
      <c r="H829" s="7">
        <f ca="1">(G829+DCF!$D$40+DCF!$D$41+DCF!$D$42-DCF!$D$43-DCF!$D$44)/DCF!$C$35</f>
        <v>1.9756359507060242</v>
      </c>
    </row>
    <row r="830" spans="3:8" x14ac:dyDescent="0.35">
      <c r="C830" s="8">
        <f t="shared" ca="1" si="61"/>
        <v>0.78876710564360253</v>
      </c>
      <c r="D830" s="7">
        <f t="shared" ca="1" si="62"/>
        <v>9.4646306304288219E-2</v>
      </c>
      <c r="E830" s="7">
        <f t="shared" ca="1" si="63"/>
        <v>0.39156077414153889</v>
      </c>
      <c r="F830" s="7">
        <f t="shared" ca="1" si="64"/>
        <v>1.8849415507721838E-2</v>
      </c>
      <c r="G830" s="7">
        <f t="shared" ca="1" si="60"/>
        <v>221.35973049616194</v>
      </c>
      <c r="H830" s="7">
        <f ca="1">(G830+DCF!$D$40+DCF!$D$41+DCF!$D$42-DCF!$D$43-DCF!$D$44)/DCF!$C$35</f>
        <v>1.8914478524447564</v>
      </c>
    </row>
    <row r="831" spans="3:8" x14ac:dyDescent="0.35">
      <c r="C831" s="8">
        <f t="shared" ca="1" si="61"/>
        <v>0.78142849215218668</v>
      </c>
      <c r="D831" s="7">
        <f t="shared" ca="1" si="62"/>
        <v>9.4381875824601738E-2</v>
      </c>
      <c r="E831" s="7">
        <f t="shared" ca="1" si="63"/>
        <v>0.52172708428203451</v>
      </c>
      <c r="F831" s="7">
        <f t="shared" ca="1" si="64"/>
        <v>2.0219683893472916E-2</v>
      </c>
      <c r="G831" s="7">
        <f t="shared" ca="1" si="60"/>
        <v>225.05260986673721</v>
      </c>
      <c r="H831" s="7">
        <f ca="1">(G831+DCF!$D$40+DCF!$D$41+DCF!$D$42-DCF!$D$43-DCF!$D$44)/DCF!$C$35</f>
        <v>1.9122903819095676</v>
      </c>
    </row>
    <row r="832" spans="3:8" x14ac:dyDescent="0.35">
      <c r="C832" s="8">
        <f t="shared" ca="1" si="61"/>
        <v>0.57647099800684432</v>
      </c>
      <c r="D832" s="7">
        <f t="shared" ca="1" si="62"/>
        <v>8.825929241665853E-2</v>
      </c>
      <c r="E832" s="7">
        <f t="shared" ca="1" si="63"/>
        <v>0.10421077923659083</v>
      </c>
      <c r="F832" s="7">
        <f t="shared" ca="1" si="64"/>
        <v>1.4565321001563655E-2</v>
      </c>
      <c r="G832" s="7">
        <f t="shared" ca="1" si="60"/>
        <v>232.87547255741202</v>
      </c>
      <c r="H832" s="7">
        <f ca="1">(G832+DCF!$D$40+DCF!$D$41+DCF!$D$42-DCF!$D$43-DCF!$D$44)/DCF!$C$35</f>
        <v>1.9564424458596457</v>
      </c>
    </row>
    <row r="833" spans="3:8" x14ac:dyDescent="0.35">
      <c r="C833" s="8">
        <f t="shared" ca="1" si="61"/>
        <v>0.25125683950622857</v>
      </c>
      <c r="D833" s="7">
        <f t="shared" ca="1" si="62"/>
        <v>8.1027615804017419E-2</v>
      </c>
      <c r="E833" s="7">
        <f t="shared" ca="1" si="63"/>
        <v>5.4439630698154939E-2</v>
      </c>
      <c r="F833" s="7">
        <f t="shared" ca="1" si="64"/>
        <v>1.3299685763770695E-2</v>
      </c>
      <c r="G833" s="7">
        <f t="shared" ca="1" si="60"/>
        <v>256.35584016443147</v>
      </c>
      <c r="H833" s="7">
        <f ca="1">(G833+DCF!$D$40+DCF!$D$41+DCF!$D$42-DCF!$D$43-DCF!$D$44)/DCF!$C$35</f>
        <v>2.0889651211447764</v>
      </c>
    </row>
    <row r="834" spans="3:8" x14ac:dyDescent="0.35">
      <c r="C834" s="8">
        <f t="shared" ca="1" si="61"/>
        <v>0.25486037361942482</v>
      </c>
      <c r="D834" s="7">
        <f t="shared" ca="1" si="62"/>
        <v>8.110641349994685E-2</v>
      </c>
      <c r="E834" s="7">
        <f t="shared" ca="1" si="63"/>
        <v>0.6096960498477193</v>
      </c>
      <c r="F834" s="7">
        <f t="shared" ca="1" si="64"/>
        <v>2.1164798246194029E-2</v>
      </c>
      <c r="G834" s="7">
        <f t="shared" ca="1" si="60"/>
        <v>280.4579267592988</v>
      </c>
      <c r="H834" s="7">
        <f ca="1">(G834+DCF!$D$40+DCF!$D$41+DCF!$D$42-DCF!$D$43-DCF!$D$44)/DCF!$C$35</f>
        <v>2.2249967646421651</v>
      </c>
    </row>
    <row r="835" spans="3:8" x14ac:dyDescent="0.35">
      <c r="C835" s="8">
        <f t="shared" ca="1" si="61"/>
        <v>0.73913949663828693</v>
      </c>
      <c r="D835" s="7">
        <f t="shared" ca="1" si="62"/>
        <v>9.2937751562245041E-2</v>
      </c>
      <c r="E835" s="7">
        <f t="shared" ca="1" si="63"/>
        <v>0.88787786843318162</v>
      </c>
      <c r="F835" s="7">
        <f t="shared" ca="1" si="64"/>
        <v>2.5264556376287044E-2</v>
      </c>
      <c r="G835" s="7">
        <f t="shared" ca="1" si="60"/>
        <v>241.91379646684157</v>
      </c>
      <c r="H835" s="7">
        <f ca="1">(G835+DCF!$D$40+DCF!$D$41+DCF!$D$42-DCF!$D$43-DCF!$D$44)/DCF!$C$35</f>
        <v>2.0074545460370334</v>
      </c>
    </row>
    <row r="836" spans="3:8" x14ac:dyDescent="0.35">
      <c r="C836" s="8">
        <f t="shared" ca="1" si="61"/>
        <v>0.60818489380915541</v>
      </c>
      <c r="D836" s="7">
        <f t="shared" ca="1" si="62"/>
        <v>8.9089101920075686E-2</v>
      </c>
      <c r="E836" s="7">
        <f t="shared" ca="1" si="63"/>
        <v>0.42809380860646506</v>
      </c>
      <c r="F836" s="7">
        <f t="shared" ca="1" si="64"/>
        <v>1.9253040674356348E-2</v>
      </c>
      <c r="G836" s="7">
        <f t="shared" ca="1" si="60"/>
        <v>240.98719734527745</v>
      </c>
      <c r="H836" s="7">
        <f ca="1">(G836+DCF!$D$40+DCF!$D$41+DCF!$D$42-DCF!$D$43-DCF!$D$44)/DCF!$C$35</f>
        <v>2.0022248410953685</v>
      </c>
    </row>
    <row r="837" spans="3:8" x14ac:dyDescent="0.35">
      <c r="C837" s="8">
        <f t="shared" ca="1" si="61"/>
        <v>0.39982445511177522</v>
      </c>
      <c r="D837" s="7">
        <f t="shared" ca="1" si="62"/>
        <v>8.4119584468265229E-2</v>
      </c>
      <c r="E837" s="7">
        <f t="shared" ca="1" si="63"/>
        <v>0.98292485648829631</v>
      </c>
      <c r="F837" s="7">
        <f t="shared" ca="1" si="64"/>
        <v>2.8152020372855604E-2</v>
      </c>
      <c r="G837" s="7">
        <f t="shared" ca="1" si="60"/>
        <v>290.96827659113967</v>
      </c>
      <c r="H837" s="7">
        <f ca="1">(G837+DCF!$D$40+DCF!$D$41+DCF!$D$42-DCF!$D$43-DCF!$D$44)/DCF!$C$35</f>
        <v>2.2843169465579618</v>
      </c>
    </row>
    <row r="838" spans="3:8" x14ac:dyDescent="0.35">
      <c r="C838" s="8">
        <f t="shared" ca="1" si="61"/>
        <v>0.30538794392155832</v>
      </c>
      <c r="D838" s="7">
        <f t="shared" ca="1" si="62"/>
        <v>8.2157818789047071E-2</v>
      </c>
      <c r="E838" s="7">
        <f t="shared" ca="1" si="63"/>
        <v>0.24589624902382734</v>
      </c>
      <c r="F838" s="7">
        <f t="shared" ca="1" si="64"/>
        <v>1.7012791869488605E-2</v>
      </c>
      <c r="G838" s="7">
        <f t="shared" ca="1" si="60"/>
        <v>262.26968488281193</v>
      </c>
      <c r="H838" s="7">
        <f ca="1">(G838+DCF!$D$40+DCF!$D$41+DCF!$D$42-DCF!$D$43-DCF!$D$44)/DCF!$C$35</f>
        <v>2.1223427298950894</v>
      </c>
    </row>
    <row r="839" spans="3:8" x14ac:dyDescent="0.35">
      <c r="C839" s="8">
        <f t="shared" ca="1" si="61"/>
        <v>0.11594212889209388</v>
      </c>
      <c r="D839" s="7">
        <f t="shared" ca="1" si="62"/>
        <v>7.74910606981771E-2</v>
      </c>
      <c r="E839" s="7">
        <f t="shared" ca="1" si="63"/>
        <v>0.77138105612162466</v>
      </c>
      <c r="F839" s="7">
        <f t="shared" ca="1" si="64"/>
        <v>2.323806323782342E-2</v>
      </c>
      <c r="G839" s="7">
        <f t="shared" ca="1" si="60"/>
        <v>308.11211294730708</v>
      </c>
      <c r="H839" s="7">
        <f ca="1">(G839+DCF!$D$40+DCF!$D$41+DCF!$D$42-DCF!$D$43-DCF!$D$44)/DCF!$C$35</f>
        <v>2.3810763796551928</v>
      </c>
    </row>
    <row r="840" spans="3:8" x14ac:dyDescent="0.35">
      <c r="C840" s="8">
        <f t="shared" ca="1" si="61"/>
        <v>0.27746691276935009</v>
      </c>
      <c r="D840" s="7">
        <f t="shared" ca="1" si="62"/>
        <v>8.1588528197332283E-2</v>
      </c>
      <c r="E840" s="7">
        <f t="shared" ca="1" si="63"/>
        <v>0.76710550795134325</v>
      </c>
      <c r="F840" s="7">
        <f t="shared" ca="1" si="64"/>
        <v>2.3175126491301736E-2</v>
      </c>
      <c r="G840" s="7">
        <f t="shared" ca="1" si="60"/>
        <v>285.27506521182357</v>
      </c>
      <c r="H840" s="7">
        <f ca="1">(G840+DCF!$D$40+DCF!$D$41+DCF!$D$42-DCF!$D$43-DCF!$D$44)/DCF!$C$35</f>
        <v>2.2521845874919491</v>
      </c>
    </row>
    <row r="841" spans="3:8" x14ac:dyDescent="0.35">
      <c r="C841" s="8">
        <f t="shared" ca="1" si="61"/>
        <v>0.29144547420461786</v>
      </c>
      <c r="D841" s="7">
        <f t="shared" ca="1" si="62"/>
        <v>8.1876851835189127E-2</v>
      </c>
      <c r="E841" s="7">
        <f t="shared" ca="1" si="63"/>
        <v>2.5423576611955712E-2</v>
      </c>
      <c r="F841" s="7">
        <f t="shared" ca="1" si="64"/>
        <v>1.2254931334296266E-2</v>
      </c>
      <c r="G841" s="7">
        <f t="shared" ca="1" si="60"/>
        <v>250.23322882137296</v>
      </c>
      <c r="H841" s="7">
        <f ca="1">(G841+DCF!$D$40+DCF!$D$41+DCF!$D$42-DCF!$D$43-DCF!$D$44)/DCF!$C$35</f>
        <v>2.0544092381836152</v>
      </c>
    </row>
    <row r="842" spans="3:8" x14ac:dyDescent="0.35">
      <c r="C842" s="8">
        <f t="shared" ca="1" si="61"/>
        <v>0.18448504292908896</v>
      </c>
      <c r="D842" s="7">
        <f t="shared" ca="1" si="62"/>
        <v>7.9449378856712174E-2</v>
      </c>
      <c r="E842" s="7">
        <f t="shared" ca="1" si="63"/>
        <v>0.34016269622924455</v>
      </c>
      <c r="F842" s="7">
        <f t="shared" ca="1" si="64"/>
        <v>1.8248183996847363E-2</v>
      </c>
      <c r="G842" s="7">
        <f t="shared" ca="1" si="60"/>
        <v>278.42322898632483</v>
      </c>
      <c r="H842" s="7">
        <f ca="1">(G842+DCF!$D$40+DCF!$D$41+DCF!$D$42-DCF!$D$43-DCF!$D$44)/DCF!$C$35</f>
        <v>2.2135129754279537</v>
      </c>
    </row>
    <row r="843" spans="3:8" x14ac:dyDescent="0.35">
      <c r="C843" s="8">
        <f t="shared" ca="1" si="61"/>
        <v>0.7744705619533746</v>
      </c>
      <c r="D843" s="7">
        <f t="shared" ca="1" si="62"/>
        <v>9.4135232341441805E-2</v>
      </c>
      <c r="E843" s="7">
        <f t="shared" ca="1" si="63"/>
        <v>0.53582472134812975</v>
      </c>
      <c r="F843" s="7">
        <f t="shared" ca="1" si="64"/>
        <v>2.036490499629744E-2</v>
      </c>
      <c r="G843" s="7">
        <f t="shared" ca="1" si="60"/>
        <v>226.16216449609661</v>
      </c>
      <c r="H843" s="7">
        <f ca="1">(G843+DCF!$D$40+DCF!$D$41+DCF!$D$42-DCF!$D$43-DCF!$D$44)/DCF!$C$35</f>
        <v>1.9185526836894489</v>
      </c>
    </row>
    <row r="844" spans="3:8" x14ac:dyDescent="0.35">
      <c r="C844" s="8">
        <f t="shared" ca="1" si="61"/>
        <v>0.10962480172434774</v>
      </c>
      <c r="D844" s="7">
        <f t="shared" ca="1" si="62"/>
        <v>7.7284119990402717E-2</v>
      </c>
      <c r="E844" s="7">
        <f t="shared" ca="1" si="63"/>
        <v>0.49735511489189177</v>
      </c>
      <c r="F844" s="7">
        <f t="shared" ca="1" si="64"/>
        <v>1.9973516079015381E-2</v>
      </c>
      <c r="G844" s="7">
        <f t="shared" ca="1" si="60"/>
        <v>295.75974062723083</v>
      </c>
      <c r="H844" s="7">
        <f ca="1">(G844+DCF!$D$40+DCF!$D$41+DCF!$D$42-DCF!$D$43-DCF!$D$44)/DCF!$C$35</f>
        <v>2.3113598635694257</v>
      </c>
    </row>
    <row r="845" spans="3:8" x14ac:dyDescent="0.35">
      <c r="C845" s="8">
        <f t="shared" ca="1" si="61"/>
        <v>0.38863071438781271</v>
      </c>
      <c r="D845" s="7">
        <f t="shared" ca="1" si="62"/>
        <v>8.3879354473076262E-2</v>
      </c>
      <c r="E845" s="7">
        <f t="shared" ca="1" si="63"/>
        <v>0.61466758914182151</v>
      </c>
      <c r="F845" s="7">
        <f t="shared" ca="1" si="64"/>
        <v>2.1221248256634906E-2</v>
      </c>
      <c r="G845" s="7">
        <f t="shared" ca="1" si="60"/>
        <v>267.61127379824325</v>
      </c>
      <c r="H845" s="7">
        <f ca="1">(G845+DCF!$D$40+DCF!$D$41+DCF!$D$42-DCF!$D$43-DCF!$D$44)/DCF!$C$35</f>
        <v>2.1524905395543699</v>
      </c>
    </row>
    <row r="846" spans="3:8" x14ac:dyDescent="0.35">
      <c r="C846" s="8">
        <f t="shared" ca="1" si="61"/>
        <v>0.73692465581929723</v>
      </c>
      <c r="D846" s="7">
        <f t="shared" ca="1" si="62"/>
        <v>9.28654709984294E-2</v>
      </c>
      <c r="E846" s="7">
        <f t="shared" ca="1" si="63"/>
        <v>0.1618572651085064</v>
      </c>
      <c r="F846" s="7">
        <f t="shared" ca="1" si="64"/>
        <v>1.568959163927441E-2</v>
      </c>
      <c r="G846" s="7">
        <f t="shared" ca="1" si="60"/>
        <v>220.48243517355604</v>
      </c>
      <c r="H846" s="7">
        <f ca="1">(G846+DCF!$D$40+DCF!$D$41+DCF!$D$42-DCF!$D$43-DCF!$D$44)/DCF!$C$35</f>
        <v>1.8864964170535954</v>
      </c>
    </row>
    <row r="847" spans="3:8" x14ac:dyDescent="0.35">
      <c r="C847" s="8">
        <f t="shared" ca="1" si="61"/>
        <v>0.50733205458729713</v>
      </c>
      <c r="D847" s="7">
        <f t="shared" ca="1" si="62"/>
        <v>8.6551813991684212E-2</v>
      </c>
      <c r="E847" s="7">
        <f t="shared" ca="1" si="63"/>
        <v>0.23755820966946528</v>
      </c>
      <c r="F847" s="7">
        <f t="shared" ca="1" si="64"/>
        <v>1.6892868918954796E-2</v>
      </c>
      <c r="G847" s="7">
        <f t="shared" ca="1" si="60"/>
        <v>244.44713349450325</v>
      </c>
      <c r="H847" s="7">
        <f ca="1">(G847+DCF!$D$40+DCF!$D$41+DCF!$D$42-DCF!$D$43-DCF!$D$44)/DCF!$C$35</f>
        <v>2.021752644172611</v>
      </c>
    </row>
    <row r="848" spans="3:8" x14ac:dyDescent="0.35">
      <c r="C848" s="8">
        <f t="shared" ca="1" si="61"/>
        <v>2.9355350661707025E-2</v>
      </c>
      <c r="D848" s="7">
        <f t="shared" ca="1" si="62"/>
        <v>7.3769348713009483E-2</v>
      </c>
      <c r="E848" s="7">
        <f t="shared" ca="1" si="63"/>
        <v>0.43145026515208851</v>
      </c>
      <c r="F848" s="7">
        <f t="shared" ca="1" si="64"/>
        <v>1.9289243942884574E-2</v>
      </c>
      <c r="G848" s="7">
        <f t="shared" ref="G848:G911" ca="1" si="65">$C$11/(1+D848)^1
 +$D$11/(1+D848)^2
 +$E$11/(1+D848)^3
 +$F$11/(1+D848)^4
 +$G$11/(1+D848)^5
 +$H$11/(1+D848)^6
 +$I$11/(1+D848)^7
 + ( $I$11*(1+F848)/(D848-F848) )/(1+D848)^7</f>
        <v>312.9805174300385</v>
      </c>
      <c r="H848" s="7">
        <f ca="1">(G848+DCF!$D$40+DCF!$D$41+DCF!$D$42-DCF!$D$43-DCF!$D$44)/DCF!$C$35</f>
        <v>2.4085535468452335</v>
      </c>
    </row>
    <row r="849" spans="3:8" x14ac:dyDescent="0.35">
      <c r="C849" s="8">
        <f t="shared" ref="C849:C912" ca="1" si="66">RAND()</f>
        <v>0.4254559841034784</v>
      </c>
      <c r="D849" s="7">
        <f t="shared" ref="D849:D912" ca="1" si="67">IF(C849&lt;($C$6-0.07)/(0.11-0.07),0.07+SQRT(C849*(0.11-0.07)*($C$6-0.07)),0.11-SQRT((1-C849)*(0.11-0.07)*(0.11-$C$6)))</f>
        <v>8.4678248051516691E-2</v>
      </c>
      <c r="E849" s="7">
        <f t="shared" ref="E849:E912" ca="1" si="68">RAND()</f>
        <v>0.59963009342769658</v>
      </c>
      <c r="F849" s="7">
        <f t="shared" ref="F849:F912" ca="1" si="69">MIN(
 IF(E849&lt;(0.02-0.01)/(0.03-0.01),
   0.01+SQRT(E849*(0.03-0.01)*(0.02-0.01)),
   0.03-SQRT((1-E849)*(0.03-0.01)*(0.03-0.02))
 ),
 D849-0.005
)</f>
        <v>2.1051593364488811E-2</v>
      </c>
      <c r="G849" s="7">
        <f t="shared" ca="1" si="65"/>
        <v>263.54582200973095</v>
      </c>
      <c r="H849" s="7">
        <f ca="1">(G849+DCF!$D$40+DCF!$D$41+DCF!$D$42-DCF!$D$43-DCF!$D$44)/DCF!$C$35</f>
        <v>2.1295452196056606</v>
      </c>
    </row>
    <row r="850" spans="3:8" x14ac:dyDescent="0.35">
      <c r="C850" s="8">
        <f t="shared" ca="1" si="66"/>
        <v>0.69403009687269213</v>
      </c>
      <c r="D850" s="7">
        <f t="shared" ca="1" si="67"/>
        <v>9.1521298425211922E-2</v>
      </c>
      <c r="E850" s="7">
        <f t="shared" ca="1" si="68"/>
        <v>0.18764830559261703</v>
      </c>
      <c r="F850" s="7">
        <f t="shared" ca="1" si="69"/>
        <v>1.6126145698440692E-2</v>
      </c>
      <c r="G850" s="7">
        <f t="shared" ca="1" si="65"/>
        <v>225.56351561934343</v>
      </c>
      <c r="H850" s="7">
        <f ca="1">(G850+DCF!$D$40+DCF!$D$41+DCF!$D$42-DCF!$D$43-DCF!$D$44)/DCF!$C$35</f>
        <v>1.9151739226737974</v>
      </c>
    </row>
    <row r="851" spans="3:8" x14ac:dyDescent="0.35">
      <c r="C851" s="8">
        <f t="shared" ca="1" si="66"/>
        <v>0.55954546256968019</v>
      </c>
      <c r="D851" s="7">
        <f t="shared" ca="1" si="67"/>
        <v>8.7829134798744629E-2</v>
      </c>
      <c r="E851" s="7">
        <f t="shared" ca="1" si="68"/>
        <v>0.47326563825320156</v>
      </c>
      <c r="F851" s="7">
        <f t="shared" ca="1" si="69"/>
        <v>1.9728983896103454E-2</v>
      </c>
      <c r="G851" s="7">
        <f t="shared" ca="1" si="65"/>
        <v>246.91584884915247</v>
      </c>
      <c r="H851" s="7">
        <f ca="1">(G851+DCF!$D$40+DCF!$D$41+DCF!$D$42-DCF!$D$43-DCF!$D$44)/DCF!$C$35</f>
        <v>2.0356860190154218</v>
      </c>
    </row>
    <row r="852" spans="3:8" x14ac:dyDescent="0.35">
      <c r="C852" s="8">
        <f t="shared" ca="1" si="66"/>
        <v>0.39079626512401233</v>
      </c>
      <c r="D852" s="7">
        <f t="shared" ca="1" si="67"/>
        <v>8.3925656899518988E-2</v>
      </c>
      <c r="E852" s="7">
        <f t="shared" ca="1" si="68"/>
        <v>0.55005076102975603</v>
      </c>
      <c r="F852" s="7">
        <f t="shared" ca="1" si="69"/>
        <v>2.0513702102819626E-2</v>
      </c>
      <c r="G852" s="7">
        <f t="shared" ca="1" si="65"/>
        <v>265.19265983282924</v>
      </c>
      <c r="H852" s="7">
        <f ca="1">(G852+DCF!$D$40+DCF!$D$41+DCF!$D$42-DCF!$D$43-DCF!$D$44)/DCF!$C$35</f>
        <v>2.1388399358439396</v>
      </c>
    </row>
    <row r="853" spans="3:8" x14ac:dyDescent="0.35">
      <c r="C853" s="8">
        <f t="shared" ca="1" si="66"/>
        <v>0.36124125630227266</v>
      </c>
      <c r="D853" s="7">
        <f t="shared" ca="1" si="67"/>
        <v>8.3300659971327684E-2</v>
      </c>
      <c r="E853" s="7">
        <f t="shared" ca="1" si="68"/>
        <v>0.41866799811597366</v>
      </c>
      <c r="F853" s="7">
        <f t="shared" ca="1" si="69"/>
        <v>1.9150606516684821E-2</v>
      </c>
      <c r="G853" s="7">
        <f t="shared" ca="1" si="65"/>
        <v>263.75514602480024</v>
      </c>
      <c r="H853" s="7">
        <f ca="1">(G853+DCF!$D$40+DCF!$D$41+DCF!$D$42-DCF!$D$43-DCF!$D$44)/DCF!$C$35</f>
        <v>2.1307266397155447</v>
      </c>
    </row>
    <row r="854" spans="3:8" x14ac:dyDescent="0.35">
      <c r="C854" s="8">
        <f t="shared" ca="1" si="66"/>
        <v>0.44163269155546037</v>
      </c>
      <c r="D854" s="7">
        <f t="shared" ca="1" si="67"/>
        <v>8.5037269455764536E-2</v>
      </c>
      <c r="E854" s="7">
        <f t="shared" ca="1" si="68"/>
        <v>0.24061592152332489</v>
      </c>
      <c r="F854" s="7">
        <f t="shared" ca="1" si="69"/>
        <v>1.6937087595285574E-2</v>
      </c>
      <c r="G854" s="7">
        <f t="shared" ca="1" si="65"/>
        <v>250.32973096702966</v>
      </c>
      <c r="H854" s="7">
        <f ca="1">(G854+DCF!$D$40+DCF!$D$41+DCF!$D$42-DCF!$D$43-DCF!$D$44)/DCF!$C$35</f>
        <v>2.05495389415865</v>
      </c>
    </row>
    <row r="855" spans="3:8" x14ac:dyDescent="0.35">
      <c r="C855" s="8">
        <f t="shared" ca="1" si="66"/>
        <v>0.2357903700394044</v>
      </c>
      <c r="D855" s="7">
        <f t="shared" ca="1" si="67"/>
        <v>8.0682815129874325E-2</v>
      </c>
      <c r="E855" s="7">
        <f t="shared" ca="1" si="68"/>
        <v>0.1455186837708542</v>
      </c>
      <c r="F855" s="7">
        <f t="shared" ca="1" si="69"/>
        <v>1.5394787924855883E-2</v>
      </c>
      <c r="G855" s="7">
        <f t="shared" ca="1" si="65"/>
        <v>263.77348241509765</v>
      </c>
      <c r="H855" s="7">
        <f ca="1">(G855+DCF!$D$40+DCF!$D$41+DCF!$D$42-DCF!$D$43-DCF!$D$44)/DCF!$C$35</f>
        <v>2.1308301298967018</v>
      </c>
    </row>
    <row r="856" spans="3:8" x14ac:dyDescent="0.35">
      <c r="C856" s="8">
        <f t="shared" ca="1" si="66"/>
        <v>0.9316149798718999</v>
      </c>
      <c r="D856" s="7">
        <f t="shared" ca="1" si="67"/>
        <v>0.10126400077478485</v>
      </c>
      <c r="E856" s="7">
        <f t="shared" ca="1" si="68"/>
        <v>0.39906629372806757</v>
      </c>
      <c r="F856" s="7">
        <f t="shared" ca="1" si="69"/>
        <v>1.8933826657463952E-2</v>
      </c>
      <c r="G856" s="7">
        <f t="shared" ca="1" si="65"/>
        <v>202.61372164266376</v>
      </c>
      <c r="H856" s="7">
        <f ca="1">(G856+DCF!$D$40+DCF!$D$41+DCF!$D$42-DCF!$D$43-DCF!$D$44)/DCF!$C$35</f>
        <v>1.785645793219685</v>
      </c>
    </row>
    <row r="857" spans="3:8" x14ac:dyDescent="0.35">
      <c r="C857" s="8">
        <f t="shared" ca="1" si="66"/>
        <v>0.37900951777565961</v>
      </c>
      <c r="D857" s="7">
        <f t="shared" ca="1" si="67"/>
        <v>8.3674624823901117E-2</v>
      </c>
      <c r="E857" s="7">
        <f t="shared" ca="1" si="68"/>
        <v>0.75688152689324695</v>
      </c>
      <c r="F857" s="7">
        <f t="shared" ca="1" si="69"/>
        <v>2.3026930760321491E-2</v>
      </c>
      <c r="G857" s="7">
        <f t="shared" ca="1" si="65"/>
        <v>274.46528811322605</v>
      </c>
      <c r="H857" s="7">
        <f ca="1">(G857+DCF!$D$40+DCF!$D$41+DCF!$D$42-DCF!$D$43-DCF!$D$44)/DCF!$C$35</f>
        <v>2.1911744447072246</v>
      </c>
    </row>
    <row r="858" spans="3:8" x14ac:dyDescent="0.35">
      <c r="C858" s="8">
        <f t="shared" ca="1" si="66"/>
        <v>0.96727919633997916</v>
      </c>
      <c r="D858" s="7">
        <f t="shared" ca="1" si="67"/>
        <v>0.10395711849490798</v>
      </c>
      <c r="E858" s="7">
        <f t="shared" ca="1" si="68"/>
        <v>0.12496830112594104</v>
      </c>
      <c r="F858" s="7">
        <f t="shared" ca="1" si="69"/>
        <v>1.4999365982320979E-2</v>
      </c>
      <c r="G858" s="7">
        <f t="shared" ca="1" si="65"/>
        <v>189.97533532390196</v>
      </c>
      <c r="H858" s="7">
        <f ca="1">(G858+DCF!$D$40+DCF!$D$41+DCF!$D$42-DCF!$D$43-DCF!$D$44)/DCF!$C$35</f>
        <v>1.7143150204532225</v>
      </c>
    </row>
    <row r="859" spans="3:8" x14ac:dyDescent="0.35">
      <c r="C859" s="8">
        <f t="shared" ca="1" si="66"/>
        <v>0.20259380716652231</v>
      </c>
      <c r="D859" s="7">
        <f t="shared" ca="1" si="67"/>
        <v>7.990229279856928E-2</v>
      </c>
      <c r="E859" s="7">
        <f t="shared" ca="1" si="68"/>
        <v>0.28656577180760123</v>
      </c>
      <c r="F859" s="7">
        <f t="shared" ca="1" si="69"/>
        <v>1.757054518258231E-2</v>
      </c>
      <c r="G859" s="7">
        <f t="shared" ca="1" si="65"/>
        <v>274.02795979329085</v>
      </c>
      <c r="H859" s="7">
        <f ca="1">(G859+DCF!$D$40+DCF!$D$41+DCF!$D$42-DCF!$D$43-DCF!$D$44)/DCF!$C$35</f>
        <v>2.1887061733451341</v>
      </c>
    </row>
    <row r="860" spans="3:8" x14ac:dyDescent="0.35">
      <c r="C860" s="8">
        <f t="shared" ca="1" si="66"/>
        <v>0.8103712450469851</v>
      </c>
      <c r="D860" s="7">
        <f t="shared" ca="1" si="67"/>
        <v>9.5452639740228995E-2</v>
      </c>
      <c r="E860" s="7">
        <f t="shared" ca="1" si="68"/>
        <v>0.38214732664975459</v>
      </c>
      <c r="F860" s="7">
        <f t="shared" ca="1" si="69"/>
        <v>1.8742394713689776E-2</v>
      </c>
      <c r="G860" s="7">
        <f t="shared" ca="1" si="65"/>
        <v>218.67001272800627</v>
      </c>
      <c r="H860" s="7">
        <f ca="1">(G860+DCF!$D$40+DCF!$D$41+DCF!$D$42-DCF!$D$43-DCF!$D$44)/DCF!$C$35</f>
        <v>1.8762671448696595</v>
      </c>
    </row>
    <row r="861" spans="3:8" x14ac:dyDescent="0.35">
      <c r="C861" s="8">
        <f t="shared" ca="1" si="66"/>
        <v>0.56832288753549731</v>
      </c>
      <c r="D861" s="7">
        <f t="shared" ca="1" si="67"/>
        <v>8.8051158173826471E-2</v>
      </c>
      <c r="E861" s="7">
        <f t="shared" ca="1" si="68"/>
        <v>0.48240582086882278</v>
      </c>
      <c r="F861" s="7">
        <f t="shared" ca="1" si="69"/>
        <v>1.9822482587093987E-2</v>
      </c>
      <c r="G861" s="7">
        <f t="shared" ca="1" si="65"/>
        <v>246.31096912419298</v>
      </c>
      <c r="H861" s="7">
        <f ca="1">(G861+DCF!$D$40+DCF!$D$41+DCF!$D$42-DCF!$D$43-DCF!$D$44)/DCF!$C$35</f>
        <v>2.0322720912303476</v>
      </c>
    </row>
    <row r="862" spans="3:8" x14ac:dyDescent="0.35">
      <c r="C862" s="8">
        <f t="shared" ca="1" si="66"/>
        <v>0.61634766820531506</v>
      </c>
      <c r="D862" s="7">
        <f t="shared" ca="1" si="67"/>
        <v>8.9308069150442523E-2</v>
      </c>
      <c r="E862" s="7">
        <f t="shared" ca="1" si="68"/>
        <v>0.19333358583531046</v>
      </c>
      <c r="F862" s="7">
        <f t="shared" ca="1" si="69"/>
        <v>1.6218256762715905E-2</v>
      </c>
      <c r="G862" s="7">
        <f t="shared" ca="1" si="65"/>
        <v>233.04200467752463</v>
      </c>
      <c r="H862" s="7">
        <f ca="1">(G862+DCF!$D$40+DCF!$D$41+DCF!$D$42-DCF!$D$43-DCF!$D$44)/DCF!$C$35</f>
        <v>1.9573823494611391</v>
      </c>
    </row>
    <row r="863" spans="3:8" x14ac:dyDescent="0.35">
      <c r="C863" s="8">
        <f t="shared" ca="1" si="66"/>
        <v>0.72563753265837161</v>
      </c>
      <c r="D863" s="7">
        <f t="shared" ca="1" si="67"/>
        <v>9.2501756843806945E-2</v>
      </c>
      <c r="E863" s="7">
        <f t="shared" ca="1" si="68"/>
        <v>0.77054508683666323</v>
      </c>
      <c r="F863" s="7">
        <f t="shared" ca="1" si="69"/>
        <v>2.3225711651201481E-2</v>
      </c>
      <c r="G863" s="7">
        <f t="shared" ca="1" si="65"/>
        <v>238.37811393260893</v>
      </c>
      <c r="H863" s="7">
        <f ca="1">(G863+DCF!$D$40+DCF!$D$41+DCF!$D$42-DCF!$D$43-DCF!$D$44)/DCF!$C$35</f>
        <v>1.9874992320386551</v>
      </c>
    </row>
    <row r="864" spans="3:8" x14ac:dyDescent="0.35">
      <c r="C864" s="8">
        <f t="shared" ca="1" si="66"/>
        <v>0.91454734510055402</v>
      </c>
      <c r="D864" s="7">
        <f t="shared" ca="1" si="67"/>
        <v>0.10023449116186045</v>
      </c>
      <c r="E864" s="7">
        <f t="shared" ca="1" si="68"/>
        <v>0.13446863330558967</v>
      </c>
      <c r="F864" s="7">
        <f t="shared" ca="1" si="69"/>
        <v>1.5185916183387264E-2</v>
      </c>
      <c r="G864" s="7">
        <f t="shared" ca="1" si="65"/>
        <v>199.19607140736883</v>
      </c>
      <c r="H864" s="7">
        <f ca="1">(G864+DCF!$D$40+DCF!$D$41+DCF!$D$42-DCF!$D$43-DCF!$D$44)/DCF!$C$35</f>
        <v>1.7663566509051181</v>
      </c>
    </row>
    <row r="865" spans="3:8" x14ac:dyDescent="0.35">
      <c r="C865" s="8">
        <f t="shared" ca="1" si="66"/>
        <v>0.67437620518470909</v>
      </c>
      <c r="D865" s="7">
        <f t="shared" ca="1" si="67"/>
        <v>9.0937047578775618E-2</v>
      </c>
      <c r="E865" s="7">
        <f t="shared" ca="1" si="68"/>
        <v>0.11877634949642601</v>
      </c>
      <c r="F865" s="7">
        <f t="shared" ca="1" si="69"/>
        <v>1.4873937822673284E-2</v>
      </c>
      <c r="G865" s="7">
        <f t="shared" ca="1" si="65"/>
        <v>224.81065089111291</v>
      </c>
      <c r="H865" s="7">
        <f ca="1">(G865+DCF!$D$40+DCF!$D$41+DCF!$D$42-DCF!$D$43-DCF!$D$44)/DCF!$C$35</f>
        <v>1.9109247708043395</v>
      </c>
    </row>
    <row r="866" spans="3:8" x14ac:dyDescent="0.35">
      <c r="C866" s="8">
        <f t="shared" ca="1" si="66"/>
        <v>0.95239108735971423</v>
      </c>
      <c r="D866" s="7">
        <f t="shared" ca="1" si="67"/>
        <v>0.10271086105863259</v>
      </c>
      <c r="E866" s="7">
        <f t="shared" ca="1" si="68"/>
        <v>0.29794333924784222</v>
      </c>
      <c r="F866" s="7">
        <f t="shared" ca="1" si="69"/>
        <v>1.7719369653641962E-2</v>
      </c>
      <c r="G866" s="7">
        <f t="shared" ca="1" si="65"/>
        <v>196.96785391247747</v>
      </c>
      <c r="H866" s="7">
        <f ca="1">(G866+DCF!$D$40+DCF!$D$41+DCF!$D$42-DCF!$D$43-DCF!$D$44)/DCF!$C$35</f>
        <v>1.7537806406619114</v>
      </c>
    </row>
    <row r="867" spans="3:8" x14ac:dyDescent="0.35">
      <c r="C867" s="8">
        <f t="shared" ca="1" si="66"/>
        <v>0.61171515907945972</v>
      </c>
      <c r="D867" s="7">
        <f t="shared" ca="1" si="67"/>
        <v>8.9183518970120751E-2</v>
      </c>
      <c r="E867" s="7">
        <f t="shared" ca="1" si="68"/>
        <v>0.34210023516383592</v>
      </c>
      <c r="F867" s="7">
        <f t="shared" ca="1" si="69"/>
        <v>1.8271641132977613E-2</v>
      </c>
      <c r="G867" s="7">
        <f t="shared" ca="1" si="65"/>
        <v>238.25436795122255</v>
      </c>
      <c r="H867" s="7">
        <f ca="1">(G867+DCF!$D$40+DCF!$D$41+DCF!$D$42-DCF!$D$43-DCF!$D$44)/DCF!$C$35</f>
        <v>1.9868008124575152</v>
      </c>
    </row>
    <row r="868" spans="3:8" x14ac:dyDescent="0.35">
      <c r="C868" s="8">
        <f t="shared" ca="1" si="66"/>
        <v>0.34565394375896374</v>
      </c>
      <c r="D868" s="7">
        <f t="shared" ca="1" si="67"/>
        <v>8.2976858088575342E-2</v>
      </c>
      <c r="E868" s="7">
        <f t="shared" ca="1" si="68"/>
        <v>0.75926016627828519</v>
      </c>
      <c r="F868" s="7">
        <f t="shared" ca="1" si="69"/>
        <v>2.3061126406660592E-2</v>
      </c>
      <c r="G868" s="7">
        <f t="shared" ca="1" si="65"/>
        <v>277.93759981229499</v>
      </c>
      <c r="H868" s="7">
        <f ca="1">(G868+DCF!$D$40+DCF!$D$41+DCF!$D$42-DCF!$D$43-DCF!$D$44)/DCF!$C$35</f>
        <v>2.2107720951139798</v>
      </c>
    </row>
    <row r="869" spans="3:8" x14ac:dyDescent="0.35">
      <c r="C869" s="8">
        <f t="shared" ca="1" si="66"/>
        <v>0.68374474101649896</v>
      </c>
      <c r="D869" s="7">
        <f t="shared" ca="1" si="67"/>
        <v>9.1213279449952236E-2</v>
      </c>
      <c r="E869" s="7">
        <f t="shared" ca="1" si="68"/>
        <v>0.8881946587746109</v>
      </c>
      <c r="F869" s="7">
        <f t="shared" ca="1" si="69"/>
        <v>2.52712508794526E-2</v>
      </c>
      <c r="G869" s="7">
        <f t="shared" ca="1" si="65"/>
        <v>248.59053252234847</v>
      </c>
      <c r="H869" s="7">
        <f ca="1">(G869+DCF!$D$40+DCF!$D$41+DCF!$D$42-DCF!$D$43-DCF!$D$44)/DCF!$C$35</f>
        <v>2.0451378966155795</v>
      </c>
    </row>
    <row r="870" spans="3:8" x14ac:dyDescent="0.35">
      <c r="C870" s="8">
        <f t="shared" ca="1" si="66"/>
        <v>0.43978685737692036</v>
      </c>
      <c r="D870" s="7">
        <f t="shared" ca="1" si="67"/>
        <v>8.4996042969814625E-2</v>
      </c>
      <c r="E870" s="7">
        <f t="shared" ca="1" si="68"/>
        <v>0.45482405268707338</v>
      </c>
      <c r="F870" s="7">
        <f t="shared" ca="1" si="69"/>
        <v>1.9537547406823973E-2</v>
      </c>
      <c r="G870" s="7">
        <f t="shared" ca="1" si="65"/>
        <v>257.69916269507462</v>
      </c>
      <c r="H870" s="7">
        <f ca="1">(G870+DCF!$D$40+DCF!$D$41+DCF!$D$42-DCF!$D$43-DCF!$D$44)/DCF!$C$35</f>
        <v>2.0965468037875303</v>
      </c>
    </row>
    <row r="871" spans="3:8" x14ac:dyDescent="0.35">
      <c r="C871" s="8">
        <f t="shared" ca="1" si="66"/>
        <v>0.95302372610773434</v>
      </c>
      <c r="D871" s="7">
        <f t="shared" ca="1" si="67"/>
        <v>0.10275945294444069</v>
      </c>
      <c r="E871" s="7">
        <f t="shared" ca="1" si="68"/>
        <v>0.43908137607485698</v>
      </c>
      <c r="F871" s="7">
        <f t="shared" ca="1" si="69"/>
        <v>1.9371033839175451E-2</v>
      </c>
      <c r="G871" s="7">
        <f t="shared" ca="1" si="65"/>
        <v>199.45676927175114</v>
      </c>
      <c r="H871" s="7">
        <f ca="1">(G871+DCF!$D$40+DCF!$D$41+DCF!$D$42-DCF!$D$43-DCF!$D$44)/DCF!$C$35</f>
        <v>1.7678280238839095</v>
      </c>
    </row>
    <row r="872" spans="3:8" x14ac:dyDescent="0.35">
      <c r="C872" s="8">
        <f t="shared" ca="1" si="66"/>
        <v>0.62832157607975303</v>
      </c>
      <c r="D872" s="7">
        <f t="shared" ca="1" si="67"/>
        <v>8.9633529488519728E-2</v>
      </c>
      <c r="E872" s="7">
        <f t="shared" ca="1" si="68"/>
        <v>0.28618242622084922</v>
      </c>
      <c r="F872" s="7">
        <f t="shared" ca="1" si="69"/>
        <v>1.7565479842294861E-2</v>
      </c>
      <c r="G872" s="7">
        <f t="shared" ca="1" si="65"/>
        <v>235.00809846096865</v>
      </c>
      <c r="H872" s="7">
        <f ca="1">(G872+DCF!$D$40+DCF!$D$41+DCF!$D$42-DCF!$D$43-DCF!$D$44)/DCF!$C$35</f>
        <v>1.9684789392762649</v>
      </c>
    </row>
    <row r="873" spans="3:8" x14ac:dyDescent="0.35">
      <c r="C873" s="8">
        <f t="shared" ca="1" si="66"/>
        <v>0.81197307587188849</v>
      </c>
      <c r="D873" s="7">
        <f t="shared" ca="1" si="67"/>
        <v>9.5514212229672407E-2</v>
      </c>
      <c r="E873" s="7">
        <f t="shared" ca="1" si="68"/>
        <v>6.8708720538301127E-2</v>
      </c>
      <c r="F873" s="7">
        <f t="shared" ca="1" si="69"/>
        <v>1.370698585209874E-2</v>
      </c>
      <c r="G873" s="7">
        <f t="shared" ca="1" si="65"/>
        <v>209.1387863187465</v>
      </c>
      <c r="H873" s="7">
        <f ca="1">(G873+DCF!$D$40+DCF!$D$41+DCF!$D$42-DCF!$D$43-DCF!$D$44)/DCF!$C$35</f>
        <v>1.8224731138883987</v>
      </c>
    </row>
    <row r="874" spans="3:8" x14ac:dyDescent="0.35">
      <c r="C874" s="8">
        <f t="shared" ca="1" si="66"/>
        <v>0.82351880930417043</v>
      </c>
      <c r="D874" s="7">
        <f t="shared" ca="1" si="67"/>
        <v>9.5966005243817931E-2</v>
      </c>
      <c r="E874" s="7">
        <f t="shared" ca="1" si="68"/>
        <v>0.61989446244415325</v>
      </c>
      <c r="F874" s="7">
        <f t="shared" ca="1" si="69"/>
        <v>2.1280991598170734E-2</v>
      </c>
      <c r="G874" s="7">
        <f t="shared" ca="1" si="65"/>
        <v>222.24085501937441</v>
      </c>
      <c r="H874" s="7">
        <f ca="1">(G874+DCF!$D$40+DCF!$D$41+DCF!$D$42-DCF!$D$43-DCF!$D$44)/DCF!$C$35</f>
        <v>1.8964208997594221</v>
      </c>
    </row>
    <row r="875" spans="3:8" x14ac:dyDescent="0.35">
      <c r="C875" s="8">
        <f t="shared" ca="1" si="66"/>
        <v>0.18963317478116681</v>
      </c>
      <c r="D875" s="7">
        <f t="shared" ca="1" si="67"/>
        <v>7.9580316100948068E-2</v>
      </c>
      <c r="E875" s="7">
        <f t="shared" ca="1" si="68"/>
        <v>0.41685880486241533</v>
      </c>
      <c r="F875" s="7">
        <f t="shared" ca="1" si="69"/>
        <v>1.9130813817644244E-2</v>
      </c>
      <c r="G875" s="7">
        <f t="shared" ca="1" si="65"/>
        <v>280.82653165668768</v>
      </c>
      <c r="H875" s="7">
        <f ca="1">(G875+DCF!$D$40+DCF!$D$41+DCF!$D$42-DCF!$D$43-DCF!$D$44)/DCF!$C$35</f>
        <v>2.227077162527868</v>
      </c>
    </row>
    <row r="876" spans="3:8" x14ac:dyDescent="0.35">
      <c r="C876" s="8">
        <f t="shared" ca="1" si="66"/>
        <v>0.29415185961938373</v>
      </c>
      <c r="D876" s="7">
        <f t="shared" ca="1" si="67"/>
        <v>8.1931869093138002E-2</v>
      </c>
      <c r="E876" s="7">
        <f t="shared" ca="1" si="68"/>
        <v>0.52711047759691698</v>
      </c>
      <c r="F876" s="7">
        <f t="shared" ca="1" si="69"/>
        <v>2.0274882803759296E-2</v>
      </c>
      <c r="G876" s="7">
        <f t="shared" ca="1" si="65"/>
        <v>273.47209681072832</v>
      </c>
      <c r="H876" s="7">
        <f ca="1">(G876+DCF!$D$40+DCF!$D$41+DCF!$D$42-DCF!$D$43-DCF!$D$44)/DCF!$C$35</f>
        <v>2.1855688949696823</v>
      </c>
    </row>
    <row r="877" spans="3:8" x14ac:dyDescent="0.35">
      <c r="C877" s="8">
        <f t="shared" ca="1" si="66"/>
        <v>0.98723765569987476</v>
      </c>
      <c r="D877" s="7">
        <f t="shared" ca="1" si="67"/>
        <v>0.1062260397141809</v>
      </c>
      <c r="E877" s="7">
        <f t="shared" ca="1" si="68"/>
        <v>0.11616270661449712</v>
      </c>
      <c r="F877" s="7">
        <f t="shared" ca="1" si="69"/>
        <v>1.4820014660029513E-2</v>
      </c>
      <c r="G877" s="7">
        <f t="shared" ca="1" si="65"/>
        <v>184.65842948766164</v>
      </c>
      <c r="H877" s="7">
        <f ca="1">(G877+DCF!$D$40+DCF!$D$41+DCF!$D$42-DCF!$D$43-DCF!$D$44)/DCF!$C$35</f>
        <v>1.6843065215467976</v>
      </c>
    </row>
    <row r="878" spans="3:8" x14ac:dyDescent="0.35">
      <c r="C878" s="8">
        <f t="shared" ca="1" si="66"/>
        <v>0.94883083651916678</v>
      </c>
      <c r="D878" s="7">
        <f t="shared" ca="1" si="67"/>
        <v>0.1024432290993699</v>
      </c>
      <c r="E878" s="7">
        <f t="shared" ca="1" si="68"/>
        <v>0.8821074709042378</v>
      </c>
      <c r="F878" s="7">
        <f t="shared" ca="1" si="69"/>
        <v>2.514422963690081E-2</v>
      </c>
      <c r="G878" s="7">
        <f t="shared" ca="1" si="65"/>
        <v>210.35711240609771</v>
      </c>
      <c r="H878" s="7">
        <f ca="1">(G878+DCF!$D$40+DCF!$D$41+DCF!$D$42-DCF!$D$43-DCF!$D$44)/DCF!$C$35</f>
        <v>1.8293493193706836</v>
      </c>
    </row>
    <row r="879" spans="3:8" x14ac:dyDescent="0.35">
      <c r="C879" s="8">
        <f t="shared" ca="1" si="66"/>
        <v>3.6050121536726154E-2</v>
      </c>
      <c r="D879" s="7">
        <f t="shared" ca="1" si="67"/>
        <v>7.417711130133918E-2</v>
      </c>
      <c r="E879" s="7">
        <f t="shared" ca="1" si="68"/>
        <v>0.37651340197210759</v>
      </c>
      <c r="F879" s="7">
        <f t="shared" ca="1" si="69"/>
        <v>1.8677711702656495E-2</v>
      </c>
      <c r="G879" s="7">
        <f t="shared" ca="1" si="65"/>
        <v>307.91076266721916</v>
      </c>
      <c r="H879" s="7">
        <f ca="1">(G879+DCF!$D$40+DCF!$D$41+DCF!$D$42-DCF!$D$43-DCF!$D$44)/DCF!$C$35</f>
        <v>2.3799399631291291</v>
      </c>
    </row>
    <row r="880" spans="3:8" x14ac:dyDescent="0.35">
      <c r="C880" s="8">
        <f t="shared" ca="1" si="66"/>
        <v>0.93810992320040731</v>
      </c>
      <c r="D880" s="7">
        <f t="shared" ca="1" si="67"/>
        <v>0.10168920426743952</v>
      </c>
      <c r="E880" s="7">
        <f t="shared" ca="1" si="68"/>
        <v>0.99387303094997781</v>
      </c>
      <c r="F880" s="7">
        <f t="shared" ca="1" si="69"/>
        <v>2.8893024928011275E-2</v>
      </c>
      <c r="G880" s="7">
        <f t="shared" ca="1" si="65"/>
        <v>220.13171700251593</v>
      </c>
      <c r="H880" s="7">
        <f ca="1">(G880+DCF!$D$40+DCF!$D$41+DCF!$D$42-DCF!$D$43-DCF!$D$44)/DCF!$C$35</f>
        <v>1.8845169714556718</v>
      </c>
    </row>
    <row r="881" spans="3:8" x14ac:dyDescent="0.35">
      <c r="C881" s="8">
        <f t="shared" ca="1" si="66"/>
        <v>7.4385909994048593E-2</v>
      </c>
      <c r="D881" s="7">
        <f t="shared" ca="1" si="67"/>
        <v>7.6000231698619608E-2</v>
      </c>
      <c r="E881" s="7">
        <f t="shared" ca="1" si="68"/>
        <v>0.84621873138819548</v>
      </c>
      <c r="F881" s="7">
        <f t="shared" ca="1" si="69"/>
        <v>2.4454167896306191E-2</v>
      </c>
      <c r="G881" s="7">
        <f t="shared" ca="1" si="65"/>
        <v>323.01684835114315</v>
      </c>
      <c r="H881" s="7">
        <f ca="1">(G881+DCF!$D$40+DCF!$D$41+DCF!$D$42-DCF!$D$43-DCF!$D$44)/DCF!$C$35</f>
        <v>2.465198376516216</v>
      </c>
    </row>
    <row r="882" spans="3:8" x14ac:dyDescent="0.35">
      <c r="C882" s="8">
        <f t="shared" ca="1" si="66"/>
        <v>0.12186377298541073</v>
      </c>
      <c r="D882" s="7">
        <f t="shared" ca="1" si="67"/>
        <v>7.7679978263311619E-2</v>
      </c>
      <c r="E882" s="7">
        <f t="shared" ca="1" si="68"/>
        <v>0.93841899926132311</v>
      </c>
      <c r="F882" s="7">
        <f t="shared" ca="1" si="69"/>
        <v>2.6490555578480353E-2</v>
      </c>
      <c r="G882" s="7">
        <f t="shared" ca="1" si="65"/>
        <v>322.00513826939977</v>
      </c>
      <c r="H882" s="7">
        <f ca="1">(G882+DCF!$D$40+DCF!$D$41+DCF!$D$42-DCF!$D$43-DCF!$D$44)/DCF!$C$35</f>
        <v>2.459488307198328</v>
      </c>
    </row>
    <row r="883" spans="3:8" x14ac:dyDescent="0.35">
      <c r="C883" s="8">
        <f t="shared" ca="1" si="66"/>
        <v>0.21491798448783928</v>
      </c>
      <c r="D883" s="7">
        <f t="shared" ca="1" si="67"/>
        <v>8.0199034488230458E-2</v>
      </c>
      <c r="E883" s="7">
        <f t="shared" ca="1" si="68"/>
        <v>0.53429353766615828</v>
      </c>
      <c r="F883" s="7">
        <f t="shared" ca="1" si="69"/>
        <v>2.0349026346177898E-2</v>
      </c>
      <c r="G883" s="7">
        <f t="shared" ca="1" si="65"/>
        <v>282.05907094617055</v>
      </c>
      <c r="H883" s="7">
        <f ca="1">(G883+DCF!$D$40+DCF!$D$41+DCF!$D$42-DCF!$D$43-DCF!$D$44)/DCF!$C$35</f>
        <v>2.2340335870085255</v>
      </c>
    </row>
    <row r="884" spans="3:8" x14ac:dyDescent="0.35">
      <c r="C884" s="8">
        <f t="shared" ca="1" si="66"/>
        <v>0.1846336817589983</v>
      </c>
      <c r="D884" s="7">
        <f t="shared" ca="1" si="67"/>
        <v>7.9453184752841521E-2</v>
      </c>
      <c r="E884" s="7">
        <f t="shared" ca="1" si="68"/>
        <v>0.62844396300913064</v>
      </c>
      <c r="F884" s="7">
        <f t="shared" ca="1" si="69"/>
        <v>2.1379605148360438E-2</v>
      </c>
      <c r="G884" s="7">
        <f t="shared" ca="1" si="65"/>
        <v>289.62469719854596</v>
      </c>
      <c r="H884" s="7">
        <f ca="1">(G884+DCF!$D$40+DCF!$D$41+DCF!$D$42-DCF!$D$43-DCF!$D$44)/DCF!$C$35</f>
        <v>2.2767338141920415</v>
      </c>
    </row>
    <row r="885" spans="3:8" x14ac:dyDescent="0.35">
      <c r="C885" s="8">
        <f t="shared" ca="1" si="66"/>
        <v>0.55065278803379825</v>
      </c>
      <c r="D885" s="7">
        <f t="shared" ca="1" si="67"/>
        <v>8.7606440913640352E-2</v>
      </c>
      <c r="E885" s="7">
        <f t="shared" ca="1" si="68"/>
        <v>8.2960169404985629E-2</v>
      </c>
      <c r="F885" s="7">
        <f t="shared" ca="1" si="69"/>
        <v>1.407333203667429E-2</v>
      </c>
      <c r="G885" s="7">
        <f t="shared" ca="1" si="65"/>
        <v>233.97903975480534</v>
      </c>
      <c r="H885" s="7">
        <f ca="1">(G885+DCF!$D$40+DCF!$D$41+DCF!$D$42-DCF!$D$43-DCF!$D$44)/DCF!$C$35</f>
        <v>1.9626709547059789</v>
      </c>
    </row>
    <row r="886" spans="3:8" x14ac:dyDescent="0.35">
      <c r="C886" s="8">
        <f t="shared" ca="1" si="66"/>
        <v>0.83848033722622439</v>
      </c>
      <c r="D886" s="7">
        <f t="shared" ca="1" si="67"/>
        <v>9.6574057066427937E-2</v>
      </c>
      <c r="E886" s="7">
        <f t="shared" ca="1" si="68"/>
        <v>0.98038942465822965</v>
      </c>
      <c r="F886" s="7">
        <f t="shared" ca="1" si="69"/>
        <v>2.8019566949287589E-2</v>
      </c>
      <c r="G886" s="7">
        <f t="shared" ca="1" si="65"/>
        <v>235.46573160426419</v>
      </c>
      <c r="H886" s="7">
        <f ca="1">(G886+DCF!$D$40+DCF!$D$41+DCF!$D$42-DCF!$D$43-DCF!$D$44)/DCF!$C$35</f>
        <v>1.9710618106121693</v>
      </c>
    </row>
    <row r="887" spans="3:8" x14ac:dyDescent="0.35">
      <c r="C887" s="8">
        <f t="shared" ca="1" si="66"/>
        <v>0.44338485933010841</v>
      </c>
      <c r="D887" s="7">
        <f t="shared" ca="1" si="67"/>
        <v>8.5076467004302964E-2</v>
      </c>
      <c r="E887" s="7">
        <f t="shared" ca="1" si="68"/>
        <v>0.12781731539651797</v>
      </c>
      <c r="F887" s="7">
        <f t="shared" ca="1" si="69"/>
        <v>1.5056032345555515E-2</v>
      </c>
      <c r="G887" s="7">
        <f t="shared" ca="1" si="65"/>
        <v>245.310298145102</v>
      </c>
      <c r="H887" s="7">
        <f ca="1">(G887+DCF!$D$40+DCF!$D$41+DCF!$D$42-DCF!$D$43-DCF!$D$44)/DCF!$C$35</f>
        <v>2.0266243263635966</v>
      </c>
    </row>
    <row r="888" spans="3:8" x14ac:dyDescent="0.35">
      <c r="C888" s="8">
        <f t="shared" ca="1" si="66"/>
        <v>0.63069457587851863</v>
      </c>
      <c r="D888" s="7">
        <f t="shared" ca="1" si="67"/>
        <v>8.9698648977972598E-2</v>
      </c>
      <c r="E888" s="7">
        <f t="shared" ca="1" si="68"/>
        <v>0.83153675537608673</v>
      </c>
      <c r="F888" s="7">
        <f t="shared" ca="1" si="69"/>
        <v>2.4195463074044351E-2</v>
      </c>
      <c r="G888" s="7">
        <f t="shared" ca="1" si="65"/>
        <v>251.66794802470696</v>
      </c>
      <c r="H888" s="7">
        <f ca="1">(G888+DCF!$D$40+DCF!$D$41+DCF!$D$42-DCF!$D$43-DCF!$D$44)/DCF!$C$35</f>
        <v>2.0625067616249404</v>
      </c>
    </row>
    <row r="889" spans="3:8" x14ac:dyDescent="0.35">
      <c r="C889" s="8">
        <f t="shared" ca="1" si="66"/>
        <v>0.50248916352585848</v>
      </c>
      <c r="D889" s="7">
        <f t="shared" ca="1" si="67"/>
        <v>8.6436848820560061E-2</v>
      </c>
      <c r="E889" s="7">
        <f t="shared" ca="1" si="68"/>
        <v>0.83843561940790745</v>
      </c>
      <c r="F889" s="7">
        <f t="shared" ca="1" si="69"/>
        <v>2.4315558416306969E-2</v>
      </c>
      <c r="G889" s="7">
        <f t="shared" ca="1" si="65"/>
        <v>265.92639193733442</v>
      </c>
      <c r="H889" s="7">
        <f ca="1">(G889+DCF!$D$40+DCF!$D$41+DCF!$D$42-DCF!$D$43-DCF!$D$44)/DCF!$C$35</f>
        <v>2.1429811036083892</v>
      </c>
    </row>
    <row r="890" spans="3:8" x14ac:dyDescent="0.35">
      <c r="C890" s="8">
        <f t="shared" ca="1" si="66"/>
        <v>0.12359039336428157</v>
      </c>
      <c r="D890" s="7">
        <f t="shared" ca="1" si="67"/>
        <v>7.773419358358144E-2</v>
      </c>
      <c r="E890" s="7">
        <f t="shared" ca="1" si="68"/>
        <v>6.2163094302095545E-2</v>
      </c>
      <c r="F890" s="7">
        <f t="shared" ca="1" si="69"/>
        <v>1.3525991897384211E-2</v>
      </c>
      <c r="G890" s="7">
        <f t="shared" ca="1" si="65"/>
        <v>270.98815119674538</v>
      </c>
      <c r="H890" s="7">
        <f ca="1">(G890+DCF!$D$40+DCF!$D$41+DCF!$D$42-DCF!$D$43-DCF!$D$44)/DCF!$C$35</f>
        <v>2.1715495608801523</v>
      </c>
    </row>
    <row r="891" spans="3:8" x14ac:dyDescent="0.35">
      <c r="C891" s="8">
        <f t="shared" ca="1" si="66"/>
        <v>0.71451989516805769</v>
      </c>
      <c r="D891" s="7">
        <f t="shared" ca="1" si="67"/>
        <v>9.2150747999077173E-2</v>
      </c>
      <c r="E891" s="7">
        <f t="shared" ca="1" si="68"/>
        <v>0.31158921215078039</v>
      </c>
      <c r="F891" s="7">
        <f t="shared" ca="1" si="69"/>
        <v>1.7894165087591979E-2</v>
      </c>
      <c r="G891" s="7">
        <f t="shared" ca="1" si="65"/>
        <v>227.29183476566681</v>
      </c>
      <c r="H891" s="7">
        <f ca="1">(G891+DCF!$D$40+DCF!$D$41+DCF!$D$42-DCF!$D$43-DCF!$D$44)/DCF!$C$35</f>
        <v>1.9249285176976341</v>
      </c>
    </row>
    <row r="892" spans="3:8" x14ac:dyDescent="0.35">
      <c r="C892" s="8">
        <f t="shared" ca="1" si="66"/>
        <v>0.55750025822935001</v>
      </c>
      <c r="D892" s="7">
        <f t="shared" ca="1" si="67"/>
        <v>8.7777720373102011E-2</v>
      </c>
      <c r="E892" s="7">
        <f t="shared" ca="1" si="68"/>
        <v>0.37849567405307738</v>
      </c>
      <c r="F892" s="7">
        <f t="shared" ca="1" si="69"/>
        <v>1.8700524973276927E-2</v>
      </c>
      <c r="G892" s="7">
        <f t="shared" ca="1" si="65"/>
        <v>244.45227247039253</v>
      </c>
      <c r="H892" s="7">
        <f ca="1">(G892+DCF!$D$40+DCF!$D$41+DCF!$D$42-DCF!$D$43-DCF!$D$44)/DCF!$C$35</f>
        <v>2.0217816484388336</v>
      </c>
    </row>
    <row r="893" spans="3:8" x14ac:dyDescent="0.35">
      <c r="C893" s="8">
        <f t="shared" ca="1" si="66"/>
        <v>0.2727563407712229</v>
      </c>
      <c r="D893" s="7">
        <f t="shared" ca="1" si="67"/>
        <v>8.1489737548493965E-2</v>
      </c>
      <c r="E893" s="7">
        <f t="shared" ca="1" si="68"/>
        <v>0.63452755734410204</v>
      </c>
      <c r="F893" s="7">
        <f t="shared" ca="1" si="69"/>
        <v>2.1450468519785451E-2</v>
      </c>
      <c r="G893" s="7">
        <f t="shared" ca="1" si="65"/>
        <v>279.57881521904642</v>
      </c>
      <c r="H893" s="7">
        <f ca="1">(G893+DCF!$D$40+DCF!$D$41+DCF!$D$42-DCF!$D$43-DCF!$D$44)/DCF!$C$35</f>
        <v>2.2200350785587899</v>
      </c>
    </row>
    <row r="894" spans="3:8" x14ac:dyDescent="0.35">
      <c r="C894" s="8">
        <f t="shared" ca="1" si="66"/>
        <v>0.73055387378714765</v>
      </c>
      <c r="D894" s="7">
        <f t="shared" ca="1" si="67"/>
        <v>9.2659242321814689E-2</v>
      </c>
      <c r="E894" s="7">
        <f t="shared" ca="1" si="68"/>
        <v>0.96139919610836011</v>
      </c>
      <c r="F894" s="7">
        <f t="shared" ca="1" si="69"/>
        <v>2.7221482269567464E-2</v>
      </c>
      <c r="G894" s="7">
        <f t="shared" ca="1" si="65"/>
        <v>248.21934162020864</v>
      </c>
      <c r="H894" s="7">
        <f ca="1">(G894+DCF!$D$40+DCF!$D$41+DCF!$D$42-DCF!$D$43-DCF!$D$44)/DCF!$C$35</f>
        <v>2.0430429033762763</v>
      </c>
    </row>
    <row r="895" spans="3:8" x14ac:dyDescent="0.35">
      <c r="C895" s="8">
        <f t="shared" ca="1" si="66"/>
        <v>0.82373567208332432</v>
      </c>
      <c r="D895" s="7">
        <f t="shared" ca="1" si="67"/>
        <v>9.5974630487755064E-2</v>
      </c>
      <c r="E895" s="7">
        <f t="shared" ca="1" si="68"/>
        <v>0.57507909390387335</v>
      </c>
      <c r="F895" s="7">
        <f t="shared" ca="1" si="69"/>
        <v>2.078131347646394E-2</v>
      </c>
      <c r="G895" s="7">
        <f t="shared" ca="1" si="65"/>
        <v>221.17932684561924</v>
      </c>
      <c r="H895" s="7">
        <f ca="1">(G895+DCF!$D$40+DCF!$D$41+DCF!$D$42-DCF!$D$43-DCF!$D$44)/DCF!$C$35</f>
        <v>1.8904296582324147</v>
      </c>
    </row>
    <row r="896" spans="3:8" x14ac:dyDescent="0.35">
      <c r="C896" s="8">
        <f t="shared" ca="1" si="66"/>
        <v>0.88903861989049138</v>
      </c>
      <c r="D896" s="7">
        <f t="shared" ca="1" si="67"/>
        <v>9.887197680617929E-2</v>
      </c>
      <c r="E896" s="7">
        <f t="shared" ca="1" si="68"/>
        <v>5.3620076858341803E-2</v>
      </c>
      <c r="F896" s="7">
        <f t="shared" ca="1" si="69"/>
        <v>1.3274754245995928E-2</v>
      </c>
      <c r="G896" s="7">
        <f t="shared" ca="1" si="65"/>
        <v>199.62313815740521</v>
      </c>
      <c r="H896" s="7">
        <f ca="1">(G896+DCF!$D$40+DCF!$D$41+DCF!$D$42-DCF!$D$43-DCF!$D$44)/DCF!$C$35</f>
        <v>1.7687670061937306</v>
      </c>
    </row>
    <row r="897" spans="3:8" x14ac:dyDescent="0.35">
      <c r="C897" s="8">
        <f t="shared" ca="1" si="66"/>
        <v>0.65086331496349425</v>
      </c>
      <c r="D897" s="7">
        <f t="shared" ca="1" si="67"/>
        <v>9.0260786730450973E-2</v>
      </c>
      <c r="E897" s="7">
        <f t="shared" ca="1" si="68"/>
        <v>3.6730113933731934E-2</v>
      </c>
      <c r="F897" s="7">
        <f t="shared" ca="1" si="69"/>
        <v>1.2710354734485209E-2</v>
      </c>
      <c r="G897" s="7">
        <f t="shared" ca="1" si="65"/>
        <v>222.52341363382075</v>
      </c>
      <c r="H897" s="7">
        <f ca="1">(G897+DCF!$D$40+DCF!$D$41+DCF!$D$42-DCF!$D$43-DCF!$D$44)/DCF!$C$35</f>
        <v>1.8980156543279192</v>
      </c>
    </row>
    <row r="898" spans="3:8" x14ac:dyDescent="0.35">
      <c r="C898" s="8">
        <f t="shared" ca="1" si="66"/>
        <v>0.74099652027150942</v>
      </c>
      <c r="D898" s="7">
        <f t="shared" ca="1" si="67"/>
        <v>9.2998591723713137E-2</v>
      </c>
      <c r="E898" s="7">
        <f t="shared" ca="1" si="68"/>
        <v>0.88201555326803327</v>
      </c>
      <c r="F898" s="7">
        <f t="shared" ca="1" si="69"/>
        <v>2.5142337048909905E-2</v>
      </c>
      <c r="G898" s="7">
        <f t="shared" ca="1" si="65"/>
        <v>241.37087984257565</v>
      </c>
      <c r="H898" s="7">
        <f ca="1">(G898+DCF!$D$40+DCF!$D$41+DCF!$D$42-DCF!$D$43-DCF!$D$44)/DCF!$C$35</f>
        <v>2.0043903366213773</v>
      </c>
    </row>
    <row r="899" spans="3:8" x14ac:dyDescent="0.35">
      <c r="C899" s="8">
        <f t="shared" ca="1" si="66"/>
        <v>0.89141233008484222</v>
      </c>
      <c r="D899" s="7">
        <f t="shared" ca="1" si="67"/>
        <v>9.8991646825009841E-2</v>
      </c>
      <c r="E899" s="7">
        <f t="shared" ca="1" si="68"/>
        <v>0.49199395255653611</v>
      </c>
      <c r="F899" s="7">
        <f t="shared" ca="1" si="69"/>
        <v>1.9919616449808289E-2</v>
      </c>
      <c r="G899" s="7">
        <f t="shared" ca="1" si="65"/>
        <v>210.53488060339393</v>
      </c>
      <c r="H899" s="7">
        <f ca="1">(G899+DCF!$D$40+DCF!$D$41+DCF!$D$42-DCF!$D$43-DCF!$D$44)/DCF!$C$35</f>
        <v>1.8303526391432099</v>
      </c>
    </row>
    <row r="900" spans="3:8" x14ac:dyDescent="0.35">
      <c r="C900" s="8">
        <f t="shared" ca="1" si="66"/>
        <v>0.82755141734628701</v>
      </c>
      <c r="D900" s="7">
        <f t="shared" ca="1" si="67"/>
        <v>9.6127270699622819E-2</v>
      </c>
      <c r="E900" s="7">
        <f t="shared" ca="1" si="68"/>
        <v>0.75883184383138691</v>
      </c>
      <c r="F900" s="7">
        <f t="shared" ca="1" si="69"/>
        <v>2.3054956354800739E-2</v>
      </c>
      <c r="G900" s="7">
        <f t="shared" ca="1" si="65"/>
        <v>225.50088312886618</v>
      </c>
      <c r="H900" s="7">
        <f ca="1">(G900+DCF!$D$40+DCF!$D$41+DCF!$D$42-DCF!$D$43-DCF!$D$44)/DCF!$C$35</f>
        <v>1.9148204262832496</v>
      </c>
    </row>
    <row r="901" spans="3:8" x14ac:dyDescent="0.35">
      <c r="C901" s="8">
        <f t="shared" ca="1" si="66"/>
        <v>0.88472514754766141</v>
      </c>
      <c r="D901" s="7">
        <f t="shared" ca="1" si="67"/>
        <v>9.8657745579612058E-2</v>
      </c>
      <c r="E901" s="7">
        <f t="shared" ca="1" si="68"/>
        <v>0.75717689733920646</v>
      </c>
      <c r="F901" s="7">
        <f t="shared" ca="1" si="69"/>
        <v>2.3031167921942822E-2</v>
      </c>
      <c r="G901" s="7">
        <f t="shared" ca="1" si="65"/>
        <v>217.47171745752962</v>
      </c>
      <c r="H901" s="7">
        <f ca="1">(G901+DCF!$D$40+DCF!$D$41+DCF!$D$42-DCF!$D$43-DCF!$D$44)/DCF!$C$35</f>
        <v>1.8695039928746451</v>
      </c>
    </row>
    <row r="902" spans="3:8" x14ac:dyDescent="0.35">
      <c r="C902" s="8">
        <f t="shared" ca="1" si="66"/>
        <v>0.73723348704824043</v>
      </c>
      <c r="D902" s="7">
        <f t="shared" ca="1" si="67"/>
        <v>9.2875531294251384E-2</v>
      </c>
      <c r="E902" s="7">
        <f t="shared" ca="1" si="68"/>
        <v>0.42306045195432929</v>
      </c>
      <c r="F902" s="7">
        <f t="shared" ca="1" si="69"/>
        <v>1.9198483048354538E-2</v>
      </c>
      <c r="G902" s="7">
        <f t="shared" ca="1" si="65"/>
        <v>227.74808848014555</v>
      </c>
      <c r="H902" s="7">
        <f ca="1">(G902+DCF!$D$40+DCF!$D$41+DCF!$D$42-DCF!$D$43-DCF!$D$44)/DCF!$C$35</f>
        <v>1.9275036035678155</v>
      </c>
    </row>
    <row r="903" spans="3:8" x14ac:dyDescent="0.35">
      <c r="C903" s="8">
        <f t="shared" ca="1" si="66"/>
        <v>0.25161357590173283</v>
      </c>
      <c r="D903" s="7">
        <f t="shared" ca="1" si="67"/>
        <v>8.1035441574148215E-2</v>
      </c>
      <c r="E903" s="7">
        <f t="shared" ca="1" si="68"/>
        <v>0.11193827206329443</v>
      </c>
      <c r="F903" s="7">
        <f t="shared" ca="1" si="69"/>
        <v>1.4731559406016042E-2</v>
      </c>
      <c r="G903" s="7">
        <f t="shared" ca="1" si="65"/>
        <v>260.34909781689493</v>
      </c>
      <c r="H903" s="7">
        <f ca="1">(G903+DCF!$D$40+DCF!$D$41+DCF!$D$42-DCF!$D$43-DCF!$D$44)/DCF!$C$35</f>
        <v>2.1115029789868771</v>
      </c>
    </row>
    <row r="904" spans="3:8" x14ac:dyDescent="0.35">
      <c r="C904" s="8">
        <f t="shared" ca="1" si="66"/>
        <v>0.38617130478820028</v>
      </c>
      <c r="D904" s="7">
        <f t="shared" ca="1" si="67"/>
        <v>8.3826868283364178E-2</v>
      </c>
      <c r="E904" s="7">
        <f t="shared" ca="1" si="68"/>
        <v>0.21087168566183601</v>
      </c>
      <c r="F904" s="7">
        <f t="shared" ca="1" si="69"/>
        <v>1.6494177171310249E-2</v>
      </c>
      <c r="G904" s="7">
        <f t="shared" ca="1" si="65"/>
        <v>253.90871054675708</v>
      </c>
      <c r="H904" s="7">
        <f ca="1">(G904+DCF!$D$40+DCF!$D$41+DCF!$D$42-DCF!$D$43-DCF!$D$44)/DCF!$C$35</f>
        <v>2.0751535757238804</v>
      </c>
    </row>
    <row r="905" spans="3:8" x14ac:dyDescent="0.35">
      <c r="C905" s="8">
        <f t="shared" ca="1" si="66"/>
        <v>0.92295383423719868</v>
      </c>
      <c r="D905" s="7">
        <f t="shared" ca="1" si="67"/>
        <v>0.10072727003567525</v>
      </c>
      <c r="E905" s="7">
        <f t="shared" ca="1" si="68"/>
        <v>0.95263841775645064</v>
      </c>
      <c r="F905" s="7">
        <f t="shared" ca="1" si="69"/>
        <v>2.6922287139983674E-2</v>
      </c>
      <c r="G905" s="7">
        <f t="shared" ca="1" si="65"/>
        <v>219.02327034863185</v>
      </c>
      <c r="H905" s="7">
        <f ca="1">(G905+DCF!$D$40+DCF!$D$41+DCF!$D$42-DCF!$D$43-DCF!$D$44)/DCF!$C$35</f>
        <v>1.8782609230648597</v>
      </c>
    </row>
    <row r="906" spans="3:8" x14ac:dyDescent="0.35">
      <c r="C906" s="8">
        <f t="shared" ca="1" si="66"/>
        <v>0.98309357562752231</v>
      </c>
      <c r="D906" s="7">
        <f t="shared" ca="1" si="67"/>
        <v>0.10565631842791336</v>
      </c>
      <c r="E906" s="7">
        <f t="shared" ca="1" si="68"/>
        <v>0.95313788773097985</v>
      </c>
      <c r="F906" s="7">
        <f t="shared" ca="1" si="69"/>
        <v>2.6938558761987415E-2</v>
      </c>
      <c r="G906" s="7">
        <f t="shared" ca="1" si="65"/>
        <v>204.59692144287357</v>
      </c>
      <c r="H906" s="7">
        <f ca="1">(G906+DCF!$D$40+DCF!$D$41+DCF!$D$42-DCF!$D$43-DCF!$D$44)/DCF!$C$35</f>
        <v>1.7968389290149767</v>
      </c>
    </row>
    <row r="907" spans="3:8" x14ac:dyDescent="0.35">
      <c r="C907" s="8">
        <f t="shared" ca="1" si="66"/>
        <v>0.72513877406719207</v>
      </c>
      <c r="D907" s="7">
        <f t="shared" ca="1" si="67"/>
        <v>9.2485859194895867E-2</v>
      </c>
      <c r="E907" s="7">
        <f t="shared" ca="1" si="68"/>
        <v>0.78055875916046025</v>
      </c>
      <c r="F907" s="7">
        <f t="shared" ca="1" si="69"/>
        <v>2.3375179385982745E-2</v>
      </c>
      <c r="G907" s="7">
        <f t="shared" ca="1" si="65"/>
        <v>238.80589310551272</v>
      </c>
      <c r="H907" s="7">
        <f ca="1">(G907+DCF!$D$40+DCF!$D$41+DCF!$D$42-DCF!$D$43-DCF!$D$44)/DCF!$C$35</f>
        <v>1.9899136082261695</v>
      </c>
    </row>
    <row r="908" spans="3:8" x14ac:dyDescent="0.35">
      <c r="C908" s="8">
        <f t="shared" ca="1" si="66"/>
        <v>7.5829001062682089E-2</v>
      </c>
      <c r="D908" s="7">
        <f t="shared" ca="1" si="67"/>
        <v>7.6058154546917583E-2</v>
      </c>
      <c r="E908" s="7">
        <f t="shared" ca="1" si="68"/>
        <v>0.40550496600883734</v>
      </c>
      <c r="F908" s="7">
        <f t="shared" ca="1" si="69"/>
        <v>1.9005608985613771E-2</v>
      </c>
      <c r="G908" s="7">
        <f t="shared" ca="1" si="65"/>
        <v>298.62088483141417</v>
      </c>
      <c r="H908" s="7">
        <f ca="1">(G908+DCF!$D$40+DCF!$D$41+DCF!$D$42-DCF!$D$43-DCF!$D$44)/DCF!$C$35</f>
        <v>2.3275080981567569</v>
      </c>
    </row>
    <row r="909" spans="3:8" x14ac:dyDescent="0.35">
      <c r="C909" s="8">
        <f t="shared" ca="1" si="66"/>
        <v>0.2375061992782842</v>
      </c>
      <c r="D909" s="7">
        <f t="shared" ca="1" si="67"/>
        <v>8.0721613705533768E-2</v>
      </c>
      <c r="E909" s="7">
        <f t="shared" ca="1" si="68"/>
        <v>6.7820299530960804E-2</v>
      </c>
      <c r="F909" s="7">
        <f t="shared" ca="1" si="69"/>
        <v>1.3682941746239297E-2</v>
      </c>
      <c r="G909" s="7">
        <f t="shared" ca="1" si="65"/>
        <v>258.66453697428881</v>
      </c>
      <c r="H909" s="7">
        <f ca="1">(G909+DCF!$D$40+DCF!$D$41+DCF!$D$42-DCF!$D$43-DCF!$D$44)/DCF!$C$35</f>
        <v>2.1019953548610948</v>
      </c>
    </row>
    <row r="910" spans="3:8" x14ac:dyDescent="0.35">
      <c r="C910" s="8">
        <f t="shared" ca="1" si="66"/>
        <v>0.89276025074723786</v>
      </c>
      <c r="D910" s="7">
        <f t="shared" ca="1" si="67"/>
        <v>9.9060184637477539E-2</v>
      </c>
      <c r="E910" s="7">
        <f t="shared" ca="1" si="68"/>
        <v>0.56901337725012291</v>
      </c>
      <c r="F910" s="7">
        <f t="shared" ca="1" si="69"/>
        <v>2.0715748573526489E-2</v>
      </c>
      <c r="G910" s="7">
        <f t="shared" ca="1" si="65"/>
        <v>211.80864377400084</v>
      </c>
      <c r="H910" s="7">
        <f ca="1">(G910+DCF!$D$40+DCF!$D$41+DCF!$D$42-DCF!$D$43-DCF!$D$44)/DCF!$C$35</f>
        <v>1.837541730296878</v>
      </c>
    </row>
    <row r="911" spans="3:8" x14ac:dyDescent="0.35">
      <c r="C911" s="8">
        <f t="shared" ca="1" si="66"/>
        <v>0.62345790036289983</v>
      </c>
      <c r="D911" s="7">
        <f t="shared" ca="1" si="67"/>
        <v>8.9500707739168073E-2</v>
      </c>
      <c r="E911" s="7">
        <f t="shared" ca="1" si="68"/>
        <v>3.8611263053796363E-2</v>
      </c>
      <c r="F911" s="7">
        <f t="shared" ca="1" si="69"/>
        <v>1.2778894134500139E-2</v>
      </c>
      <c r="G911" s="7">
        <f t="shared" ca="1" si="65"/>
        <v>225.02103103819888</v>
      </c>
      <c r="H911" s="7">
        <f ca="1">(G911+DCF!$D$40+DCF!$D$41+DCF!$D$42-DCF!$D$43-DCF!$D$44)/DCF!$C$35</f>
        <v>1.9121121516999597</v>
      </c>
    </row>
    <row r="912" spans="3:8" x14ac:dyDescent="0.35">
      <c r="C912" s="8">
        <f t="shared" ca="1" si="66"/>
        <v>0.10221164357848123</v>
      </c>
      <c r="D912" s="7">
        <f t="shared" ca="1" si="67"/>
        <v>7.7033522267824631E-2</v>
      </c>
      <c r="E912" s="7">
        <f t="shared" ca="1" si="68"/>
        <v>0.2122250373432274</v>
      </c>
      <c r="F912" s="7">
        <f t="shared" ca="1" si="69"/>
        <v>1.6514983305323621E-2</v>
      </c>
      <c r="G912" s="7">
        <f t="shared" ref="G912:G975" ca="1" si="70">$C$11/(1+D912)^1
 +$D$11/(1+D912)^2
 +$E$11/(1+D912)^3
 +$F$11/(1+D912)^4
 +$G$11/(1+D912)^5
 +$H$11/(1+D912)^6
 +$I$11/(1+D912)^7
 + ( $I$11*(1+F912)/(D912-F912) )/(1+D912)^7</f>
        <v>284.19540731792267</v>
      </c>
      <c r="H912" s="7">
        <f ca="1">(G912+DCF!$D$40+DCF!$D$41+DCF!$D$42-DCF!$D$43-DCF!$D$44)/DCF!$C$35</f>
        <v>2.2460910222255484</v>
      </c>
    </row>
    <row r="913" spans="3:8" x14ac:dyDescent="0.35">
      <c r="C913" s="8">
        <f t="shared" ref="C913:C976" ca="1" si="71">RAND()</f>
        <v>0.66953258958592321</v>
      </c>
      <c r="D913" s="7">
        <f t="shared" ref="D913:D976" ca="1" si="72">IF(C913&lt;($C$6-0.07)/(0.11-0.07),0.07+SQRT(C913*(0.11-0.07)*($C$6-0.07)),0.11-SQRT((1-C913)*(0.11-0.07)*(0.11-$C$6)))</f>
        <v>9.0795791346110891E-2</v>
      </c>
      <c r="E913" s="7">
        <f t="shared" ref="E913:E976" ca="1" si="73">RAND()</f>
        <v>4.5595791539567054E-2</v>
      </c>
      <c r="F913" s="7">
        <f t="shared" ref="F913:F976" ca="1" si="74">MIN(
 IF(E913&lt;(0.02-0.01)/(0.03-0.01),
   0.01+SQRT(E913*(0.03-0.01)*(0.02-0.01)),
   0.03-SQRT((1-E913)*(0.03-0.01)*(0.03-0.02))
 ),
 D913-0.005
)</f>
        <v>1.301979441484241E-2</v>
      </c>
      <c r="G913" s="7">
        <f t="shared" ca="1" si="70"/>
        <v>221.50125929932054</v>
      </c>
      <c r="H913" s="7">
        <f ca="1">(G913+DCF!$D$40+DCF!$D$41+DCF!$D$42-DCF!$D$43-DCF!$D$44)/DCF!$C$35</f>
        <v>1.8922466378785443</v>
      </c>
    </row>
    <row r="914" spans="3:8" x14ac:dyDescent="0.35">
      <c r="C914" s="8">
        <f t="shared" ca="1" si="71"/>
        <v>0.315570008934974</v>
      </c>
      <c r="D914" s="7">
        <f t="shared" ca="1" si="72"/>
        <v>8.2362636340841608E-2</v>
      </c>
      <c r="E914" s="7">
        <f t="shared" ca="1" si="73"/>
        <v>0.3170533740570548</v>
      </c>
      <c r="F914" s="7">
        <f t="shared" ca="1" si="74"/>
        <v>1.7963081992006046E-2</v>
      </c>
      <c r="G914" s="7">
        <f t="shared" ca="1" si="70"/>
        <v>264.22989807660332</v>
      </c>
      <c r="H914" s="7">
        <f ca="1">(G914+DCF!$D$40+DCF!$D$41+DCF!$D$42-DCF!$D$43-DCF!$D$44)/DCF!$C$35</f>
        <v>2.1334061297923204</v>
      </c>
    </row>
    <row r="915" spans="3:8" x14ac:dyDescent="0.35">
      <c r="C915" s="8">
        <f t="shared" ca="1" si="71"/>
        <v>0.36994801050288784</v>
      </c>
      <c r="D915" s="7">
        <f t="shared" ca="1" si="72"/>
        <v>8.3483250193909952E-2</v>
      </c>
      <c r="E915" s="7">
        <f t="shared" ca="1" si="73"/>
        <v>0.10952916392026313</v>
      </c>
      <c r="F915" s="7">
        <f t="shared" ca="1" si="74"/>
        <v>1.4680366736063813E-2</v>
      </c>
      <c r="G915" s="7">
        <f t="shared" ca="1" si="70"/>
        <v>250.38793578891674</v>
      </c>
      <c r="H915" s="7">
        <f ca="1">(G915+DCF!$D$40+DCF!$D$41+DCF!$D$42-DCF!$D$43-DCF!$D$44)/DCF!$C$35</f>
        <v>2.0552824008856345</v>
      </c>
    </row>
    <row r="916" spans="3:8" x14ac:dyDescent="0.35">
      <c r="C916" s="8">
        <f t="shared" ca="1" si="71"/>
        <v>0.65677527444120765</v>
      </c>
      <c r="D916" s="7">
        <f t="shared" ca="1" si="72"/>
        <v>9.0428623100976976E-2</v>
      </c>
      <c r="E916" s="7">
        <f t="shared" ca="1" si="73"/>
        <v>0.51805579465167206</v>
      </c>
      <c r="F916" s="7">
        <f t="shared" ca="1" si="74"/>
        <v>2.0182218118655032E-2</v>
      </c>
      <c r="G916" s="7">
        <f t="shared" ca="1" si="70"/>
        <v>238.41226121303933</v>
      </c>
      <c r="H916" s="7">
        <f ca="1">(G916+DCF!$D$40+DCF!$D$41+DCF!$D$42-DCF!$D$43-DCF!$D$44)/DCF!$C$35</f>
        <v>1.9876919585339163</v>
      </c>
    </row>
    <row r="917" spans="3:8" x14ac:dyDescent="0.35">
      <c r="C917" s="8">
        <f t="shared" ca="1" si="71"/>
        <v>0.48755892981560511</v>
      </c>
      <c r="D917" s="7">
        <f t="shared" ca="1" si="72"/>
        <v>8.6085898839266733E-2</v>
      </c>
      <c r="E917" s="7">
        <f t="shared" ca="1" si="73"/>
        <v>0.56194267833641554</v>
      </c>
      <c r="F917" s="7">
        <f t="shared" ca="1" si="74"/>
        <v>2.0639900410106903E-2</v>
      </c>
      <c r="G917" s="7">
        <f t="shared" ca="1" si="70"/>
        <v>256.35098046021761</v>
      </c>
      <c r="H917" s="7">
        <f ca="1">(G917+DCF!$D$40+DCF!$D$41+DCF!$D$42-DCF!$D$43-DCF!$D$44)/DCF!$C$35</f>
        <v>2.0889376930817112</v>
      </c>
    </row>
    <row r="918" spans="3:8" x14ac:dyDescent="0.35">
      <c r="C918" s="8">
        <f t="shared" ca="1" si="71"/>
        <v>0.26965184676886289</v>
      </c>
      <c r="D918" s="7">
        <f t="shared" ca="1" si="72"/>
        <v>8.1424162719259993E-2</v>
      </c>
      <c r="E918" s="7">
        <f t="shared" ca="1" si="73"/>
        <v>0.61326545178358116</v>
      </c>
      <c r="F918" s="7">
        <f t="shared" ca="1" si="74"/>
        <v>2.1205290815309252E-2</v>
      </c>
      <c r="G918" s="7">
        <f t="shared" ca="1" si="70"/>
        <v>279.04479270348571</v>
      </c>
      <c r="H918" s="7">
        <f ca="1">(G918+DCF!$D$40+DCF!$D$41+DCF!$D$42-DCF!$D$43-DCF!$D$44)/DCF!$C$35</f>
        <v>2.2170210672958897</v>
      </c>
    </row>
    <row r="919" spans="3:8" x14ac:dyDescent="0.35">
      <c r="C919" s="8">
        <f t="shared" ca="1" si="71"/>
        <v>0.71007077609992408</v>
      </c>
      <c r="D919" s="7">
        <f t="shared" ca="1" si="72"/>
        <v>9.2012198192316985E-2</v>
      </c>
      <c r="E919" s="7">
        <f t="shared" ca="1" si="73"/>
        <v>9.1068773207484077E-2</v>
      </c>
      <c r="F919" s="7">
        <f t="shared" ca="1" si="74"/>
        <v>1.4267757565923446E-2</v>
      </c>
      <c r="G919" s="7">
        <f t="shared" ca="1" si="70"/>
        <v>220.26622552117288</v>
      </c>
      <c r="H919" s="7">
        <f ca="1">(G919+DCF!$D$40+DCF!$D$41+DCF!$D$42-DCF!$D$43-DCF!$D$44)/DCF!$C$35</f>
        <v>1.8852761345590523</v>
      </c>
    </row>
    <row r="920" spans="3:8" x14ac:dyDescent="0.35">
      <c r="C920" s="8">
        <f t="shared" ca="1" si="71"/>
        <v>0.22815850425559747</v>
      </c>
      <c r="D920" s="7">
        <f t="shared" ca="1" si="72"/>
        <v>8.0508506842539962E-2</v>
      </c>
      <c r="E920" s="7">
        <f t="shared" ca="1" si="73"/>
        <v>0.59455346921653118</v>
      </c>
      <c r="F920" s="7">
        <f t="shared" ca="1" si="74"/>
        <v>2.099503991365349E-2</v>
      </c>
      <c r="G920" s="7">
        <f t="shared" ca="1" si="70"/>
        <v>282.81830672318631</v>
      </c>
      <c r="H920" s="7">
        <f ca="1">(G920+DCF!$D$40+DCF!$D$41+DCF!$D$42-DCF!$D$43-DCF!$D$44)/DCF!$C$35</f>
        <v>2.2383186969363713</v>
      </c>
    </row>
    <row r="921" spans="3:8" x14ac:dyDescent="0.35">
      <c r="C921" s="8">
        <f t="shared" ca="1" si="71"/>
        <v>0.69309319556835147</v>
      </c>
      <c r="D921" s="7">
        <f t="shared" ca="1" si="72"/>
        <v>9.1493028509620503E-2</v>
      </c>
      <c r="E921" s="7">
        <f t="shared" ca="1" si="73"/>
        <v>0.51413601156081901</v>
      </c>
      <c r="F921" s="7">
        <f t="shared" ca="1" si="74"/>
        <v>2.014237362810721E-2</v>
      </c>
      <c r="G921" s="7">
        <f t="shared" ca="1" si="70"/>
        <v>234.55270163392899</v>
      </c>
      <c r="H921" s="7">
        <f ca="1">(G921+DCF!$D$40+DCF!$D$41+DCF!$D$42-DCF!$D$43-DCF!$D$44)/DCF!$C$35</f>
        <v>1.9659086896598319</v>
      </c>
    </row>
    <row r="922" spans="3:8" x14ac:dyDescent="0.35">
      <c r="C922" s="8">
        <f t="shared" ca="1" si="71"/>
        <v>0.65893292538507497</v>
      </c>
      <c r="D922" s="7">
        <f t="shared" ca="1" si="72"/>
        <v>9.0490236924292075E-2</v>
      </c>
      <c r="E922" s="7">
        <f t="shared" ca="1" si="73"/>
        <v>0.10404658748657614</v>
      </c>
      <c r="F922" s="7">
        <f t="shared" ca="1" si="74"/>
        <v>1.4561723084242972E-2</v>
      </c>
      <c r="G922" s="7">
        <f t="shared" ca="1" si="70"/>
        <v>225.57682866520577</v>
      </c>
      <c r="H922" s="7">
        <f ca="1">(G922+DCF!$D$40+DCF!$D$41+DCF!$D$42-DCF!$D$43-DCF!$D$44)/DCF!$C$35</f>
        <v>1.9152490612101014</v>
      </c>
    </row>
    <row r="923" spans="3:8" x14ac:dyDescent="0.35">
      <c r="C923" s="8">
        <f t="shared" ca="1" si="71"/>
        <v>0.38779573368957598</v>
      </c>
      <c r="D923" s="7">
        <f t="shared" ca="1" si="72"/>
        <v>8.386152335727208E-2</v>
      </c>
      <c r="E923" s="7">
        <f t="shared" ca="1" si="73"/>
        <v>0.65661753987814686</v>
      </c>
      <c r="F923" s="7">
        <f t="shared" ca="1" si="74"/>
        <v>2.1712871907326965E-2</v>
      </c>
      <c r="G923" s="7">
        <f t="shared" ca="1" si="70"/>
        <v>269.26084740343043</v>
      </c>
      <c r="H923" s="7">
        <f ca="1">(G923+DCF!$D$40+DCF!$D$41+DCF!$D$42-DCF!$D$43-DCF!$D$44)/DCF!$C$35</f>
        <v>2.1618006964862309</v>
      </c>
    </row>
    <row r="924" spans="3:8" x14ac:dyDescent="0.35">
      <c r="C924" s="8">
        <f t="shared" ca="1" si="71"/>
        <v>0.91854499453424965</v>
      </c>
      <c r="D924" s="7">
        <f t="shared" ca="1" si="72"/>
        <v>0.10046565229814974</v>
      </c>
      <c r="E924" s="7">
        <f t="shared" ca="1" si="73"/>
        <v>7.7763293149200052E-2</v>
      </c>
      <c r="F924" s="7">
        <f t="shared" ca="1" si="74"/>
        <v>1.3943685919268929E-2</v>
      </c>
      <c r="G924" s="7">
        <f t="shared" ca="1" si="70"/>
        <v>196.70694613167865</v>
      </c>
      <c r="H924" s="7">
        <f ca="1">(G924+DCF!$D$40+DCF!$D$41+DCF!$D$42-DCF!$D$43-DCF!$D$44)/DCF!$C$35</f>
        <v>1.7523080829195092</v>
      </c>
    </row>
    <row r="925" spans="3:8" x14ac:dyDescent="0.35">
      <c r="C925" s="8">
        <f t="shared" ca="1" si="71"/>
        <v>0.89732745279219239</v>
      </c>
      <c r="D925" s="7">
        <f t="shared" ca="1" si="72"/>
        <v>9.9295675514825182E-2</v>
      </c>
      <c r="E925" s="7">
        <f t="shared" ca="1" si="73"/>
        <v>0.2136677973748552</v>
      </c>
      <c r="F925" s="7">
        <f t="shared" ca="1" si="74"/>
        <v>1.6537091056040985E-2</v>
      </c>
      <c r="G925" s="7">
        <f t="shared" ca="1" si="70"/>
        <v>203.79788067180135</v>
      </c>
      <c r="H925" s="7">
        <f ca="1">(G925+DCF!$D$40+DCF!$D$41+DCF!$D$42-DCF!$D$43-DCF!$D$44)/DCF!$C$35</f>
        <v>1.7923291605813372</v>
      </c>
    </row>
    <row r="926" spans="3:8" x14ac:dyDescent="0.35">
      <c r="C926" s="8">
        <f t="shared" ca="1" si="71"/>
        <v>0.97001577672196848</v>
      </c>
      <c r="D926" s="7">
        <f t="shared" ca="1" si="72"/>
        <v>0.10421533119545438</v>
      </c>
      <c r="E926" s="7">
        <f t="shared" ca="1" si="73"/>
        <v>0.89404393499248702</v>
      </c>
      <c r="F926" s="7">
        <f t="shared" ca="1" si="74"/>
        <v>2.5396608532668268E-2</v>
      </c>
      <c r="G926" s="7">
        <f t="shared" ca="1" si="70"/>
        <v>205.81831266690031</v>
      </c>
      <c r="H926" s="7">
        <f ca="1">(G926+DCF!$D$40+DCF!$D$41+DCF!$D$42-DCF!$D$43-DCF!$D$44)/DCF!$C$35</f>
        <v>1.8037324340608436</v>
      </c>
    </row>
    <row r="927" spans="3:8" x14ac:dyDescent="0.35">
      <c r="C927" s="8">
        <f t="shared" ca="1" si="71"/>
        <v>0.9557215960207851</v>
      </c>
      <c r="D927" s="7">
        <f t="shared" ca="1" si="72"/>
        <v>0.10297044106356566</v>
      </c>
      <c r="E927" s="7">
        <f t="shared" ca="1" si="73"/>
        <v>0.47951628117832479</v>
      </c>
      <c r="F927" s="7">
        <f t="shared" ca="1" si="74"/>
        <v>1.9793020792159329E-2</v>
      </c>
      <c r="G927" s="7">
        <f t="shared" ca="1" si="70"/>
        <v>199.59844140671544</v>
      </c>
      <c r="H927" s="7">
        <f ca="1">(G927+DCF!$D$40+DCF!$D$41+DCF!$D$42-DCF!$D$43-DCF!$D$44)/DCF!$C$35</f>
        <v>1.7686276182792382</v>
      </c>
    </row>
    <row r="928" spans="3:8" x14ac:dyDescent="0.35">
      <c r="C928" s="8">
        <f t="shared" ca="1" si="71"/>
        <v>0.98246614896230866</v>
      </c>
      <c r="D928" s="7">
        <f t="shared" ca="1" si="72"/>
        <v>0.10557645190395046</v>
      </c>
      <c r="E928" s="7">
        <f t="shared" ca="1" si="73"/>
        <v>0.27748299946452737</v>
      </c>
      <c r="F928" s="7">
        <f t="shared" ca="1" si="74"/>
        <v>1.7449604009134007E-2</v>
      </c>
      <c r="G928" s="7">
        <f t="shared" ca="1" si="70"/>
        <v>189.70981277455098</v>
      </c>
      <c r="H928" s="7">
        <f ca="1">(G928+DCF!$D$40+DCF!$D$41+DCF!$D$42-DCF!$D$43-DCF!$D$44)/DCF!$C$35</f>
        <v>1.7128164170592108</v>
      </c>
    </row>
    <row r="929" spans="3:8" x14ac:dyDescent="0.35">
      <c r="C929" s="8">
        <f t="shared" ca="1" si="71"/>
        <v>0.36034161454022551</v>
      </c>
      <c r="D929" s="7">
        <f t="shared" ca="1" si="72"/>
        <v>8.3281864620203983E-2</v>
      </c>
      <c r="E929" s="7">
        <f t="shared" ca="1" si="73"/>
        <v>0.96838857017686508</v>
      </c>
      <c r="F929" s="7">
        <f t="shared" ca="1" si="74"/>
        <v>2.7485584369157122E-2</v>
      </c>
      <c r="G929" s="7">
        <f t="shared" ca="1" si="70"/>
        <v>292.87755668565751</v>
      </c>
      <c r="H929" s="7">
        <f ca="1">(G929+DCF!$D$40+DCF!$D$41+DCF!$D$42-DCF!$D$43-DCF!$D$44)/DCF!$C$35</f>
        <v>2.2950928811697566</v>
      </c>
    </row>
    <row r="930" spans="3:8" x14ac:dyDescent="0.35">
      <c r="C930" s="8">
        <f t="shared" ca="1" si="71"/>
        <v>0.37995353060908021</v>
      </c>
      <c r="D930" s="7">
        <f t="shared" ca="1" si="72"/>
        <v>8.3694641993687563E-2</v>
      </c>
      <c r="E930" s="7">
        <f t="shared" ca="1" si="73"/>
        <v>0.47530813666678129</v>
      </c>
      <c r="F930" s="7">
        <f t="shared" ca="1" si="74"/>
        <v>1.974995524776172E-2</v>
      </c>
      <c r="G930" s="7">
        <f t="shared" ca="1" si="70"/>
        <v>263.86276005005232</v>
      </c>
      <c r="H930" s="7">
        <f ca="1">(G930+DCF!$D$40+DCF!$D$41+DCF!$D$42-DCF!$D$43-DCF!$D$44)/DCF!$C$35</f>
        <v>2.1313340108931724</v>
      </c>
    </row>
    <row r="931" spans="3:8" x14ac:dyDescent="0.35">
      <c r="C931" s="8">
        <f t="shared" ca="1" si="71"/>
        <v>0.97309528506131548</v>
      </c>
      <c r="D931" s="7">
        <f t="shared" ca="1" si="72"/>
        <v>0.10452043232804158</v>
      </c>
      <c r="E931" s="7">
        <f t="shared" ca="1" si="73"/>
        <v>0.14313692080966056</v>
      </c>
      <c r="F931" s="7">
        <f t="shared" ca="1" si="74"/>
        <v>1.5350456444260818E-2</v>
      </c>
      <c r="G931" s="7">
        <f t="shared" ca="1" si="70"/>
        <v>189.17772504739878</v>
      </c>
      <c r="H931" s="7">
        <f ca="1">(G931+DCF!$D$40+DCF!$D$41+DCF!$D$42-DCF!$D$43-DCF!$D$44)/DCF!$C$35</f>
        <v>1.7098133256992818</v>
      </c>
    </row>
    <row r="932" spans="3:8" x14ac:dyDescent="0.35">
      <c r="C932" s="8">
        <f t="shared" ca="1" si="71"/>
        <v>0.57652450442188974</v>
      </c>
      <c r="D932" s="7">
        <f t="shared" ca="1" si="72"/>
        <v>8.8260665763065071E-2</v>
      </c>
      <c r="E932" s="7">
        <f t="shared" ca="1" si="73"/>
        <v>0.4242777440625306</v>
      </c>
      <c r="F932" s="7">
        <f t="shared" ca="1" si="74"/>
        <v>1.9211707160592228E-2</v>
      </c>
      <c r="G932" s="7">
        <f t="shared" ca="1" si="70"/>
        <v>243.94598548534265</v>
      </c>
      <c r="H932" s="7">
        <f ca="1">(G932+DCF!$D$40+DCF!$D$41+DCF!$D$42-DCF!$D$43-DCF!$D$44)/DCF!$C$35</f>
        <v>2.0189241758965042</v>
      </c>
    </row>
    <row r="933" spans="3:8" x14ac:dyDescent="0.35">
      <c r="C933" s="8">
        <f t="shared" ca="1" si="71"/>
        <v>0.88360602500828378</v>
      </c>
      <c r="D933" s="7">
        <f t="shared" ca="1" si="72"/>
        <v>9.860282157326844E-2</v>
      </c>
      <c r="E933" s="7">
        <f t="shared" ca="1" si="73"/>
        <v>0.16363200865302485</v>
      </c>
      <c r="F933" s="7">
        <f t="shared" ca="1" si="74"/>
        <v>1.5720699409216058E-2</v>
      </c>
      <c r="G933" s="7">
        <f t="shared" ca="1" si="70"/>
        <v>204.26366069616768</v>
      </c>
      <c r="H933" s="7">
        <f ca="1">(G933+DCF!$D$40+DCF!$D$41+DCF!$D$42-DCF!$D$43-DCF!$D$44)/DCF!$C$35</f>
        <v>1.7949580127337603</v>
      </c>
    </row>
    <row r="934" spans="3:8" x14ac:dyDescent="0.35">
      <c r="C934" s="8">
        <f t="shared" ca="1" si="71"/>
        <v>0.27049734343174736</v>
      </c>
      <c r="D934" s="7">
        <f t="shared" ca="1" si="72"/>
        <v>8.1442059002686792E-2</v>
      </c>
      <c r="E934" s="7">
        <f t="shared" ca="1" si="73"/>
        <v>0.7115022865980003</v>
      </c>
      <c r="F934" s="7">
        <f t="shared" ca="1" si="74"/>
        <v>2.2403978496581257E-2</v>
      </c>
      <c r="G934" s="7">
        <f t="shared" ca="1" si="70"/>
        <v>283.20310359301482</v>
      </c>
      <c r="H934" s="7">
        <f ca="1">(G934+DCF!$D$40+DCF!$D$41+DCF!$D$42-DCF!$D$43-DCF!$D$44)/DCF!$C$35</f>
        <v>2.2404904819562863</v>
      </c>
    </row>
    <row r="935" spans="3:8" x14ac:dyDescent="0.35">
      <c r="C935" s="8">
        <f t="shared" ca="1" si="71"/>
        <v>0.37359030963555673</v>
      </c>
      <c r="D935" s="7">
        <f t="shared" ca="1" si="72"/>
        <v>8.3560007291099372E-2</v>
      </c>
      <c r="E935" s="7">
        <f t="shared" ca="1" si="73"/>
        <v>9.3773263004787943E-2</v>
      </c>
      <c r="F935" s="7">
        <f t="shared" ca="1" si="74"/>
        <v>1.4330664221682117E-2</v>
      </c>
      <c r="G935" s="7">
        <f t="shared" ca="1" si="70"/>
        <v>249.17863799046796</v>
      </c>
      <c r="H935" s="7">
        <f ca="1">(G935+DCF!$D$40+DCF!$D$41+DCF!$D$42-DCF!$D$43-DCF!$D$44)/DCF!$C$35</f>
        <v>2.0484571508661698</v>
      </c>
    </row>
    <row r="936" spans="3:8" x14ac:dyDescent="0.35">
      <c r="C936" s="8">
        <f t="shared" ca="1" si="71"/>
        <v>0.54498705114264634</v>
      </c>
      <c r="D936" s="7">
        <f t="shared" ca="1" si="72"/>
        <v>8.7465705004930672E-2</v>
      </c>
      <c r="E936" s="7">
        <f t="shared" ca="1" si="73"/>
        <v>0.66580263524465644</v>
      </c>
      <c r="F936" s="7">
        <f t="shared" ca="1" si="74"/>
        <v>2.1824458858823552E-2</v>
      </c>
      <c r="G936" s="7">
        <f t="shared" ca="1" si="70"/>
        <v>254.05813430803167</v>
      </c>
      <c r="H936" s="7">
        <f ca="1">(G936+DCF!$D$40+DCF!$D$41+DCF!$D$42-DCF!$D$43-DCF!$D$44)/DCF!$C$35</f>
        <v>2.0759969201266038</v>
      </c>
    </row>
    <row r="937" spans="3:8" x14ac:dyDescent="0.35">
      <c r="C937" s="8">
        <f t="shared" ca="1" si="71"/>
        <v>0.62785204254595484</v>
      </c>
      <c r="D937" s="7">
        <f t="shared" ca="1" si="72"/>
        <v>8.9620669281874982E-2</v>
      </c>
      <c r="E937" s="7">
        <f t="shared" ca="1" si="73"/>
        <v>0.19392026537004714</v>
      </c>
      <c r="F937" s="7">
        <f t="shared" ca="1" si="74"/>
        <v>1.6227684407065714E-2</v>
      </c>
      <c r="G937" s="7">
        <f t="shared" ca="1" si="70"/>
        <v>232.0072271673271</v>
      </c>
      <c r="H937" s="7">
        <f ca="1">(G937+DCF!$D$40+DCF!$D$41+DCF!$D$42-DCF!$D$43-DCF!$D$44)/DCF!$C$35</f>
        <v>1.9515420880874086</v>
      </c>
    </row>
    <row r="938" spans="3:8" x14ac:dyDescent="0.35">
      <c r="C938" s="8">
        <f t="shared" ca="1" si="71"/>
        <v>0.54000462199178234</v>
      </c>
      <c r="D938" s="7">
        <f t="shared" ca="1" si="72"/>
        <v>8.7342664722938612E-2</v>
      </c>
      <c r="E938" s="7">
        <f t="shared" ca="1" si="73"/>
        <v>0.9756461197331332</v>
      </c>
      <c r="F938" s="7">
        <f t="shared" ca="1" si="74"/>
        <v>2.7793016526257305E-2</v>
      </c>
      <c r="G938" s="7">
        <f t="shared" ca="1" si="70"/>
        <v>273.21012880262157</v>
      </c>
      <c r="H938" s="7">
        <f ca="1">(G938+DCF!$D$40+DCF!$D$41+DCF!$D$42-DCF!$D$43-DCF!$D$44)/DCF!$C$35</f>
        <v>2.1840903533278109</v>
      </c>
    </row>
    <row r="939" spans="3:8" x14ac:dyDescent="0.35">
      <c r="C939" s="8">
        <f t="shared" ca="1" si="71"/>
        <v>0.64421292669069086</v>
      </c>
      <c r="D939" s="7">
        <f t="shared" ca="1" si="72"/>
        <v>9.0073676359820193E-2</v>
      </c>
      <c r="E939" s="7">
        <f t="shared" ca="1" si="73"/>
        <v>0.98199233685230602</v>
      </c>
      <c r="F939" s="7">
        <f t="shared" ca="1" si="74"/>
        <v>2.8102229563530194E-2</v>
      </c>
      <c r="G939" s="7">
        <f t="shared" ca="1" si="70"/>
        <v>261.65242937137475</v>
      </c>
      <c r="H939" s="7">
        <f ca="1">(G939+DCF!$D$40+DCF!$D$41+DCF!$D$42-DCF!$D$43-DCF!$D$44)/DCF!$C$35</f>
        <v>2.1188589534449416</v>
      </c>
    </row>
    <row r="940" spans="3:8" x14ac:dyDescent="0.35">
      <c r="C940" s="8">
        <f t="shared" ca="1" si="71"/>
        <v>0.38425298215760983</v>
      </c>
      <c r="D940" s="7">
        <f t="shared" ca="1" si="72"/>
        <v>8.3786002366824958E-2</v>
      </c>
      <c r="E940" s="7">
        <f t="shared" ca="1" si="73"/>
        <v>0.88629405673932038</v>
      </c>
      <c r="F940" s="7">
        <f t="shared" ca="1" si="74"/>
        <v>2.5231227762606404E-2</v>
      </c>
      <c r="G940" s="7">
        <f t="shared" ca="1" si="70"/>
        <v>281.64025507933712</v>
      </c>
      <c r="H940" s="7">
        <f ca="1">(G940+DCF!$D$40+DCF!$D$41+DCF!$D$42-DCF!$D$43-DCF!$D$44)/DCF!$C$35</f>
        <v>2.2316697995221646</v>
      </c>
    </row>
    <row r="941" spans="3:8" x14ac:dyDescent="0.35">
      <c r="C941" s="8">
        <f t="shared" ca="1" si="71"/>
        <v>0.97493805207097795</v>
      </c>
      <c r="D941" s="7">
        <f t="shared" ca="1" si="72"/>
        <v>0.10471141475545788</v>
      </c>
      <c r="E941" s="7">
        <f t="shared" ca="1" si="73"/>
        <v>0.94179134780813967</v>
      </c>
      <c r="F941" s="7">
        <f t="shared" ca="1" si="74"/>
        <v>2.6588001987343474E-2</v>
      </c>
      <c r="G941" s="7">
        <f t="shared" ca="1" si="70"/>
        <v>206.58638512110264</v>
      </c>
      <c r="H941" s="7">
        <f ca="1">(G941+DCF!$D$40+DCF!$D$41+DCF!$D$42-DCF!$D$43-DCF!$D$44)/DCF!$C$35</f>
        <v>1.8080674179992247</v>
      </c>
    </row>
    <row r="942" spans="3:8" x14ac:dyDescent="0.35">
      <c r="C942" s="8">
        <f t="shared" ca="1" si="71"/>
        <v>0.52791408545387708</v>
      </c>
      <c r="D942" s="7">
        <f t="shared" ca="1" si="72"/>
        <v>8.7046832884469461E-2</v>
      </c>
      <c r="E942" s="7">
        <f t="shared" ca="1" si="73"/>
        <v>0.28180473184942822</v>
      </c>
      <c r="F942" s="7">
        <f t="shared" ca="1" si="74"/>
        <v>1.750739278111154E-2</v>
      </c>
      <c r="G942" s="7">
        <f t="shared" ca="1" si="70"/>
        <v>244.15540765303334</v>
      </c>
      <c r="H942" s="7">
        <f ca="1">(G942+DCF!$D$40+DCF!$D$41+DCF!$D$42-DCF!$D$43-DCF!$D$44)/DCF!$C$35</f>
        <v>2.0201061499776118</v>
      </c>
    </row>
    <row r="943" spans="3:8" x14ac:dyDescent="0.35">
      <c r="C943" s="8">
        <f t="shared" ca="1" si="71"/>
        <v>3.1624059184766073E-3</v>
      </c>
      <c r="D943" s="7">
        <f t="shared" ca="1" si="72"/>
        <v>7.1237176003866337E-2</v>
      </c>
      <c r="E943" s="7">
        <f t="shared" ca="1" si="73"/>
        <v>0.48204156542177179</v>
      </c>
      <c r="F943" s="7">
        <f t="shared" ca="1" si="74"/>
        <v>1.9818773502039568E-2</v>
      </c>
      <c r="G943" s="7">
        <f t="shared" ca="1" si="70"/>
        <v>331.61711717419007</v>
      </c>
      <c r="H943" s="7">
        <f ca="1">(G943+DCF!$D$40+DCF!$D$41+DCF!$D$42-DCF!$D$43-DCF!$D$44)/DCF!$C$35</f>
        <v>2.5137381034777628</v>
      </c>
    </row>
    <row r="944" spans="3:8" x14ac:dyDescent="0.35">
      <c r="C944" s="8">
        <f t="shared" ca="1" si="71"/>
        <v>0.42900218468295426</v>
      </c>
      <c r="D944" s="7">
        <f t="shared" ca="1" si="72"/>
        <v>8.4756514466226687E-2</v>
      </c>
      <c r="E944" s="7">
        <f t="shared" ca="1" si="73"/>
        <v>0.29865454412557269</v>
      </c>
      <c r="F944" s="7">
        <f t="shared" ca="1" si="74"/>
        <v>1.7728577412765855E-2</v>
      </c>
      <c r="G944" s="7">
        <f t="shared" ca="1" si="70"/>
        <v>253.58116666297491</v>
      </c>
      <c r="H944" s="7">
        <f ca="1">(G944+DCF!$D$40+DCF!$D$41+DCF!$D$42-DCF!$D$43-DCF!$D$44)/DCF!$C$35</f>
        <v>2.0733049252905231</v>
      </c>
    </row>
    <row r="945" spans="3:8" x14ac:dyDescent="0.35">
      <c r="C945" s="8">
        <f t="shared" ca="1" si="71"/>
        <v>0.41891772063152655</v>
      </c>
      <c r="D945" s="7">
        <f t="shared" ca="1" si="72"/>
        <v>8.4534575916054011E-2</v>
      </c>
      <c r="E945" s="7">
        <f t="shared" ca="1" si="73"/>
        <v>0.91605516384497188</v>
      </c>
      <c r="F945" s="7">
        <f t="shared" ca="1" si="74"/>
        <v>2.5902565774657799E-2</v>
      </c>
      <c r="G945" s="7">
        <f t="shared" ca="1" si="70"/>
        <v>280.31038491214792</v>
      </c>
      <c r="H945" s="7">
        <f ca="1">(G945+DCF!$D$40+DCF!$D$41+DCF!$D$42-DCF!$D$43-DCF!$D$44)/DCF!$C$35</f>
        <v>2.224164041721119</v>
      </c>
    </row>
    <row r="946" spans="3:8" x14ac:dyDescent="0.35">
      <c r="C946" s="8">
        <f t="shared" ca="1" si="71"/>
        <v>0.22889611556511713</v>
      </c>
      <c r="D946" s="7">
        <f t="shared" ca="1" si="72"/>
        <v>8.0525479558362978E-2</v>
      </c>
      <c r="E946" s="7">
        <f t="shared" ca="1" si="73"/>
        <v>0.44879273055172697</v>
      </c>
      <c r="F946" s="7">
        <f t="shared" ca="1" si="74"/>
        <v>1.9474098696464236E-2</v>
      </c>
      <c r="G946" s="7">
        <f t="shared" ca="1" si="70"/>
        <v>277.4357929866357</v>
      </c>
      <c r="H946" s="7">
        <f ca="1">(G946+DCF!$D$40+DCF!$D$41+DCF!$D$42-DCF!$D$43-DCF!$D$44)/DCF!$C$35</f>
        <v>2.2079399084921305</v>
      </c>
    </row>
    <row r="947" spans="3:8" x14ac:dyDescent="0.35">
      <c r="C947" s="8">
        <f t="shared" ca="1" si="71"/>
        <v>0.61515104952625244</v>
      </c>
      <c r="D947" s="7">
        <f t="shared" ca="1" si="72"/>
        <v>8.9275825016934873E-2</v>
      </c>
      <c r="E947" s="7">
        <f t="shared" ca="1" si="73"/>
        <v>0.24030000191340284</v>
      </c>
      <c r="F947" s="7">
        <f t="shared" ca="1" si="74"/>
        <v>1.6932532032575151E-2</v>
      </c>
      <c r="G947" s="7">
        <f t="shared" ca="1" si="70"/>
        <v>234.78149146976597</v>
      </c>
      <c r="H947" s="7">
        <f ca="1">(G947+DCF!$D$40+DCF!$D$41+DCF!$D$42-DCF!$D$43-DCF!$D$44)/DCF!$C$35</f>
        <v>1.9671999744314592</v>
      </c>
    </row>
    <row r="948" spans="3:8" x14ac:dyDescent="0.35">
      <c r="C948" s="8">
        <f t="shared" ca="1" si="71"/>
        <v>0.79032035108018217</v>
      </c>
      <c r="D948" s="7">
        <f t="shared" ca="1" si="72"/>
        <v>9.4702860130255834E-2</v>
      </c>
      <c r="E948" s="7">
        <f t="shared" ca="1" si="73"/>
        <v>0.2096693866111069</v>
      </c>
      <c r="F948" s="7">
        <f t="shared" ca="1" si="74"/>
        <v>1.6475637213604649E-2</v>
      </c>
      <c r="G948" s="7">
        <f t="shared" ca="1" si="70"/>
        <v>216.50087716510188</v>
      </c>
      <c r="H948" s="7">
        <f ca="1">(G948+DCF!$D$40+DCF!$D$41+DCF!$D$42-DCF!$D$43-DCF!$D$44)/DCF!$C$35</f>
        <v>1.8640245917434353</v>
      </c>
    </row>
    <row r="949" spans="3:8" x14ac:dyDescent="0.35">
      <c r="C949" s="8">
        <f t="shared" ca="1" si="71"/>
        <v>0.6680818778852019</v>
      </c>
      <c r="D949" s="7">
        <f t="shared" ca="1" si="72"/>
        <v>9.0753685436424078E-2</v>
      </c>
      <c r="E949" s="7">
        <f t="shared" ca="1" si="73"/>
        <v>0.63532487140606819</v>
      </c>
      <c r="F949" s="7">
        <f t="shared" ca="1" si="74"/>
        <v>2.1459799433339616E-2</v>
      </c>
      <c r="G949" s="7">
        <f t="shared" ca="1" si="70"/>
        <v>240.37553237446582</v>
      </c>
      <c r="H949" s="7">
        <f ca="1">(G949+DCF!$D$40+DCF!$D$41+DCF!$D$42-DCF!$D$43-DCF!$D$44)/DCF!$C$35</f>
        <v>1.9987726175328242</v>
      </c>
    </row>
    <row r="950" spans="3:8" x14ac:dyDescent="0.35">
      <c r="C950" s="8">
        <f t="shared" ca="1" si="71"/>
        <v>0.15750891122826571</v>
      </c>
      <c r="D950" s="7">
        <f t="shared" ca="1" si="72"/>
        <v>7.8731226319050537E-2</v>
      </c>
      <c r="E950" s="7">
        <f t="shared" ca="1" si="73"/>
        <v>6.1552623164078946E-2</v>
      </c>
      <c r="F950" s="7">
        <f t="shared" ca="1" si="74"/>
        <v>1.3508635722444807E-2</v>
      </c>
      <c r="G950" s="7">
        <f t="shared" ca="1" si="70"/>
        <v>266.54500451096146</v>
      </c>
      <c r="H950" s="7">
        <f ca="1">(G950+DCF!$D$40+DCF!$D$41+DCF!$D$42-DCF!$D$43-DCF!$D$44)/DCF!$C$35</f>
        <v>2.1464725392875126</v>
      </c>
    </row>
    <row r="951" spans="3:8" x14ac:dyDescent="0.35">
      <c r="C951" s="8">
        <f t="shared" ca="1" si="71"/>
        <v>4.3571988560723418E-2</v>
      </c>
      <c r="D951" s="7">
        <f t="shared" ca="1" si="72"/>
        <v>7.4592258971725153E-2</v>
      </c>
      <c r="E951" s="7">
        <f t="shared" ca="1" si="73"/>
        <v>0.52481420962838954</v>
      </c>
      <c r="F951" s="7">
        <f t="shared" ca="1" si="74"/>
        <v>2.0251299672555213E-2</v>
      </c>
      <c r="G951" s="7">
        <f t="shared" ca="1" si="70"/>
        <v>312.28849880086113</v>
      </c>
      <c r="H951" s="7">
        <f ca="1">(G951+DCF!$D$40+DCF!$D$41+DCF!$D$42-DCF!$D$43-DCF!$D$44)/DCF!$C$35</f>
        <v>2.4046478090126486</v>
      </c>
    </row>
    <row r="952" spans="3:8" x14ac:dyDescent="0.35">
      <c r="C952" s="8">
        <f t="shared" ca="1" si="71"/>
        <v>0.87020972833539567</v>
      </c>
      <c r="D952" s="7">
        <f t="shared" ca="1" si="72"/>
        <v>9.7964803982580992E-2</v>
      </c>
      <c r="E952" s="7">
        <f t="shared" ca="1" si="73"/>
        <v>0.96328736657559488</v>
      </c>
      <c r="F952" s="7">
        <f t="shared" ca="1" si="74"/>
        <v>2.7290290295090447E-2</v>
      </c>
      <c r="G952" s="7">
        <f t="shared" ca="1" si="70"/>
        <v>228.85093502489829</v>
      </c>
      <c r="H952" s="7">
        <f ca="1">(G952+DCF!$D$40+DCF!$D$41+DCF!$D$42-DCF!$D$43-DCF!$D$44)/DCF!$C$35</f>
        <v>1.933728045066589</v>
      </c>
    </row>
    <row r="953" spans="3:8" x14ac:dyDescent="0.35">
      <c r="C953" s="8">
        <f t="shared" ca="1" si="71"/>
        <v>0.64138609916705591</v>
      </c>
      <c r="D953" s="7">
        <f t="shared" ca="1" si="72"/>
        <v>8.9994672876217055E-2</v>
      </c>
      <c r="E953" s="7">
        <f t="shared" ca="1" si="73"/>
        <v>0.5247309941559356</v>
      </c>
      <c r="F953" s="7">
        <f t="shared" ca="1" si="74"/>
        <v>2.0250446104112616E-2</v>
      </c>
      <c r="G953" s="7">
        <f t="shared" ca="1" si="70"/>
        <v>240.14927595421989</v>
      </c>
      <c r="H953" s="7">
        <f ca="1">(G953+DCF!$D$40+DCF!$D$41+DCF!$D$42-DCF!$D$43-DCF!$D$44)/DCF!$C$35</f>
        <v>1.9974956313027423</v>
      </c>
    </row>
    <row r="954" spans="3:8" x14ac:dyDescent="0.35">
      <c r="C954" s="8">
        <f t="shared" ca="1" si="71"/>
        <v>0.90075033132892957</v>
      </c>
      <c r="D954" s="7">
        <f t="shared" ca="1" si="72"/>
        <v>9.9475617346517914E-2</v>
      </c>
      <c r="E954" s="7">
        <f t="shared" ca="1" si="73"/>
        <v>0.91928034314587848</v>
      </c>
      <c r="F954" s="7">
        <f t="shared" ca="1" si="74"/>
        <v>2.5982048859079506E-2</v>
      </c>
      <c r="G954" s="7">
        <f t="shared" ca="1" si="70"/>
        <v>220.99772692744148</v>
      </c>
      <c r="H954" s="7">
        <f ca="1">(G954+DCF!$D$40+DCF!$D$41+DCF!$D$42-DCF!$D$43-DCF!$D$44)/DCF!$C$35</f>
        <v>1.8894047123120072</v>
      </c>
    </row>
    <row r="955" spans="3:8" x14ac:dyDescent="0.35">
      <c r="C955" s="8">
        <f t="shared" ca="1" si="71"/>
        <v>0.3760576125314683</v>
      </c>
      <c r="D955" s="7">
        <f t="shared" ca="1" si="72"/>
        <v>8.3612129596822682E-2</v>
      </c>
      <c r="E955" s="7">
        <f t="shared" ca="1" si="73"/>
        <v>0.51498303184117511</v>
      </c>
      <c r="F955" s="7">
        <f t="shared" ca="1" si="74"/>
        <v>2.0150969914160839E-2</v>
      </c>
      <c r="G955" s="7">
        <f t="shared" ca="1" si="70"/>
        <v>265.4536653877729</v>
      </c>
      <c r="H955" s="7">
        <f ca="1">(G955+DCF!$D$40+DCF!$D$41+DCF!$D$42-DCF!$D$43-DCF!$D$44)/DCF!$C$35</f>
        <v>2.1403130454214523</v>
      </c>
    </row>
    <row r="956" spans="3:8" x14ac:dyDescent="0.35">
      <c r="C956" s="8">
        <f t="shared" ca="1" si="71"/>
        <v>0.56220735186698434</v>
      </c>
      <c r="D956" s="7">
        <f t="shared" ca="1" si="72"/>
        <v>8.7896231196548283E-2</v>
      </c>
      <c r="E956" s="7">
        <f t="shared" ca="1" si="73"/>
        <v>0.47894298260640966</v>
      </c>
      <c r="F956" s="7">
        <f t="shared" ca="1" si="74"/>
        <v>1.9787164886793412E-2</v>
      </c>
      <c r="G956" s="7">
        <f t="shared" ca="1" si="70"/>
        <v>246.81116092418904</v>
      </c>
      <c r="H956" s="7">
        <f ca="1">(G956+DCF!$D$40+DCF!$D$41+DCF!$D$42-DCF!$D$43-DCF!$D$44)/DCF!$C$35</f>
        <v>2.0350951626830853</v>
      </c>
    </row>
    <row r="957" spans="3:8" x14ac:dyDescent="0.35">
      <c r="C957" s="8">
        <f t="shared" ca="1" si="71"/>
        <v>0.33431254487260809</v>
      </c>
      <c r="D957" s="7">
        <f t="shared" ca="1" si="72"/>
        <v>8.2743675964610172E-2</v>
      </c>
      <c r="E957" s="7">
        <f t="shared" ca="1" si="73"/>
        <v>0.59761499716485322</v>
      </c>
      <c r="F957" s="7">
        <f t="shared" ca="1" si="74"/>
        <v>2.1029102577387847E-2</v>
      </c>
      <c r="G957" s="7">
        <f t="shared" ca="1" si="70"/>
        <v>272.17818632314925</v>
      </c>
      <c r="H957" s="7">
        <f ca="1">(G957+DCF!$D$40+DCF!$D$41+DCF!$D$42-DCF!$D$43-DCF!$D$44)/DCF!$C$35</f>
        <v>2.1782660928047703</v>
      </c>
    </row>
    <row r="958" spans="3:8" x14ac:dyDescent="0.35">
      <c r="C958" s="8">
        <f t="shared" ca="1" si="71"/>
        <v>0.26575994367298061</v>
      </c>
      <c r="D958" s="7">
        <f t="shared" ca="1" si="72"/>
        <v>8.1341420225779601E-2</v>
      </c>
      <c r="E958" s="7">
        <f t="shared" ca="1" si="73"/>
        <v>0.23935229504130417</v>
      </c>
      <c r="F958" s="7">
        <f t="shared" ca="1" si="74"/>
        <v>1.6918848098365857E-2</v>
      </c>
      <c r="G958" s="7">
        <f t="shared" ca="1" si="70"/>
        <v>265.50463551134538</v>
      </c>
      <c r="H958" s="7">
        <f ca="1">(G958+DCF!$D$40+DCF!$D$41+DCF!$D$42-DCF!$D$43-DCF!$D$44)/DCF!$C$35</f>
        <v>2.140600719671212</v>
      </c>
    </row>
    <row r="959" spans="3:8" x14ac:dyDescent="0.35">
      <c r="C959" s="8">
        <f t="shared" ca="1" si="71"/>
        <v>0.13274430418198413</v>
      </c>
      <c r="D959" s="7">
        <f t="shared" ca="1" si="72"/>
        <v>7.8015500185520573E-2</v>
      </c>
      <c r="E959" s="7">
        <f t="shared" ca="1" si="73"/>
        <v>0.11768824410220147</v>
      </c>
      <c r="F959" s="7">
        <f t="shared" ca="1" si="74"/>
        <v>1.4851561482702273E-2</v>
      </c>
      <c r="G959" s="7">
        <f t="shared" ca="1" si="70"/>
        <v>273.91298159414242</v>
      </c>
      <c r="H959" s="7">
        <f ca="1">(G959+DCF!$D$40+DCF!$D$41+DCF!$D$42-DCF!$D$43-DCF!$D$44)/DCF!$C$35</f>
        <v>2.1880572389329629</v>
      </c>
    </row>
    <row r="960" spans="3:8" x14ac:dyDescent="0.35">
      <c r="C960" s="8">
        <f t="shared" ca="1" si="71"/>
        <v>0.52011177427274491</v>
      </c>
      <c r="D960" s="7">
        <f t="shared" ca="1" si="72"/>
        <v>8.6857933110639912E-2</v>
      </c>
      <c r="E960" s="7">
        <f t="shared" ca="1" si="73"/>
        <v>0.56947912660380751</v>
      </c>
      <c r="F960" s="7">
        <f t="shared" ca="1" si="74"/>
        <v>2.0720766482125882E-2</v>
      </c>
      <c r="G960" s="7">
        <f t="shared" ca="1" si="70"/>
        <v>253.42420072819885</v>
      </c>
      <c r="H960" s="7">
        <f ca="1">(G960+DCF!$D$40+DCF!$D$41+DCF!$D$42-DCF!$D$43-DCF!$D$44)/DCF!$C$35</f>
        <v>2.0724190130274232</v>
      </c>
    </row>
    <row r="961" spans="3:8" x14ac:dyDescent="0.35">
      <c r="C961" s="8">
        <f t="shared" ca="1" si="71"/>
        <v>5.3055889873775852E-2</v>
      </c>
      <c r="D961" s="7">
        <f t="shared" ca="1" si="72"/>
        <v>7.5067450118048287E-2</v>
      </c>
      <c r="E961" s="7">
        <f t="shared" ca="1" si="73"/>
        <v>0.27926245378938097</v>
      </c>
      <c r="F961" s="7">
        <f t="shared" ca="1" si="74"/>
        <v>1.7473452398849957E-2</v>
      </c>
      <c r="G961" s="7">
        <f t="shared" ca="1" si="70"/>
        <v>297.97085553586845</v>
      </c>
      <c r="H961" s="7">
        <f ca="1">(G961+DCF!$D$40+DCF!$D$41+DCF!$D$42-DCF!$D$43-DCF!$D$44)/DCF!$C$35</f>
        <v>2.3238393471942005</v>
      </c>
    </row>
    <row r="962" spans="3:8" x14ac:dyDescent="0.35">
      <c r="C962" s="8">
        <f t="shared" ca="1" si="71"/>
        <v>2.9711974626931759E-2</v>
      </c>
      <c r="D962" s="7">
        <f t="shared" ca="1" si="72"/>
        <v>7.3792175591851597E-2</v>
      </c>
      <c r="E962" s="7">
        <f t="shared" ca="1" si="73"/>
        <v>0.71716181699514037</v>
      </c>
      <c r="F962" s="7">
        <f t="shared" ca="1" si="74"/>
        <v>2.2478854036719408E-2</v>
      </c>
      <c r="G962" s="7">
        <f t="shared" ca="1" si="70"/>
        <v>327.83289540028909</v>
      </c>
      <c r="H962" s="7">
        <f ca="1">(G962+DCF!$D$40+DCF!$D$41+DCF!$D$42-DCF!$D$43-DCF!$D$44)/DCF!$C$35</f>
        <v>2.4923800395094768</v>
      </c>
    </row>
    <row r="963" spans="3:8" x14ac:dyDescent="0.35">
      <c r="C963" s="8">
        <f t="shared" ca="1" si="71"/>
        <v>0.67235413553116541</v>
      </c>
      <c r="D963" s="7">
        <f t="shared" ca="1" si="72"/>
        <v>9.0877950299530663E-2</v>
      </c>
      <c r="E963" s="7">
        <f t="shared" ca="1" si="73"/>
        <v>0.93406340234820928</v>
      </c>
      <c r="F963" s="7">
        <f t="shared" ca="1" si="74"/>
        <v>2.636856508658655E-2</v>
      </c>
      <c r="G963" s="7">
        <f t="shared" ca="1" si="70"/>
        <v>253.02616694477734</v>
      </c>
      <c r="H963" s="7">
        <f ca="1">(G963+DCF!$D$40+DCF!$D$41+DCF!$D$42-DCF!$D$43-DCF!$D$44)/DCF!$C$35</f>
        <v>2.0701725191600482</v>
      </c>
    </row>
    <row r="964" spans="3:8" x14ac:dyDescent="0.35">
      <c r="C964" s="8">
        <f t="shared" ca="1" si="71"/>
        <v>0.20633430954344567</v>
      </c>
      <c r="D964" s="7">
        <f t="shared" ca="1" si="72"/>
        <v>7.9993288038429977E-2</v>
      </c>
      <c r="E964" s="7">
        <f t="shared" ca="1" si="73"/>
        <v>0.35386079890938738</v>
      </c>
      <c r="F964" s="7">
        <f t="shared" ca="1" si="74"/>
        <v>1.8412619079803714E-2</v>
      </c>
      <c r="G964" s="7">
        <f t="shared" ca="1" si="70"/>
        <v>276.3878832912373</v>
      </c>
      <c r="H964" s="7">
        <f ca="1">(G964+DCF!$D$40+DCF!$D$41+DCF!$D$42-DCF!$D$43-DCF!$D$44)/DCF!$C$35</f>
        <v>2.2020255293556681</v>
      </c>
    </row>
    <row r="965" spans="3:8" x14ac:dyDescent="0.35">
      <c r="C965" s="8">
        <f t="shared" ca="1" si="71"/>
        <v>0.87718985923827864</v>
      </c>
      <c r="D965" s="7">
        <f t="shared" ca="1" si="72"/>
        <v>9.8292903131430021E-2</v>
      </c>
      <c r="E965" s="7">
        <f t="shared" ca="1" si="73"/>
        <v>0.44110628781169547</v>
      </c>
      <c r="F965" s="7">
        <f t="shared" ca="1" si="74"/>
        <v>1.939261718384919E-2</v>
      </c>
      <c r="G965" s="7">
        <f t="shared" ca="1" si="70"/>
        <v>211.55467369616284</v>
      </c>
      <c r="H965" s="7">
        <f ca="1">(G965+DCF!$D$40+DCF!$D$41+DCF!$D$42-DCF!$D$43-DCF!$D$44)/DCF!$C$35</f>
        <v>1.8361083287964939</v>
      </c>
    </row>
    <row r="966" spans="3:8" x14ac:dyDescent="0.35">
      <c r="C966" s="8">
        <f t="shared" ca="1" si="71"/>
        <v>0.49159510100884685</v>
      </c>
      <c r="D966" s="7">
        <f t="shared" ca="1" si="72"/>
        <v>8.6180263072944602E-2</v>
      </c>
      <c r="E966" s="7">
        <f t="shared" ca="1" si="73"/>
        <v>3.2762168394138924E-2</v>
      </c>
      <c r="F966" s="7">
        <f t="shared" ca="1" si="74"/>
        <v>1.2559772192760088E-2</v>
      </c>
      <c r="G966" s="7">
        <f t="shared" ca="1" si="70"/>
        <v>235.41562001017178</v>
      </c>
      <c r="H966" s="7">
        <f ca="1">(G966+DCF!$D$40+DCF!$D$41+DCF!$D$42-DCF!$D$43-DCF!$D$44)/DCF!$C$35</f>
        <v>1.9707789818838004</v>
      </c>
    </row>
    <row r="967" spans="3:8" x14ac:dyDescent="0.35">
      <c r="C967" s="8">
        <f t="shared" ca="1" si="71"/>
        <v>0.78933306640840906</v>
      </c>
      <c r="D967" s="7">
        <f t="shared" ca="1" si="72"/>
        <v>9.4666888838588065E-2</v>
      </c>
      <c r="E967" s="7">
        <f t="shared" ca="1" si="73"/>
        <v>0.96446981250790387</v>
      </c>
      <c r="F967" s="7">
        <f t="shared" ca="1" si="74"/>
        <v>2.733428480545666E-2</v>
      </c>
      <c r="G967" s="7">
        <f t="shared" ca="1" si="70"/>
        <v>240.75781922506721</v>
      </c>
      <c r="H967" s="7">
        <f ca="1">(G967+DCF!$D$40+DCF!$D$41+DCF!$D$42-DCF!$D$43-DCF!$D$44)/DCF!$C$35</f>
        <v>2.0009302360597538</v>
      </c>
    </row>
    <row r="968" spans="3:8" x14ac:dyDescent="0.35">
      <c r="C968" s="8">
        <f t="shared" ca="1" si="71"/>
        <v>0.67745267282953769</v>
      </c>
      <c r="D968" s="7">
        <f t="shared" ca="1" si="72"/>
        <v>9.1027313919156416E-2</v>
      </c>
      <c r="E968" s="7">
        <f t="shared" ca="1" si="73"/>
        <v>0.90823739866294839</v>
      </c>
      <c r="F968" s="7">
        <f t="shared" ca="1" si="74"/>
        <v>2.5716015841834809E-2</v>
      </c>
      <c r="G968" s="7">
        <f t="shared" ca="1" si="70"/>
        <v>250.56681735333285</v>
      </c>
      <c r="H968" s="7">
        <f ca="1">(G968+DCF!$D$40+DCF!$D$41+DCF!$D$42-DCF!$D$43-DCF!$D$44)/DCF!$C$35</f>
        <v>2.056292004477553</v>
      </c>
    </row>
    <row r="969" spans="3:8" x14ac:dyDescent="0.35">
      <c r="C969" s="8">
        <f t="shared" ca="1" si="71"/>
        <v>0.32436801767926804</v>
      </c>
      <c r="D969" s="7">
        <f t="shared" ca="1" si="72"/>
        <v>8.2540843198125394E-2</v>
      </c>
      <c r="E969" s="7">
        <f t="shared" ca="1" si="73"/>
        <v>0.6411030971604188</v>
      </c>
      <c r="F969" s="7">
        <f t="shared" ca="1" si="74"/>
        <v>2.1527728724366986E-2</v>
      </c>
      <c r="G969" s="7">
        <f t="shared" ca="1" si="70"/>
        <v>274.78559346467063</v>
      </c>
      <c r="H969" s="7">
        <f ca="1">(G969+DCF!$D$40+DCF!$D$41+DCF!$D$42-DCF!$D$43-DCF!$D$44)/DCF!$C$35</f>
        <v>2.1929822410242159</v>
      </c>
    </row>
    <row r="970" spans="3:8" x14ac:dyDescent="0.35">
      <c r="C970" s="8">
        <f t="shared" ca="1" si="71"/>
        <v>0.67739417101799926</v>
      </c>
      <c r="D970" s="7">
        <f t="shared" ca="1" si="72"/>
        <v>9.1025593417871725E-2</v>
      </c>
      <c r="E970" s="7">
        <f t="shared" ca="1" si="73"/>
        <v>0.22824455687310974</v>
      </c>
      <c r="F970" s="7">
        <f t="shared" ca="1" si="74"/>
        <v>1.6756397810566068E-2</v>
      </c>
      <c r="G970" s="7">
        <f t="shared" ca="1" si="70"/>
        <v>228.50778781802683</v>
      </c>
      <c r="H970" s="7">
        <f ca="1">(G970+DCF!$D$40+DCF!$D$41+DCF!$D$42-DCF!$D$43-DCF!$D$44)/DCF!$C$35</f>
        <v>1.9317913298229303</v>
      </c>
    </row>
    <row r="971" spans="3:8" x14ac:dyDescent="0.35">
      <c r="C971" s="8">
        <f t="shared" ca="1" si="71"/>
        <v>0.19077912425178523</v>
      </c>
      <c r="D971" s="7">
        <f t="shared" ca="1" si="72"/>
        <v>7.9609219330302752E-2</v>
      </c>
      <c r="E971" s="7">
        <f t="shared" ca="1" si="73"/>
        <v>0.74027440555870039</v>
      </c>
      <c r="F971" s="7">
        <f t="shared" ca="1" si="74"/>
        <v>2.2792703774073116E-2</v>
      </c>
      <c r="G971" s="7">
        <f t="shared" ca="1" si="70"/>
        <v>294.24526019617798</v>
      </c>
      <c r="H971" s="7">
        <f ca="1">(G971+DCF!$D$40+DCF!$D$41+DCF!$D$42-DCF!$D$43-DCF!$D$44)/DCF!$C$35</f>
        <v>2.302812169523524</v>
      </c>
    </row>
    <row r="972" spans="3:8" x14ac:dyDescent="0.35">
      <c r="C972" s="8">
        <f t="shared" ca="1" si="71"/>
        <v>0.43514146012629362</v>
      </c>
      <c r="D972" s="7">
        <f t="shared" ca="1" si="72"/>
        <v>8.4892588136188635E-2</v>
      </c>
      <c r="E972" s="7">
        <f t="shared" ca="1" si="73"/>
        <v>0.33063161631321214</v>
      </c>
      <c r="F972" s="7">
        <f t="shared" ca="1" si="74"/>
        <v>1.8131809347411092E-2</v>
      </c>
      <c r="G972" s="7">
        <f t="shared" ca="1" si="70"/>
        <v>254.14866371316239</v>
      </c>
      <c r="H972" s="7">
        <f ca="1">(G972+DCF!$D$40+DCF!$D$41+DCF!$D$42-DCF!$D$43-DCF!$D$44)/DCF!$C$35</f>
        <v>2.0765078660862533</v>
      </c>
    </row>
    <row r="973" spans="3:8" x14ac:dyDescent="0.35">
      <c r="C973" s="8">
        <f t="shared" ca="1" si="71"/>
        <v>0.95260814870881172</v>
      </c>
      <c r="D973" s="7">
        <f t="shared" ca="1" si="72"/>
        <v>0.10272749657676492</v>
      </c>
      <c r="E973" s="7">
        <f t="shared" ca="1" si="73"/>
        <v>0.5584056218520137</v>
      </c>
      <c r="F973" s="7">
        <f t="shared" ca="1" si="74"/>
        <v>2.0602187721091826E-2</v>
      </c>
      <c r="G973" s="7">
        <f t="shared" ca="1" si="70"/>
        <v>201.55359589083059</v>
      </c>
      <c r="H973" s="7">
        <f ca="1">(G973+DCF!$D$40+DCF!$D$41+DCF!$D$42-DCF!$D$43-DCF!$D$44)/DCF!$C$35</f>
        <v>1.7796624669309775</v>
      </c>
    </row>
    <row r="974" spans="3:8" x14ac:dyDescent="0.35">
      <c r="C974" s="8">
        <f t="shared" ca="1" si="71"/>
        <v>0.40551281921259141</v>
      </c>
      <c r="D974" s="7">
        <f t="shared" ca="1" si="72"/>
        <v>8.4242521595490991E-2</v>
      </c>
      <c r="E974" s="7">
        <f t="shared" ca="1" si="73"/>
        <v>0.82183620078178299</v>
      </c>
      <c r="F974" s="7">
        <f t="shared" ca="1" si="74"/>
        <v>2.4030681794070329E-2</v>
      </c>
      <c r="G974" s="7">
        <f t="shared" ca="1" si="70"/>
        <v>275.16990246742409</v>
      </c>
      <c r="H974" s="7">
        <f ca="1">(G974+DCF!$D$40+DCF!$D$41+DCF!$D$42-DCF!$D$43-DCF!$D$44)/DCF!$C$35</f>
        <v>2.195151272533153</v>
      </c>
    </row>
    <row r="975" spans="3:8" x14ac:dyDescent="0.35">
      <c r="C975" s="8">
        <f t="shared" ca="1" si="71"/>
        <v>0.18842494047673941</v>
      </c>
      <c r="D975" s="7">
        <f t="shared" ca="1" si="72"/>
        <v>7.9549747179414848E-2</v>
      </c>
      <c r="E975" s="7">
        <f t="shared" ca="1" si="73"/>
        <v>0.17225431310048722</v>
      </c>
      <c r="F975" s="7">
        <f t="shared" ca="1" si="74"/>
        <v>1.5869485720239673E-2</v>
      </c>
      <c r="G975" s="7">
        <f t="shared" ca="1" si="70"/>
        <v>270.18688509896509</v>
      </c>
      <c r="H975" s="7">
        <f ca="1">(G975+DCF!$D$40+DCF!$D$41+DCF!$D$42-DCF!$D$43-DCF!$D$44)/DCF!$C$35</f>
        <v>2.1670272327518063</v>
      </c>
    </row>
    <row r="976" spans="3:8" x14ac:dyDescent="0.35">
      <c r="C976" s="8">
        <f t="shared" ca="1" si="71"/>
        <v>0.95032684103030118</v>
      </c>
      <c r="D976" s="7">
        <f t="shared" ca="1" si="72"/>
        <v>0.10255451509905608</v>
      </c>
      <c r="E976" s="7">
        <f t="shared" ca="1" si="73"/>
        <v>0.96104908127512789</v>
      </c>
      <c r="F976" s="7">
        <f t="shared" ca="1" si="74"/>
        <v>2.7208909936068986E-2</v>
      </c>
      <c r="G976" s="7">
        <f t="shared" ref="G976:G1039" ca="1" si="75">$C$11/(1+D976)^1
 +$D$11/(1+D976)^2
 +$E$11/(1+D976)^3
 +$F$11/(1+D976)^4
 +$G$11/(1+D976)^5
 +$H$11/(1+D976)^6
 +$I$11/(1+D976)^7
 + ( $I$11*(1+F976)/(D976-F976) )/(1+D976)^7</f>
        <v>214.0073516761978</v>
      </c>
      <c r="H976" s="7">
        <f ca="1">(G976+DCF!$D$40+DCF!$D$41+DCF!$D$42-DCF!$D$43-DCF!$D$44)/DCF!$C$35</f>
        <v>1.8499511890517992</v>
      </c>
    </row>
    <row r="977" spans="3:8" x14ac:dyDescent="0.35">
      <c r="C977" s="8">
        <f t="shared" ref="C977:C1040" ca="1" si="76">RAND()</f>
        <v>0.2345911778156704</v>
      </c>
      <c r="D977" s="7">
        <f t="shared" ref="D977:D1040" ca="1" si="77">IF(C977&lt;($C$6-0.07)/(0.11-0.07),0.07+SQRT(C977*(0.11-0.07)*($C$6-0.07)),0.11-SQRT((1-C977)*(0.11-0.07)*(0.11-$C$6)))</f>
        <v>8.0655614954698043E-2</v>
      </c>
      <c r="E977" s="7">
        <f t="shared" ref="E977:E1040" ca="1" si="78">RAND()</f>
        <v>0.82001678526182797</v>
      </c>
      <c r="F977" s="7">
        <f t="shared" ref="F977:F1040" ca="1" si="79">MIN(
 IF(E977&lt;(0.02-0.01)/(0.03-0.01),
   0.01+SQRT(E977*(0.03-0.01)*(0.02-0.01)),
   0.03-SQRT((1-E977)*(0.03-0.01)*(0.03-0.02))
 ),
 D977-0.005
)</f>
        <v>2.4000279760885979E-2</v>
      </c>
      <c r="G977" s="7">
        <f t="shared" ca="1" si="75"/>
        <v>293.33325579532902</v>
      </c>
      <c r="H977" s="7">
        <f ca="1">(G977+DCF!$D$40+DCF!$D$41+DCF!$D$42-DCF!$D$43-DCF!$D$44)/DCF!$C$35</f>
        <v>2.2976648368626762</v>
      </c>
    </row>
    <row r="978" spans="3:8" x14ac:dyDescent="0.35">
      <c r="C978" s="8">
        <f t="shared" ca="1" si="76"/>
        <v>0.84126016740090903</v>
      </c>
      <c r="D978" s="7">
        <f t="shared" ca="1" si="77"/>
        <v>9.6690091916899451E-2</v>
      </c>
      <c r="E978" s="7">
        <f t="shared" ca="1" si="78"/>
        <v>0.83271064853615728</v>
      </c>
      <c r="F978" s="7">
        <f t="shared" ca="1" si="79"/>
        <v>2.4215722145957325E-2</v>
      </c>
      <c r="G978" s="7">
        <f t="shared" ca="1" si="75"/>
        <v>226.19670888212079</v>
      </c>
      <c r="H978" s="7">
        <f ca="1">(G978+DCF!$D$40+DCF!$D$41+DCF!$D$42-DCF!$D$43-DCF!$D$44)/DCF!$C$35</f>
        <v>1.918747651439896</v>
      </c>
    </row>
    <row r="979" spans="3:8" x14ac:dyDescent="0.35">
      <c r="C979" s="8">
        <f t="shared" ca="1" si="76"/>
        <v>0.7065231150083543</v>
      </c>
      <c r="D979" s="7">
        <f t="shared" ca="1" si="77"/>
        <v>9.1902480732136888E-2</v>
      </c>
      <c r="E979" s="7">
        <f t="shared" ca="1" si="78"/>
        <v>0.78977801716428897</v>
      </c>
      <c r="F979" s="7">
        <f t="shared" ca="1" si="79"/>
        <v>2.351583493677542E-2</v>
      </c>
      <c r="G979" s="7">
        <f t="shared" ca="1" si="75"/>
        <v>241.3075181839867</v>
      </c>
      <c r="H979" s="7">
        <f ca="1">(G979+DCF!$D$40+DCF!$D$41+DCF!$D$42-DCF!$D$43-DCF!$D$44)/DCF!$C$35</f>
        <v>2.0040327248221397</v>
      </c>
    </row>
    <row r="980" spans="3:8" x14ac:dyDescent="0.35">
      <c r="C980" s="8">
        <f t="shared" ca="1" si="76"/>
        <v>0.36601565988011053</v>
      </c>
      <c r="D980" s="7">
        <f t="shared" ca="1" si="77"/>
        <v>8.3400629263574749E-2</v>
      </c>
      <c r="E980" s="7">
        <f t="shared" ca="1" si="78"/>
        <v>0.40750599188492487</v>
      </c>
      <c r="F980" s="7">
        <f t="shared" ca="1" si="79"/>
        <v>1.9027801414352501E-2</v>
      </c>
      <c r="G980" s="7">
        <f t="shared" ca="1" si="75"/>
        <v>262.95217518972345</v>
      </c>
      <c r="H980" s="7">
        <f ca="1">(G980+DCF!$D$40+DCF!$D$41+DCF!$D$42-DCF!$D$43-DCF!$D$44)/DCF!$C$35</f>
        <v>2.1261946900876141</v>
      </c>
    </row>
    <row r="981" spans="3:8" x14ac:dyDescent="0.35">
      <c r="C981" s="8">
        <f t="shared" ca="1" si="76"/>
        <v>0.51531113118955274</v>
      </c>
      <c r="D981" s="7">
        <f t="shared" ca="1" si="77"/>
        <v>8.6742468368451925E-2</v>
      </c>
      <c r="E981" s="7">
        <f t="shared" ca="1" si="78"/>
        <v>0.91751446577479101</v>
      </c>
      <c r="F981" s="7">
        <f t="shared" ca="1" si="79"/>
        <v>2.5938336936051711E-2</v>
      </c>
      <c r="G981" s="7">
        <f t="shared" ca="1" si="75"/>
        <v>269.78898287524999</v>
      </c>
      <c r="H981" s="7">
        <f ca="1">(G981+DCF!$D$40+DCF!$D$41+DCF!$D$42-DCF!$D$43-DCF!$D$44)/DCF!$C$35</f>
        <v>2.1647814814045039</v>
      </c>
    </row>
    <row r="982" spans="3:8" x14ac:dyDescent="0.35">
      <c r="C982" s="8">
        <f t="shared" ca="1" si="76"/>
        <v>0.4839504633737538</v>
      </c>
      <c r="D982" s="7">
        <f t="shared" ca="1" si="77"/>
        <v>8.6001848344614315E-2</v>
      </c>
      <c r="E982" s="7">
        <f t="shared" ca="1" si="78"/>
        <v>0.32653933216093101</v>
      </c>
      <c r="F982" s="7">
        <f t="shared" ca="1" si="79"/>
        <v>1.8081328259153082E-2</v>
      </c>
      <c r="G982" s="7">
        <f t="shared" ca="1" si="75"/>
        <v>249.62060769628064</v>
      </c>
      <c r="H982" s="7">
        <f ca="1">(G982+DCF!$D$40+DCF!$D$41+DCF!$D$42-DCF!$D$43-DCF!$D$44)/DCF!$C$35</f>
        <v>2.0509516181074652</v>
      </c>
    </row>
    <row r="983" spans="3:8" x14ac:dyDescent="0.35">
      <c r="C983" s="8">
        <f t="shared" ca="1" si="76"/>
        <v>0.21831395219623606</v>
      </c>
      <c r="D983" s="7">
        <f t="shared" ca="1" si="77"/>
        <v>8.0279297294220966E-2</v>
      </c>
      <c r="E983" s="7">
        <f t="shared" ca="1" si="78"/>
        <v>0.60019892363573268</v>
      </c>
      <c r="F983" s="7">
        <f t="shared" ca="1" si="79"/>
        <v>2.1057952400436831E-2</v>
      </c>
      <c r="G983" s="7">
        <f t="shared" ca="1" si="75"/>
        <v>284.19412557902552</v>
      </c>
      <c r="H983" s="7">
        <f ca="1">(G983+DCF!$D$40+DCF!$D$41+DCF!$D$42-DCF!$D$43-DCF!$D$44)/DCF!$C$35</f>
        <v>2.2460837881195705</v>
      </c>
    </row>
    <row r="984" spans="3:8" x14ac:dyDescent="0.35">
      <c r="C984" s="8">
        <f t="shared" ca="1" si="76"/>
        <v>0.11232953967905557</v>
      </c>
      <c r="D984" s="7">
        <f t="shared" ca="1" si="77"/>
        <v>7.7373431847156587E-2</v>
      </c>
      <c r="E984" s="7">
        <f t="shared" ca="1" si="78"/>
        <v>0.51906645944202578</v>
      </c>
      <c r="F984" s="7">
        <f t="shared" ca="1" si="79"/>
        <v>2.019251774859649E-2</v>
      </c>
      <c r="G984" s="7">
        <f t="shared" ca="1" si="75"/>
        <v>296.13633528670118</v>
      </c>
      <c r="H984" s="7">
        <f ca="1">(G984+DCF!$D$40+DCF!$D$41+DCF!$D$42-DCF!$D$43-DCF!$D$44)/DCF!$C$35</f>
        <v>2.3134853554955477</v>
      </c>
    </row>
    <row r="985" spans="3:8" x14ac:dyDescent="0.35">
      <c r="C985" s="8">
        <f t="shared" ca="1" si="76"/>
        <v>3.7412494968103505E-2</v>
      </c>
      <c r="D985" s="7">
        <f t="shared" ca="1" si="77"/>
        <v>7.4255308163289957E-2</v>
      </c>
      <c r="E985" s="7">
        <f t="shared" ca="1" si="78"/>
        <v>0.79484747363512631</v>
      </c>
      <c r="F985" s="7">
        <f t="shared" ca="1" si="79"/>
        <v>2.3594494143865392E-2</v>
      </c>
      <c r="G985" s="7">
        <f t="shared" ca="1" si="75"/>
        <v>330.34865099295303</v>
      </c>
      <c r="H985" s="7">
        <f ca="1">(G985+DCF!$D$40+DCF!$D$41+DCF!$D$42-DCF!$D$43-DCF!$D$44)/DCF!$C$35</f>
        <v>2.5065789084149057</v>
      </c>
    </row>
    <row r="986" spans="3:8" x14ac:dyDescent="0.35">
      <c r="C986" s="8">
        <f t="shared" ca="1" si="76"/>
        <v>0.54077266227806609</v>
      </c>
      <c r="D986" s="7">
        <f t="shared" ca="1" si="77"/>
        <v>8.7361587756698167E-2</v>
      </c>
      <c r="E986" s="7">
        <f t="shared" ca="1" si="78"/>
        <v>0.36732658443325039</v>
      </c>
      <c r="F986" s="7">
        <f t="shared" ca="1" si="79"/>
        <v>1.8571191100812658E-2</v>
      </c>
      <c r="G986" s="7">
        <f t="shared" ca="1" si="75"/>
        <v>245.68746570584867</v>
      </c>
      <c r="H986" s="7">
        <f ca="1">(G986+DCF!$D$40+DCF!$D$41+DCF!$D$42-DCF!$D$43-DCF!$D$44)/DCF!$C$35</f>
        <v>2.0287530517318473</v>
      </c>
    </row>
    <row r="987" spans="3:8" x14ac:dyDescent="0.35">
      <c r="C987" s="8">
        <f t="shared" ca="1" si="76"/>
        <v>0.19572104853727956</v>
      </c>
      <c r="D987" s="7">
        <f t="shared" ca="1" si="77"/>
        <v>7.9732881767084374E-2</v>
      </c>
      <c r="E987" s="7">
        <f t="shared" ca="1" si="78"/>
        <v>0.23182880992521593</v>
      </c>
      <c r="F987" s="7">
        <f t="shared" ca="1" si="79"/>
        <v>1.6809240925759875E-2</v>
      </c>
      <c r="G987" s="7">
        <f t="shared" ca="1" si="75"/>
        <v>272.34113226949722</v>
      </c>
      <c r="H987" s="7">
        <f ca="1">(G987+DCF!$D$40+DCF!$D$41+DCF!$D$42-DCF!$D$43-DCF!$D$44)/DCF!$C$35</f>
        <v>2.1791857561208783</v>
      </c>
    </row>
    <row r="988" spans="3:8" x14ac:dyDescent="0.35">
      <c r="C988" s="8">
        <f t="shared" ca="1" si="76"/>
        <v>0.48033053670180659</v>
      </c>
      <c r="D988" s="7">
        <f t="shared" ca="1" si="77"/>
        <v>8.5917825657952238E-2</v>
      </c>
      <c r="E988" s="7">
        <f t="shared" ca="1" si="78"/>
        <v>0.85234065938575954</v>
      </c>
      <c r="F988" s="7">
        <f t="shared" ca="1" si="79"/>
        <v>2.4565676847771372E-2</v>
      </c>
      <c r="G988" s="7">
        <f t="shared" ca="1" si="75"/>
        <v>269.09138251091883</v>
      </c>
      <c r="H988" s="7">
        <f ca="1">(G988+DCF!$D$40+DCF!$D$41+DCF!$D$42-DCF!$D$43-DCF!$D$44)/DCF!$C$35</f>
        <v>2.1608442403822035</v>
      </c>
    </row>
    <row r="989" spans="3:8" x14ac:dyDescent="0.35">
      <c r="C989" s="8">
        <f t="shared" ca="1" si="76"/>
        <v>0.43672120362496647</v>
      </c>
      <c r="D989" s="7">
        <f t="shared" ca="1" si="77"/>
        <v>8.4927721747824009E-2</v>
      </c>
      <c r="E989" s="7">
        <f t="shared" ca="1" si="78"/>
        <v>6.9107501966827134E-2</v>
      </c>
      <c r="F989" s="7">
        <f t="shared" ca="1" si="79"/>
        <v>1.3717727853590878E-2</v>
      </c>
      <c r="G989" s="7">
        <f t="shared" ca="1" si="75"/>
        <v>242.54227260992951</v>
      </c>
      <c r="H989" s="7">
        <f ca="1">(G989+DCF!$D$40+DCF!$D$41+DCF!$D$42-DCF!$D$43-DCF!$D$44)/DCF!$C$35</f>
        <v>2.0110016514839684</v>
      </c>
    </row>
    <row r="990" spans="3:8" x14ac:dyDescent="0.35">
      <c r="C990" s="8">
        <f t="shared" ca="1" si="76"/>
        <v>0.80065985039408638</v>
      </c>
      <c r="D990" s="7">
        <f t="shared" ca="1" si="77"/>
        <v>9.5084786057176407E-2</v>
      </c>
      <c r="E990" s="7">
        <f t="shared" ca="1" si="78"/>
        <v>1.1632635407954339E-3</v>
      </c>
      <c r="F990" s="7">
        <f t="shared" ca="1" si="79"/>
        <v>1.0482340863040949E-2</v>
      </c>
      <c r="G990" s="7">
        <f t="shared" ca="1" si="75"/>
        <v>204.85027815216878</v>
      </c>
      <c r="H990" s="7">
        <f ca="1">(G990+DCF!$D$40+DCF!$D$41+DCF!$D$42-DCF!$D$43-DCF!$D$44)/DCF!$C$35</f>
        <v>1.7982688686768755</v>
      </c>
    </row>
    <row r="991" spans="3:8" x14ac:dyDescent="0.35">
      <c r="C991" s="8">
        <f t="shared" ca="1" si="76"/>
        <v>0.19480490572623821</v>
      </c>
      <c r="D991" s="7">
        <f t="shared" ca="1" si="77"/>
        <v>7.9710075919965789E-2</v>
      </c>
      <c r="E991" s="7">
        <f t="shared" ca="1" si="78"/>
        <v>0.84488795845078024</v>
      </c>
      <c r="F991" s="7">
        <f t="shared" ca="1" si="79"/>
        <v>2.4430223675061633E-2</v>
      </c>
      <c r="G991" s="7">
        <f t="shared" ca="1" si="75"/>
        <v>300.31776258974992</v>
      </c>
      <c r="H991" s="7">
        <f ca="1">(G991+DCF!$D$40+DCF!$D$41+DCF!$D$42-DCF!$D$43-DCF!$D$44)/DCF!$C$35</f>
        <v>2.3370852386824126</v>
      </c>
    </row>
    <row r="992" spans="3:8" x14ac:dyDescent="0.35">
      <c r="C992" s="8">
        <f t="shared" ca="1" si="76"/>
        <v>7.9281183423625223E-2</v>
      </c>
      <c r="D992" s="7">
        <f t="shared" ca="1" si="77"/>
        <v>7.6194521190296682E-2</v>
      </c>
      <c r="E992" s="7">
        <f t="shared" ca="1" si="78"/>
        <v>0.46009713829995147</v>
      </c>
      <c r="F992" s="7">
        <f t="shared" ca="1" si="79"/>
        <v>1.9592675729950965E-2</v>
      </c>
      <c r="G992" s="7">
        <f t="shared" ca="1" si="75"/>
        <v>300.22503886255089</v>
      </c>
      <c r="H992" s="7">
        <f ca="1">(G992+DCF!$D$40+DCF!$D$41+DCF!$D$42-DCF!$D$43-DCF!$D$44)/DCF!$C$35</f>
        <v>2.3365619080175577</v>
      </c>
    </row>
    <row r="993" spans="3:8" x14ac:dyDescent="0.35">
      <c r="C993" s="8">
        <f t="shared" ca="1" si="76"/>
        <v>0.3938157965789697</v>
      </c>
      <c r="D993" s="7">
        <f t="shared" ca="1" si="77"/>
        <v>8.3990356192022358E-2</v>
      </c>
      <c r="E993" s="7">
        <f t="shared" ca="1" si="78"/>
        <v>0.48779121789853808</v>
      </c>
      <c r="F993" s="7">
        <f t="shared" ca="1" si="79"/>
        <v>1.9877157667047115E-2</v>
      </c>
      <c r="G993" s="7">
        <f t="shared" ca="1" si="75"/>
        <v>262.9654632352574</v>
      </c>
      <c r="H993" s="7">
        <f ca="1">(G993+DCF!$D$40+DCF!$D$41+DCF!$D$42-DCF!$D$43-DCF!$D$44)/DCF!$C$35</f>
        <v>2.1262696875226177</v>
      </c>
    </row>
    <row r="994" spans="3:8" x14ac:dyDescent="0.35">
      <c r="C994" s="8">
        <f t="shared" ca="1" si="76"/>
        <v>0.41917419354223295</v>
      </c>
      <c r="D994" s="7">
        <f t="shared" ca="1" si="77"/>
        <v>8.4540196387111161E-2</v>
      </c>
      <c r="E994" s="7">
        <f t="shared" ca="1" si="78"/>
        <v>0.43741373693224861</v>
      </c>
      <c r="F994" s="7">
        <f t="shared" ca="1" si="79"/>
        <v>1.9353221230487907E-2</v>
      </c>
      <c r="G994" s="7">
        <f t="shared" ca="1" si="75"/>
        <v>259.06863217922313</v>
      </c>
      <c r="H994" s="7">
        <f ca="1">(G994+DCF!$D$40+DCF!$D$41+DCF!$D$42-DCF!$D$43-DCF!$D$44)/DCF!$C$35</f>
        <v>2.104276059257383</v>
      </c>
    </row>
    <row r="995" spans="3:8" x14ac:dyDescent="0.35">
      <c r="C995" s="8">
        <f t="shared" ca="1" si="76"/>
        <v>0.4341497477618107</v>
      </c>
      <c r="D995" s="7">
        <f t="shared" ca="1" si="77"/>
        <v>8.4870557477376873E-2</v>
      </c>
      <c r="E995" s="7">
        <f t="shared" ca="1" si="78"/>
        <v>0.3945508175809388</v>
      </c>
      <c r="F995" s="7">
        <f t="shared" ca="1" si="79"/>
        <v>1.8883139282719133E-2</v>
      </c>
      <c r="G995" s="7">
        <f t="shared" ca="1" si="75"/>
        <v>256.34581037659251</v>
      </c>
      <c r="H995" s="7">
        <f ca="1">(G995+DCF!$D$40+DCF!$D$41+DCF!$D$42-DCF!$D$43-DCF!$D$44)/DCF!$C$35</f>
        <v>2.0889085132441161</v>
      </c>
    </row>
    <row r="996" spans="3:8" x14ac:dyDescent="0.35">
      <c r="C996" s="8">
        <f t="shared" ca="1" si="76"/>
        <v>0.13574899355159431</v>
      </c>
      <c r="D996" s="7">
        <f t="shared" ca="1" si="77"/>
        <v>7.810570865988728E-2</v>
      </c>
      <c r="E996" s="7">
        <f t="shared" ca="1" si="78"/>
        <v>0.23906680412010484</v>
      </c>
      <c r="F996" s="7">
        <f t="shared" ca="1" si="79"/>
        <v>1.6914720589005817E-2</v>
      </c>
      <c r="G996" s="7">
        <f t="shared" ca="1" si="75"/>
        <v>280.33909272310871</v>
      </c>
      <c r="H996" s="7">
        <f ca="1">(G996+DCF!$D$40+DCF!$D$41+DCF!$D$42-DCF!$D$43-DCF!$D$44)/DCF!$C$35</f>
        <v>2.224326067971039</v>
      </c>
    </row>
    <row r="997" spans="3:8" x14ac:dyDescent="0.35">
      <c r="C997" s="8">
        <f t="shared" ca="1" si="76"/>
        <v>0.54251214650014112</v>
      </c>
      <c r="D997" s="7">
        <f t="shared" ca="1" si="77"/>
        <v>8.7404503888919766E-2</v>
      </c>
      <c r="E997" s="7">
        <f t="shared" ca="1" si="78"/>
        <v>0.14807481499885888</v>
      </c>
      <c r="F997" s="7">
        <f t="shared" ca="1" si="79"/>
        <v>1.5441963156781913E-2</v>
      </c>
      <c r="G997" s="7">
        <f t="shared" ca="1" si="75"/>
        <v>237.82662806450938</v>
      </c>
      <c r="H997" s="7">
        <f ca="1">(G997+DCF!$D$40+DCF!$D$41+DCF!$D$42-DCF!$D$43-DCF!$D$44)/DCF!$C$35</f>
        <v>1.9843866580003913</v>
      </c>
    </row>
    <row r="998" spans="3:8" x14ac:dyDescent="0.35">
      <c r="C998" s="8">
        <f t="shared" ca="1" si="76"/>
        <v>0.65459347041610949</v>
      </c>
      <c r="D998" s="7">
        <f t="shared" ca="1" si="77"/>
        <v>9.0366516177315309E-2</v>
      </c>
      <c r="E998" s="7">
        <f t="shared" ca="1" si="78"/>
        <v>0.61518318874606825</v>
      </c>
      <c r="F998" s="7">
        <f t="shared" ca="1" si="79"/>
        <v>2.1227123490508579E-2</v>
      </c>
      <c r="G998" s="7">
        <f t="shared" ca="1" si="75"/>
        <v>241.21726658693416</v>
      </c>
      <c r="H998" s="7">
        <f ca="1">(G998+DCF!$D$40+DCF!$D$41+DCF!$D$42-DCF!$D$43-DCF!$D$44)/DCF!$C$35</f>
        <v>2.003523346805137</v>
      </c>
    </row>
    <row r="999" spans="3:8" x14ac:dyDescent="0.35">
      <c r="C999" s="8">
        <f t="shared" ca="1" si="76"/>
        <v>0.58351542436781734</v>
      </c>
      <c r="D999" s="7">
        <f t="shared" ca="1" si="77"/>
        <v>8.8440853764457289E-2</v>
      </c>
      <c r="E999" s="7">
        <f t="shared" ca="1" si="78"/>
        <v>0.77889224707019233</v>
      </c>
      <c r="F999" s="7">
        <f t="shared" ca="1" si="79"/>
        <v>2.3350071384897312E-2</v>
      </c>
      <c r="G999" s="7">
        <f t="shared" ca="1" si="75"/>
        <v>254.40198590006199</v>
      </c>
      <c r="H999" s="7">
        <f ca="1">(G999+DCF!$D$40+DCF!$D$41+DCF!$D$42-DCF!$D$43-DCF!$D$44)/DCF!$C$35</f>
        <v>2.0779376109045149</v>
      </c>
    </row>
    <row r="1000" spans="3:8" x14ac:dyDescent="0.35">
      <c r="C1000" s="8">
        <f t="shared" ca="1" si="76"/>
        <v>0.65874427972243588</v>
      </c>
      <c r="D1000" s="7">
        <f t="shared" ca="1" si="77"/>
        <v>9.0484842203308699E-2</v>
      </c>
      <c r="E1000" s="7">
        <f t="shared" ca="1" si="78"/>
        <v>0.20062160765195136</v>
      </c>
      <c r="F1000" s="7">
        <f t="shared" ca="1" si="79"/>
        <v>1.6334376175314368E-2</v>
      </c>
      <c r="G1000" s="7">
        <f t="shared" ca="1" si="75"/>
        <v>229.36658824565026</v>
      </c>
      <c r="H1000" s="7">
        <f ca="1">(G1000+DCF!$D$40+DCF!$D$41+DCF!$D$42-DCF!$D$43-DCF!$D$44)/DCF!$C$35</f>
        <v>1.9366383804359988</v>
      </c>
    </row>
    <row r="1001" spans="3:8" x14ac:dyDescent="0.35">
      <c r="C1001" s="8">
        <f t="shared" ca="1" si="76"/>
        <v>0.93067314886331509</v>
      </c>
      <c r="D1001" s="7">
        <f t="shared" ca="1" si="77"/>
        <v>0.10120404832502246</v>
      </c>
      <c r="E1001" s="7">
        <f t="shared" ca="1" si="78"/>
        <v>0.94160536575420728</v>
      </c>
      <c r="F1001" s="7">
        <f t="shared" ca="1" si="79"/>
        <v>2.6582555508986496E-2</v>
      </c>
      <c r="G1001" s="7">
        <f t="shared" ca="1" si="75"/>
        <v>216.84814600903883</v>
      </c>
      <c r="H1001" s="7">
        <f ca="1">(G1001+DCF!$D$40+DCF!$D$41+DCF!$D$42-DCF!$D$43-DCF!$D$44)/DCF!$C$35</f>
        <v>1.8659845694155028</v>
      </c>
    </row>
    <row r="1002" spans="3:8" x14ac:dyDescent="0.35">
      <c r="C1002" s="8">
        <f t="shared" ca="1" si="76"/>
        <v>0.80302551568985125</v>
      </c>
      <c r="D1002" s="7">
        <f t="shared" ca="1" si="77"/>
        <v>9.5173553207523867E-2</v>
      </c>
      <c r="E1002" s="7">
        <f t="shared" ca="1" si="78"/>
        <v>0.51664033405956999</v>
      </c>
      <c r="F1002" s="7">
        <f t="shared" ca="1" si="79"/>
        <v>2.0167811373448637E-2</v>
      </c>
      <c r="G1002" s="7">
        <f t="shared" ca="1" si="75"/>
        <v>222.42302850928206</v>
      </c>
      <c r="H1002" s="7">
        <f ca="1">(G1002+DCF!$D$40+DCF!$D$41+DCF!$D$42-DCF!$D$43-DCF!$D$44)/DCF!$C$35</f>
        <v>1.8974490829059829</v>
      </c>
    </row>
    <row r="1003" spans="3:8" x14ac:dyDescent="0.35">
      <c r="C1003" s="8">
        <f t="shared" ca="1" si="76"/>
        <v>0.43342181397111024</v>
      </c>
      <c r="D1003" s="7">
        <f t="shared" ca="1" si="77"/>
        <v>8.4854398881549067E-2</v>
      </c>
      <c r="E1003" s="7">
        <f t="shared" ca="1" si="78"/>
        <v>0.34682350576564558</v>
      </c>
      <c r="F1003" s="7">
        <f t="shared" ca="1" si="79"/>
        <v>1.8328547361522844E-2</v>
      </c>
      <c r="G1003" s="7">
        <f t="shared" ca="1" si="75"/>
        <v>254.85034696784402</v>
      </c>
      <c r="H1003" s="7">
        <f ca="1">(G1003+DCF!$D$40+DCF!$D$41+DCF!$D$42-DCF!$D$43-DCF!$D$44)/DCF!$C$35</f>
        <v>2.0804681508513601</v>
      </c>
    </row>
    <row r="1004" spans="3:8" x14ac:dyDescent="0.35">
      <c r="C1004" s="8">
        <f t="shared" ca="1" si="76"/>
        <v>3.2631786915141459E-2</v>
      </c>
      <c r="D1004" s="7">
        <f t="shared" ca="1" si="77"/>
        <v>7.3974139512766074E-2</v>
      </c>
      <c r="E1004" s="7">
        <f t="shared" ca="1" si="78"/>
        <v>0.31819868380749694</v>
      </c>
      <c r="F1004" s="7">
        <f t="shared" ca="1" si="79"/>
        <v>1.7977451771179778E-2</v>
      </c>
      <c r="G1004" s="7">
        <f t="shared" ca="1" si="75"/>
        <v>306.12734961657145</v>
      </c>
      <c r="H1004" s="7">
        <f ca="1">(G1004+DCF!$D$40+DCF!$D$41+DCF!$D$42-DCF!$D$43-DCF!$D$44)/DCF!$C$35</f>
        <v>2.3698744193282053</v>
      </c>
    </row>
    <row r="1005" spans="3:8" x14ac:dyDescent="0.35">
      <c r="C1005" s="8">
        <f t="shared" ca="1" si="76"/>
        <v>0.92588400063685061</v>
      </c>
      <c r="D1005" s="7">
        <f t="shared" ca="1" si="77"/>
        <v>0.100905306201456</v>
      </c>
      <c r="E1005" s="7">
        <f t="shared" ca="1" si="78"/>
        <v>0.75173659360572775</v>
      </c>
      <c r="F1005" s="7">
        <f t="shared" ca="1" si="79"/>
        <v>2.2953534128454574E-2</v>
      </c>
      <c r="G1005" s="7">
        <f t="shared" ca="1" si="75"/>
        <v>210.67939981015166</v>
      </c>
      <c r="H1005" s="7">
        <f ca="1">(G1005+DCF!$D$40+DCF!$D$41+DCF!$D$42-DCF!$D$43-DCF!$D$44)/DCF!$C$35</f>
        <v>1.8311683023487506</v>
      </c>
    </row>
    <row r="1006" spans="3:8" x14ac:dyDescent="0.35">
      <c r="C1006" s="8">
        <f t="shared" ca="1" si="76"/>
        <v>0.40042248781755241</v>
      </c>
      <c r="D1006" s="7">
        <f t="shared" ca="1" si="77"/>
        <v>8.4132481688503416E-2</v>
      </c>
      <c r="E1006" s="7">
        <f t="shared" ca="1" si="78"/>
        <v>0.4443587063897233</v>
      </c>
      <c r="F1006" s="7">
        <f t="shared" ca="1" si="79"/>
        <v>1.9427180982560195E-2</v>
      </c>
      <c r="G1006" s="7">
        <f t="shared" ca="1" si="75"/>
        <v>261.00908864492186</v>
      </c>
      <c r="H1006" s="7">
        <f ca="1">(G1006+DCF!$D$40+DCF!$D$41+DCF!$D$42-DCF!$D$43-DCF!$D$44)/DCF!$C$35</f>
        <v>2.1152279526183646</v>
      </c>
    </row>
    <row r="1007" spans="3:8" x14ac:dyDescent="0.35">
      <c r="C1007" s="8">
        <f t="shared" ca="1" si="76"/>
        <v>0.7199293760275407</v>
      </c>
      <c r="D1007" s="7">
        <f t="shared" ca="1" si="77"/>
        <v>9.2320666970915885E-2</v>
      </c>
      <c r="E1007" s="7">
        <f t="shared" ca="1" si="78"/>
        <v>0.83835335321127746</v>
      </c>
      <c r="F1007" s="7">
        <f t="shared" ca="1" si="79"/>
        <v>2.4314111383631886E-2</v>
      </c>
      <c r="G1007" s="7">
        <f t="shared" ca="1" si="75"/>
        <v>241.78474679127572</v>
      </c>
      <c r="H1007" s="7">
        <f ca="1">(G1007+DCF!$D$40+DCF!$D$41+DCF!$D$42-DCF!$D$43-DCF!$D$44)/DCF!$C$35</f>
        <v>2.0067261925232853</v>
      </c>
    </row>
    <row r="1008" spans="3:8" x14ac:dyDescent="0.35">
      <c r="C1008" s="8">
        <f t="shared" ca="1" si="76"/>
        <v>0.44484775663585596</v>
      </c>
      <c r="D1008" s="7">
        <f t="shared" ca="1" si="77"/>
        <v>8.5109240598278554E-2</v>
      </c>
      <c r="E1008" s="7">
        <f t="shared" ca="1" si="78"/>
        <v>0.9894756236832789</v>
      </c>
      <c r="F1008" s="7">
        <f t="shared" ca="1" si="79"/>
        <v>2.854918117487254E-2</v>
      </c>
      <c r="G1008" s="7">
        <f t="shared" ca="1" si="75"/>
        <v>287.21870502508352</v>
      </c>
      <c r="H1008" s="7">
        <f ca="1">(G1008+DCF!$D$40+DCF!$D$41+DCF!$D$42-DCF!$D$43-DCF!$D$44)/DCF!$C$35</f>
        <v>2.2631544475961367</v>
      </c>
    </row>
    <row r="1009" spans="3:8" x14ac:dyDescent="0.35">
      <c r="C1009" s="8">
        <f t="shared" ca="1" si="76"/>
        <v>0.24714154732639682</v>
      </c>
      <c r="D1009" s="7">
        <f t="shared" ca="1" si="77"/>
        <v>8.0936933249589491E-2</v>
      </c>
      <c r="E1009" s="7">
        <f t="shared" ca="1" si="78"/>
        <v>0.7088876960882482</v>
      </c>
      <c r="F1009" s="7">
        <f t="shared" ca="1" si="79"/>
        <v>2.2369635606188237E-2</v>
      </c>
      <c r="G1009" s="7">
        <f t="shared" ca="1" si="75"/>
        <v>285.64053876952931</v>
      </c>
      <c r="H1009" s="7">
        <f ca="1">(G1009+DCF!$D$40+DCF!$D$41+DCF!$D$42-DCF!$D$43-DCF!$D$44)/DCF!$C$35</f>
        <v>2.2542473121657598</v>
      </c>
    </row>
    <row r="1010" spans="3:8" x14ac:dyDescent="0.35">
      <c r="C1010" s="8">
        <f t="shared" ca="1" si="76"/>
        <v>0.63648373017513427</v>
      </c>
      <c r="D1010" s="7">
        <f t="shared" ca="1" si="77"/>
        <v>8.9858397354615746E-2</v>
      </c>
      <c r="E1010" s="7">
        <f t="shared" ca="1" si="78"/>
        <v>3.8199668132813724E-2</v>
      </c>
      <c r="F1010" s="7">
        <f t="shared" ca="1" si="79"/>
        <v>1.2764042985657557E-2</v>
      </c>
      <c r="G1010" s="7">
        <f t="shared" ca="1" si="75"/>
        <v>223.87415545681154</v>
      </c>
      <c r="H1010" s="7">
        <f ca="1">(G1010+DCF!$D$40+DCF!$D$41+DCF!$D$42-DCF!$D$43-DCF!$D$44)/DCF!$C$35</f>
        <v>1.905639211292536</v>
      </c>
    </row>
    <row r="1011" spans="3:8" x14ac:dyDescent="0.35">
      <c r="C1011" s="8">
        <f t="shared" ca="1" si="76"/>
        <v>0.59711978138987898</v>
      </c>
      <c r="D1011" s="7">
        <f t="shared" ca="1" si="77"/>
        <v>8.8795888984234808E-2</v>
      </c>
      <c r="E1011" s="7">
        <f t="shared" ca="1" si="78"/>
        <v>6.2762040254314977E-3</v>
      </c>
      <c r="F1011" s="7">
        <f t="shared" ca="1" si="79"/>
        <v>1.1120375296535184E-2</v>
      </c>
      <c r="G1011" s="7">
        <f t="shared" ca="1" si="75"/>
        <v>223.85592748794494</v>
      </c>
      <c r="H1011" s="7">
        <f ca="1">(G1011+DCF!$D$40+DCF!$D$41+DCF!$D$42-DCF!$D$43-DCF!$D$44)/DCF!$C$35</f>
        <v>1.9055363330395356</v>
      </c>
    </row>
    <row r="1012" spans="3:8" x14ac:dyDescent="0.35">
      <c r="C1012" s="8">
        <f t="shared" ca="1" si="76"/>
        <v>0.36312563227015204</v>
      </c>
      <c r="D1012" s="7">
        <f t="shared" ca="1" si="77"/>
        <v>8.3340071373191743E-2</v>
      </c>
      <c r="E1012" s="7">
        <f t="shared" ca="1" si="78"/>
        <v>0.28083710102270476</v>
      </c>
      <c r="F1012" s="7">
        <f t="shared" ca="1" si="79"/>
        <v>1.7494492658248519E-2</v>
      </c>
      <c r="G1012" s="7">
        <f t="shared" ca="1" si="75"/>
        <v>258.70067447088849</v>
      </c>
      <c r="H1012" s="7">
        <f ca="1">(G1012+DCF!$D$40+DCF!$D$41+DCF!$D$42-DCF!$D$43-DCF!$D$44)/DCF!$C$35</f>
        <v>2.1021993140923834</v>
      </c>
    </row>
    <row r="1013" spans="3:8" x14ac:dyDescent="0.35">
      <c r="C1013" s="8">
        <f t="shared" ca="1" si="76"/>
        <v>0.22359818809043364</v>
      </c>
      <c r="D1013" s="7">
        <f t="shared" ca="1" si="77"/>
        <v>8.040295741776203E-2</v>
      </c>
      <c r="E1013" s="7">
        <f t="shared" ca="1" si="78"/>
        <v>0.233071175029817</v>
      </c>
      <c r="F1013" s="7">
        <f t="shared" ca="1" si="79"/>
        <v>1.6827461827499543E-2</v>
      </c>
      <c r="G1013" s="7">
        <f t="shared" ca="1" si="75"/>
        <v>269.36754822231057</v>
      </c>
      <c r="H1013" s="7">
        <f ca="1">(G1013+DCF!$D$40+DCF!$D$41+DCF!$D$42-DCF!$D$43-DCF!$D$44)/DCF!$C$35</f>
        <v>2.1624029135472997</v>
      </c>
    </row>
    <row r="1014" spans="3:8" x14ac:dyDescent="0.35">
      <c r="C1014" s="8">
        <f t="shared" ca="1" si="76"/>
        <v>0.88706113735586045</v>
      </c>
      <c r="D1014" s="7">
        <f t="shared" ca="1" si="77"/>
        <v>9.8773256451184982E-2</v>
      </c>
      <c r="E1014" s="7">
        <f t="shared" ca="1" si="78"/>
        <v>0.15248613903515729</v>
      </c>
      <c r="F1014" s="7">
        <f t="shared" ca="1" si="79"/>
        <v>1.552242952033174E-2</v>
      </c>
      <c r="G1014" s="7">
        <f t="shared" ca="1" si="75"/>
        <v>203.48644250869097</v>
      </c>
      <c r="H1014" s="7">
        <f ca="1">(G1014+DCF!$D$40+DCF!$D$41+DCF!$D$42-DCF!$D$43-DCF!$D$44)/DCF!$C$35</f>
        <v>1.7905714104791226</v>
      </c>
    </row>
    <row r="1015" spans="3:8" x14ac:dyDescent="0.35">
      <c r="C1015" s="8">
        <f t="shared" ca="1" si="76"/>
        <v>0.45549055079226242</v>
      </c>
      <c r="D1015" s="7">
        <f t="shared" ca="1" si="77"/>
        <v>8.5348984902932801E-2</v>
      </c>
      <c r="E1015" s="7">
        <f t="shared" ca="1" si="78"/>
        <v>0.97200130787293582</v>
      </c>
      <c r="F1015" s="7">
        <f t="shared" ca="1" si="79"/>
        <v>2.763362335512437E-2</v>
      </c>
      <c r="G1015" s="7">
        <f t="shared" ca="1" si="75"/>
        <v>282.51216819137915</v>
      </c>
      <c r="H1015" s="7">
        <f ca="1">(G1015+DCF!$D$40+DCF!$D$41+DCF!$D$42-DCF!$D$43-DCF!$D$44)/DCF!$C$35</f>
        <v>2.236590857835981</v>
      </c>
    </row>
    <row r="1016" spans="3:8" x14ac:dyDescent="0.35">
      <c r="C1016" s="8">
        <f t="shared" ca="1" si="76"/>
        <v>0.5759863069803306</v>
      </c>
      <c r="D1016" s="7">
        <f t="shared" ca="1" si="77"/>
        <v>8.8246855827031553E-2</v>
      </c>
      <c r="E1016" s="7">
        <f t="shared" ca="1" si="78"/>
        <v>0.20921311777660356</v>
      </c>
      <c r="F1016" s="7">
        <f t="shared" ca="1" si="79"/>
        <v>1.6468587446678038E-2</v>
      </c>
      <c r="G1016" s="7">
        <f t="shared" ca="1" si="75"/>
        <v>237.28264590334032</v>
      </c>
      <c r="H1016" s="7">
        <f ca="1">(G1016+DCF!$D$40+DCF!$D$41+DCF!$D$42-DCF!$D$43-DCF!$D$44)/DCF!$C$35</f>
        <v>1.9813164347180285</v>
      </c>
    </row>
    <row r="1017" spans="3:8" x14ac:dyDescent="0.35">
      <c r="C1017" s="8">
        <f t="shared" ca="1" si="76"/>
        <v>0.84148750227962998</v>
      </c>
      <c r="D1017" s="7">
        <f t="shared" ca="1" si="77"/>
        <v>9.6699626040748596E-2</v>
      </c>
      <c r="E1017" s="7">
        <f t="shared" ca="1" si="78"/>
        <v>0.8331178347855287</v>
      </c>
      <c r="F1017" s="7">
        <f t="shared" ca="1" si="79"/>
        <v>2.4222765969523628E-2</v>
      </c>
      <c r="G1017" s="7">
        <f t="shared" ca="1" si="75"/>
        <v>226.18080668789767</v>
      </c>
      <c r="H1017" s="7">
        <f ca="1">(G1017+DCF!$D$40+DCF!$D$41+DCF!$D$42-DCF!$D$43-DCF!$D$44)/DCF!$C$35</f>
        <v>1.918657899807527</v>
      </c>
    </row>
    <row r="1018" spans="3:8" x14ac:dyDescent="0.35">
      <c r="C1018" s="8">
        <f t="shared" ca="1" si="76"/>
        <v>0.62781896224421463</v>
      </c>
      <c r="D1018" s="7">
        <f t="shared" ca="1" si="77"/>
        <v>8.9619763540737404E-2</v>
      </c>
      <c r="E1018" s="7">
        <f t="shared" ca="1" si="78"/>
        <v>0.9490289562623867</v>
      </c>
      <c r="F1018" s="7">
        <f t="shared" ca="1" si="79"/>
        <v>2.6807162899939514E-2</v>
      </c>
      <c r="G1018" s="7">
        <f t="shared" ca="1" si="75"/>
        <v>259.63812468919684</v>
      </c>
      <c r="H1018" s="7">
        <f ca="1">(G1018+DCF!$D$40+DCF!$D$41+DCF!$D$42-DCF!$D$43-DCF!$D$44)/DCF!$C$35</f>
        <v>2.1074902623839984</v>
      </c>
    </row>
    <row r="1019" spans="3:8" x14ac:dyDescent="0.35">
      <c r="C1019" s="8">
        <f t="shared" ca="1" si="76"/>
        <v>2.9182361168815341E-2</v>
      </c>
      <c r="D1019" s="7">
        <f t="shared" ca="1" si="77"/>
        <v>7.3758226018443632E-2</v>
      </c>
      <c r="E1019" s="7">
        <f t="shared" ca="1" si="78"/>
        <v>0.37258346474799164</v>
      </c>
      <c r="F1019" s="7">
        <f t="shared" ca="1" si="79"/>
        <v>1.8632305193260854E-2</v>
      </c>
      <c r="G1019" s="7">
        <f t="shared" ca="1" si="75"/>
        <v>310.17136740790835</v>
      </c>
      <c r="H1019" s="7">
        <f ca="1">(G1019+DCF!$D$40+DCF!$D$41+DCF!$D$42-DCF!$D$43-DCF!$D$44)/DCF!$C$35</f>
        <v>2.3926987662710708</v>
      </c>
    </row>
    <row r="1020" spans="3:8" x14ac:dyDescent="0.35">
      <c r="C1020" s="8">
        <f t="shared" ca="1" si="76"/>
        <v>0.30940838649812996</v>
      </c>
      <c r="D1020" s="7">
        <f t="shared" ca="1" si="77"/>
        <v>8.2238511555248223E-2</v>
      </c>
      <c r="E1020" s="7">
        <f t="shared" ca="1" si="78"/>
        <v>0.85137795436851493</v>
      </c>
      <c r="F1020" s="7">
        <f t="shared" ca="1" si="79"/>
        <v>2.4547990358932129E-2</v>
      </c>
      <c r="G1020" s="7">
        <f t="shared" ca="1" si="75"/>
        <v>287.03741312530281</v>
      </c>
      <c r="H1020" s="7">
        <f ca="1">(G1020+DCF!$D$40+DCF!$D$41+DCF!$D$42-DCF!$D$43-DCF!$D$44)/DCF!$C$35</f>
        <v>2.2621312401247478</v>
      </c>
    </row>
    <row r="1021" spans="3:8" x14ac:dyDescent="0.35">
      <c r="C1021" s="8">
        <f t="shared" ca="1" si="76"/>
        <v>0.92827725909623982</v>
      </c>
      <c r="D1021" s="7">
        <f t="shared" ca="1" si="77"/>
        <v>0.10105334817663075</v>
      </c>
      <c r="E1021" s="7">
        <f t="shared" ca="1" si="78"/>
        <v>0.39350907524682865</v>
      </c>
      <c r="F1021" s="7">
        <f t="shared" ca="1" si="79"/>
        <v>1.8871404344824202E-2</v>
      </c>
      <c r="G1021" s="7">
        <f t="shared" ca="1" si="75"/>
        <v>203.06393031464961</v>
      </c>
      <c r="H1021" s="7">
        <f ca="1">(G1021+DCF!$D$40+DCF!$D$41+DCF!$D$42-DCF!$D$43-DCF!$D$44)/DCF!$C$35</f>
        <v>1.7881867610037792</v>
      </c>
    </row>
    <row r="1022" spans="3:8" x14ac:dyDescent="0.35">
      <c r="C1022" s="8">
        <f t="shared" ca="1" si="76"/>
        <v>0.31916836770240997</v>
      </c>
      <c r="D1022" s="7">
        <f t="shared" ca="1" si="77"/>
        <v>8.243538315803918E-2</v>
      </c>
      <c r="E1022" s="7">
        <f t="shared" ca="1" si="78"/>
        <v>0.66023527624096934</v>
      </c>
      <c r="F1022" s="7">
        <f t="shared" ca="1" si="79"/>
        <v>2.1756642386029458E-2</v>
      </c>
      <c r="G1022" s="7">
        <f t="shared" ca="1" si="75"/>
        <v>276.06154607691974</v>
      </c>
      <c r="H1022" s="7">
        <f ca="1">(G1022+DCF!$D$40+DCF!$D$41+DCF!$D$42-DCF!$D$43-DCF!$D$44)/DCF!$C$35</f>
        <v>2.2001836893380728</v>
      </c>
    </row>
    <row r="1023" spans="3:8" x14ac:dyDescent="0.35">
      <c r="C1023" s="8">
        <f t="shared" ca="1" si="76"/>
        <v>0.81541323425463852</v>
      </c>
      <c r="D1023" s="7">
        <f t="shared" ca="1" si="77"/>
        <v>9.5647340644611417E-2</v>
      </c>
      <c r="E1023" s="7">
        <f t="shared" ca="1" si="78"/>
        <v>0.13332111792903789</v>
      </c>
      <c r="F1023" s="7">
        <f t="shared" ca="1" si="79"/>
        <v>1.5163741239238037E-2</v>
      </c>
      <c r="G1023" s="7">
        <f t="shared" ca="1" si="75"/>
        <v>211.34715100448665</v>
      </c>
      <c r="H1023" s="7">
        <f ca="1">(G1023+DCF!$D$40+DCF!$D$41+DCF!$D$42-DCF!$D$43-DCF!$D$44)/DCF!$C$35</f>
        <v>1.8349370753159873</v>
      </c>
    </row>
    <row r="1024" spans="3:8" x14ac:dyDescent="0.35">
      <c r="C1024" s="8">
        <f t="shared" ca="1" si="76"/>
        <v>0.50435864069189107</v>
      </c>
      <c r="D1024" s="7">
        <f t="shared" ca="1" si="77"/>
        <v>8.64811616573469E-2</v>
      </c>
      <c r="E1024" s="7">
        <f t="shared" ca="1" si="78"/>
        <v>0.95894740638121423</v>
      </c>
      <c r="F1024" s="7">
        <f t="shared" ca="1" si="79"/>
        <v>2.7134599727131101E-2</v>
      </c>
      <c r="G1024" s="7">
        <f t="shared" ca="1" si="75"/>
        <v>275.08689433068014</v>
      </c>
      <c r="H1024" s="7">
        <f ca="1">(G1024+DCF!$D$40+DCF!$D$41+DCF!$D$42-DCF!$D$43-DCF!$D$44)/DCF!$C$35</f>
        <v>2.1946827764458749</v>
      </c>
    </row>
    <row r="1025" spans="3:8" x14ac:dyDescent="0.35">
      <c r="C1025" s="8">
        <f t="shared" ca="1" si="76"/>
        <v>0.73199133474911726</v>
      </c>
      <c r="D1025" s="7">
        <f t="shared" ca="1" si="77"/>
        <v>9.2705559551694516E-2</v>
      </c>
      <c r="E1025" s="7">
        <f t="shared" ca="1" si="78"/>
        <v>0.98119626995387188</v>
      </c>
      <c r="F1025" s="7">
        <f t="shared" ca="1" si="79"/>
        <v>2.8060735704132717E-2</v>
      </c>
      <c r="G1025" s="7">
        <f t="shared" ca="1" si="75"/>
        <v>250.38167359405887</v>
      </c>
      <c r="H1025" s="7">
        <f ca="1">(G1025+DCF!$D$40+DCF!$D$41+DCF!$D$42-DCF!$D$43-DCF!$D$44)/DCF!$C$35</f>
        <v>2.0552470571964037</v>
      </c>
    </row>
    <row r="1026" spans="3:8" x14ac:dyDescent="0.35">
      <c r="C1026" s="8">
        <f t="shared" ca="1" si="76"/>
        <v>3.6497728984947519E-2</v>
      </c>
      <c r="D1026" s="7">
        <f t="shared" ca="1" si="77"/>
        <v>7.4202963338968669E-2</v>
      </c>
      <c r="E1026" s="7">
        <f t="shared" ca="1" si="78"/>
        <v>0.4084362269709797</v>
      </c>
      <c r="F1026" s="7">
        <f t="shared" ca="1" si="79"/>
        <v>1.9038099656133248E-2</v>
      </c>
      <c r="G1026" s="7">
        <f t="shared" ca="1" si="75"/>
        <v>309.30319899177078</v>
      </c>
      <c r="H1026" s="7">
        <f ca="1">(G1026+DCF!$D$40+DCF!$D$41+DCF!$D$42-DCF!$D$43-DCF!$D$44)/DCF!$C$35</f>
        <v>2.3877988429380901</v>
      </c>
    </row>
    <row r="1027" spans="3:8" x14ac:dyDescent="0.35">
      <c r="C1027" s="8">
        <f t="shared" ca="1" si="76"/>
        <v>0.97790893553559299</v>
      </c>
      <c r="D1027" s="7">
        <f t="shared" ca="1" si="77"/>
        <v>0.10503475801775199</v>
      </c>
      <c r="E1027" s="7">
        <f t="shared" ca="1" si="78"/>
        <v>0.84609197989715856</v>
      </c>
      <c r="F1027" s="7">
        <f t="shared" ca="1" si="79"/>
        <v>2.44518828400467E-2</v>
      </c>
      <c r="G1027" s="7">
        <f t="shared" ca="1" si="75"/>
        <v>201.94669474836826</v>
      </c>
      <c r="H1027" s="7">
        <f ca="1">(G1027+DCF!$D$40+DCF!$D$41+DCF!$D$42-DCF!$D$43-DCF!$D$44)/DCF!$C$35</f>
        <v>1.7818811081858463</v>
      </c>
    </row>
    <row r="1028" spans="3:8" x14ac:dyDescent="0.35">
      <c r="C1028" s="8">
        <f t="shared" ca="1" si="76"/>
        <v>0.38352401594500507</v>
      </c>
      <c r="D1028" s="7">
        <f t="shared" ca="1" si="77"/>
        <v>8.3770489935849471E-2</v>
      </c>
      <c r="E1028" s="7">
        <f t="shared" ca="1" si="78"/>
        <v>0.12292080194683275</v>
      </c>
      <c r="F1028" s="7">
        <f t="shared" ca="1" si="79"/>
        <v>1.4958241663066307E-2</v>
      </c>
      <c r="G1028" s="7">
        <f t="shared" ca="1" si="75"/>
        <v>250.00893413808819</v>
      </c>
      <c r="H1028" s="7">
        <f ca="1">(G1028+DCF!$D$40+DCF!$D$41+DCF!$D$42-DCF!$D$43-DCF!$D$44)/DCF!$C$35</f>
        <v>2.0531433239535399</v>
      </c>
    </row>
    <row r="1029" spans="3:8" x14ac:dyDescent="0.35">
      <c r="C1029" s="8">
        <f t="shared" ca="1" si="76"/>
        <v>0.49072250486198343</v>
      </c>
      <c r="D1029" s="7">
        <f t="shared" ca="1" si="77"/>
        <v>8.6159830441583971E-2</v>
      </c>
      <c r="E1029" s="7">
        <f t="shared" ca="1" si="78"/>
        <v>0.60676836035970161</v>
      </c>
      <c r="F1029" s="7">
        <f t="shared" ca="1" si="79"/>
        <v>2.1131723508592007E-2</v>
      </c>
      <c r="G1029" s="7">
        <f t="shared" ca="1" si="75"/>
        <v>257.46230298629666</v>
      </c>
      <c r="H1029" s="7">
        <f ca="1">(G1029+DCF!$D$40+DCF!$D$41+DCF!$D$42-DCF!$D$43-DCF!$D$44)/DCF!$C$35</f>
        <v>2.0952099728315647</v>
      </c>
    </row>
    <row r="1030" spans="3:8" x14ac:dyDescent="0.35">
      <c r="C1030" s="8">
        <f t="shared" ca="1" si="76"/>
        <v>1.8527707310482366E-2</v>
      </c>
      <c r="D1030" s="7">
        <f t="shared" ca="1" si="77"/>
        <v>7.2994563463724474E-2</v>
      </c>
      <c r="E1030" s="7">
        <f t="shared" ca="1" si="78"/>
        <v>0.99890729448538518</v>
      </c>
      <c r="F1030" s="7">
        <f t="shared" ca="1" si="79"/>
        <v>2.9532516200363085E-2</v>
      </c>
      <c r="G1030" s="7">
        <f t="shared" ca="1" si="75"/>
        <v>375.65010955349726</v>
      </c>
      <c r="H1030" s="7">
        <f ca="1">(G1030+DCF!$D$40+DCF!$D$41+DCF!$D$42-DCF!$D$43-DCF!$D$44)/DCF!$C$35</f>
        <v>2.7622593382633327</v>
      </c>
    </row>
    <row r="1031" spans="3:8" x14ac:dyDescent="0.35">
      <c r="C1031" s="8">
        <f t="shared" ca="1" si="76"/>
        <v>0.79142688079631696</v>
      </c>
      <c r="D1031" s="7">
        <f t="shared" ca="1" si="77"/>
        <v>9.4743276858010761E-2</v>
      </c>
      <c r="E1031" s="7">
        <f t="shared" ca="1" si="78"/>
        <v>0.48382873493701573</v>
      </c>
      <c r="F1031" s="7">
        <f t="shared" ca="1" si="79"/>
        <v>1.9836958218240185E-2</v>
      </c>
      <c r="G1031" s="7">
        <f t="shared" ca="1" si="75"/>
        <v>223.09221648967184</v>
      </c>
      <c r="H1031" s="7">
        <f ca="1">(G1031+DCF!$D$40+DCF!$D$41+DCF!$D$42-DCF!$D$43-DCF!$D$44)/DCF!$C$35</f>
        <v>1.9012259650619248</v>
      </c>
    </row>
    <row r="1032" spans="3:8" x14ac:dyDescent="0.35">
      <c r="C1032" s="8">
        <f t="shared" ca="1" si="76"/>
        <v>0.50211272660262829</v>
      </c>
      <c r="D1032" s="7">
        <f t="shared" ca="1" si="77"/>
        <v>8.6427936087150395E-2</v>
      </c>
      <c r="E1032" s="7">
        <f t="shared" ca="1" si="78"/>
        <v>0.22045859955083602</v>
      </c>
      <c r="F1032" s="7">
        <f t="shared" ca="1" si="79"/>
        <v>1.6640159629870897E-2</v>
      </c>
      <c r="G1032" s="7">
        <f t="shared" ca="1" si="75"/>
        <v>244.27110151948506</v>
      </c>
      <c r="H1032" s="7">
        <f ca="1">(G1032+DCF!$D$40+DCF!$D$41+DCF!$D$42-DCF!$D$43-DCF!$D$44)/DCF!$C$35</f>
        <v>2.0207591236002092</v>
      </c>
    </row>
    <row r="1033" spans="3:8" x14ac:dyDescent="0.35">
      <c r="C1033" s="8">
        <f t="shared" ca="1" si="76"/>
        <v>0.74591966021054512</v>
      </c>
      <c r="D1033" s="7">
        <f t="shared" ca="1" si="77"/>
        <v>9.3160948387601167E-2</v>
      </c>
      <c r="E1033" s="7">
        <f t="shared" ca="1" si="78"/>
        <v>9.1914827371300967E-2</v>
      </c>
      <c r="F1033" s="7">
        <f t="shared" ca="1" si="79"/>
        <v>1.4287536060986566E-2</v>
      </c>
      <c r="G1033" s="7">
        <f t="shared" ca="1" si="75"/>
        <v>216.87599897689643</v>
      </c>
      <c r="H1033" s="7">
        <f ca="1">(G1033+DCF!$D$40+DCF!$D$41+DCF!$D$42-DCF!$D$43-DCF!$D$44)/DCF!$C$35</f>
        <v>1.8661417709498611</v>
      </c>
    </row>
    <row r="1034" spans="3:8" x14ac:dyDescent="0.35">
      <c r="C1034" s="8">
        <f t="shared" ca="1" si="76"/>
        <v>0.42867668071430387</v>
      </c>
      <c r="D1034" s="7">
        <f t="shared" ca="1" si="77"/>
        <v>8.4749320319586707E-2</v>
      </c>
      <c r="E1034" s="7">
        <f t="shared" ca="1" si="78"/>
        <v>0.65233036719707982</v>
      </c>
      <c r="F1034" s="7">
        <f t="shared" ca="1" si="79"/>
        <v>2.1661299468107513E-2</v>
      </c>
      <c r="G1034" s="7">
        <f t="shared" ca="1" si="75"/>
        <v>265.11240114395315</v>
      </c>
      <c r="H1034" s="7">
        <f ca="1">(G1034+DCF!$D$40+DCF!$D$41+DCF!$D$42-DCF!$D$43-DCF!$D$44)/DCF!$C$35</f>
        <v>2.138386957579598</v>
      </c>
    </row>
    <row r="1035" spans="3:8" x14ac:dyDescent="0.35">
      <c r="C1035" s="8">
        <f t="shared" ca="1" si="76"/>
        <v>0.21559653391875688</v>
      </c>
      <c r="D1035" s="7">
        <f t="shared" ca="1" si="77"/>
        <v>8.0215122241886219E-2</v>
      </c>
      <c r="E1035" s="7">
        <f t="shared" ca="1" si="78"/>
        <v>0.2762108165406495</v>
      </c>
      <c r="F1035" s="7">
        <f t="shared" ca="1" si="79"/>
        <v>1.7432507202023412E-2</v>
      </c>
      <c r="G1035" s="7">
        <f t="shared" ca="1" si="75"/>
        <v>272.13901853546469</v>
      </c>
      <c r="H1035" s="7">
        <f ca="1">(G1035+DCF!$D$40+DCF!$D$41+DCF!$D$42-DCF!$D$43-DCF!$D$44)/DCF!$C$35</f>
        <v>2.1780450306776422</v>
      </c>
    </row>
    <row r="1036" spans="3:8" x14ac:dyDescent="0.35">
      <c r="C1036" s="8">
        <f t="shared" ca="1" si="76"/>
        <v>0.13701793625033853</v>
      </c>
      <c r="D1036" s="7">
        <f t="shared" ca="1" si="77"/>
        <v>7.8143505458042245E-2</v>
      </c>
      <c r="E1036" s="7">
        <f t="shared" ca="1" si="78"/>
        <v>0.72895863594715826</v>
      </c>
      <c r="F1036" s="7">
        <f t="shared" ca="1" si="79"/>
        <v>2.2637373239762296E-2</v>
      </c>
      <c r="G1036" s="7">
        <f t="shared" ca="1" si="75"/>
        <v>301.75735479158266</v>
      </c>
      <c r="H1036" s="7">
        <f ca="1">(G1036+DCF!$D$40+DCF!$D$41+DCF!$D$42-DCF!$D$43-DCF!$D$44)/DCF!$C$35</f>
        <v>2.3452102652194529</v>
      </c>
    </row>
    <row r="1037" spans="3:8" x14ac:dyDescent="0.35">
      <c r="C1037" s="8">
        <f t="shared" ca="1" si="76"/>
        <v>0.4357592781821823</v>
      </c>
      <c r="D1037" s="7">
        <f t="shared" ca="1" si="77"/>
        <v>8.4906322598138712E-2</v>
      </c>
      <c r="E1037" s="7">
        <f t="shared" ca="1" si="78"/>
        <v>0.24014410904514805</v>
      </c>
      <c r="F1037" s="7">
        <f t="shared" ca="1" si="79"/>
        <v>1.6930282953027936E-2</v>
      </c>
      <c r="G1037" s="7">
        <f t="shared" ca="1" si="75"/>
        <v>250.82265630717845</v>
      </c>
      <c r="H1037" s="7">
        <f ca="1">(G1037+DCF!$D$40+DCF!$D$41+DCF!$D$42-DCF!$D$43-DCF!$D$44)/DCF!$C$35</f>
        <v>2.057735953872776</v>
      </c>
    </row>
    <row r="1038" spans="3:8" x14ac:dyDescent="0.35">
      <c r="C1038" s="8">
        <f t="shared" ca="1" si="76"/>
        <v>0.5297643626593026</v>
      </c>
      <c r="D1038" s="7">
        <f t="shared" ca="1" si="77"/>
        <v>8.7091857969878519E-2</v>
      </c>
      <c r="E1038" s="7">
        <f t="shared" ca="1" si="78"/>
        <v>0.17346016107013029</v>
      </c>
      <c r="F1038" s="7">
        <f t="shared" ca="1" si="79"/>
        <v>1.588999424567003E-2</v>
      </c>
      <c r="G1038" s="7">
        <f t="shared" ca="1" si="75"/>
        <v>240.00274850739947</v>
      </c>
      <c r="H1038" s="7">
        <f ca="1">(G1038+DCF!$D$40+DCF!$D$41+DCF!$D$42-DCF!$D$43-DCF!$D$44)/DCF!$C$35</f>
        <v>1.9966686336347186</v>
      </c>
    </row>
    <row r="1039" spans="3:8" x14ac:dyDescent="0.35">
      <c r="C1039" s="8">
        <f t="shared" ca="1" si="76"/>
        <v>0.7671745197275921</v>
      </c>
      <c r="D1039" s="7">
        <f t="shared" ca="1" si="77"/>
        <v>9.3880656465475804E-2</v>
      </c>
      <c r="E1039" s="7">
        <f t="shared" ca="1" si="78"/>
        <v>0.19805101184340812</v>
      </c>
      <c r="F1039" s="7">
        <f t="shared" ca="1" si="79"/>
        <v>1.6293663668220729E-2</v>
      </c>
      <c r="G1039" s="7">
        <f t="shared" ca="1" si="75"/>
        <v>218.59887752273539</v>
      </c>
      <c r="H1039" s="7">
        <f ca="1">(G1039+DCF!$D$40+DCF!$D$41+DCF!$D$42-DCF!$D$43-DCF!$D$44)/DCF!$C$35</f>
        <v>1.8758656593449339</v>
      </c>
    </row>
    <row r="1040" spans="3:8" x14ac:dyDescent="0.35">
      <c r="C1040" s="8">
        <f t="shared" ca="1" si="76"/>
        <v>0.82455118686075579</v>
      </c>
      <c r="D1040" s="7">
        <f t="shared" ca="1" si="77"/>
        <v>9.6007113397751115E-2</v>
      </c>
      <c r="E1040" s="7">
        <f t="shared" ca="1" si="78"/>
        <v>0.64750715467326336</v>
      </c>
      <c r="F1040" s="7">
        <f t="shared" ca="1" si="79"/>
        <v>2.1603657399477595E-2</v>
      </c>
      <c r="G1040" s="7">
        <f t="shared" ref="G1040:G1103" ca="1" si="80">$C$11/(1+D1040)^1
 +$D$11/(1+D1040)^2
 +$E$11/(1+D1040)^3
 +$F$11/(1+D1040)^4
 +$G$11/(1+D1040)^5
 +$H$11/(1+D1040)^6
 +$I$11/(1+D1040)^7
 + ( $I$11*(1+F1040)/(D1040-F1040) )/(1+D1040)^7</f>
        <v>222.78579989126425</v>
      </c>
      <c r="H1040" s="7">
        <f ca="1">(G1040+DCF!$D$40+DCF!$D$41+DCF!$D$42-DCF!$D$43-DCF!$D$44)/DCF!$C$35</f>
        <v>1.8994965565597934</v>
      </c>
    </row>
    <row r="1041" spans="3:8" x14ac:dyDescent="0.35">
      <c r="C1041" s="8">
        <f t="shared" ref="C1041:C1104" ca="1" si="81">RAND()</f>
        <v>0.25890553533856542</v>
      </c>
      <c r="D1041" s="7">
        <f t="shared" ref="D1041:D1104" ca="1" si="82">IF(C1041&lt;($C$6-0.07)/(0.11-0.07),0.07+SQRT(C1041*(0.11-0.07)*($C$6-0.07)),0.11-SQRT((1-C1041)*(0.11-0.07)*(0.11-$C$6)))</f>
        <v>8.1194207390604567E-2</v>
      </c>
      <c r="E1041" s="7">
        <f t="shared" ref="E1041:E1104" ca="1" si="83">RAND()</f>
        <v>0.3417789071520918</v>
      </c>
      <c r="F1041" s="7">
        <f t="shared" ref="F1041:F1104" ca="1" si="84">MIN(
 IF(E1041&lt;(0.02-0.01)/(0.03-0.01),
   0.01+SQRT(E1041*(0.03-0.01)*(0.02-0.01)),
   0.03-SQRT((1-E1041)*(0.03-0.01)*(0.03-0.02))
 ),
 D1041-0.005
)</f>
        <v>1.8267755525559422E-2</v>
      </c>
      <c r="G1041" s="7">
        <f t="shared" ca="1" si="80"/>
        <v>270.35392619269032</v>
      </c>
      <c r="H1041" s="7">
        <f ca="1">(G1041+DCF!$D$40+DCF!$D$41+DCF!$D$42-DCF!$D$43-DCF!$D$44)/DCF!$C$35</f>
        <v>2.167970008989109</v>
      </c>
    </row>
    <row r="1042" spans="3:8" x14ac:dyDescent="0.35">
      <c r="C1042" s="8">
        <f t="shared" ca="1" si="81"/>
        <v>0.87940548232158577</v>
      </c>
      <c r="D1042" s="7">
        <f t="shared" ca="1" si="82"/>
        <v>9.8398987900656681E-2</v>
      </c>
      <c r="E1042" s="7">
        <f t="shared" ca="1" si="83"/>
        <v>0.98608489982206748</v>
      </c>
      <c r="F1042" s="7">
        <f t="shared" ca="1" si="84"/>
        <v>2.8331761397285597E-2</v>
      </c>
      <c r="G1042" s="7">
        <f t="shared" ca="1" si="80"/>
        <v>229.77842313729519</v>
      </c>
      <c r="H1042" s="7">
        <f ca="1">(G1042+DCF!$D$40+DCF!$D$41+DCF!$D$42-DCF!$D$43-DCF!$D$44)/DCF!$C$35</f>
        <v>1.9389627674528456</v>
      </c>
    </row>
    <row r="1043" spans="3:8" x14ac:dyDescent="0.35">
      <c r="C1043" s="8">
        <f t="shared" ca="1" si="81"/>
        <v>5.7856259877427263E-2</v>
      </c>
      <c r="D1043" s="7">
        <f t="shared" ca="1" si="82"/>
        <v>7.5291732209841575E-2</v>
      </c>
      <c r="E1043" s="7">
        <f t="shared" ca="1" si="83"/>
        <v>0.59592287227960439</v>
      </c>
      <c r="F1043" s="7">
        <f t="shared" ca="1" si="84"/>
        <v>2.1010259984622519E-2</v>
      </c>
      <c r="G1043" s="7">
        <f t="shared" ca="1" si="80"/>
        <v>311.44330036970837</v>
      </c>
      <c r="H1043" s="7">
        <f ca="1">(G1043+DCF!$D$40+DCF!$D$41+DCF!$D$42-DCF!$D$43-DCF!$D$44)/DCF!$C$35</f>
        <v>2.399877527766725</v>
      </c>
    </row>
    <row r="1044" spans="3:8" x14ac:dyDescent="0.35">
      <c r="C1044" s="8">
        <f t="shared" ca="1" si="81"/>
        <v>0.42734720138936744</v>
      </c>
      <c r="D1044" s="7">
        <f t="shared" ca="1" si="82"/>
        <v>8.4719958005385634E-2</v>
      </c>
      <c r="E1044" s="7">
        <f t="shared" ca="1" si="83"/>
        <v>0.83934296693864263</v>
      </c>
      <c r="F1044" s="7">
        <f t="shared" ca="1" si="84"/>
        <v>2.4331542836690791E-2</v>
      </c>
      <c r="G1044" s="7">
        <f t="shared" ca="1" si="80"/>
        <v>273.91543641472981</v>
      </c>
      <c r="H1044" s="7">
        <f ca="1">(G1044+DCF!$D$40+DCF!$D$41+DCF!$D$42-DCF!$D$43-DCF!$D$44)/DCF!$C$35</f>
        <v>2.1880710938860468</v>
      </c>
    </row>
    <row r="1045" spans="3:8" x14ac:dyDescent="0.35">
      <c r="C1045" s="8">
        <f t="shared" ca="1" si="81"/>
        <v>0.58140415578413018</v>
      </c>
      <c r="D1045" s="7">
        <f t="shared" ca="1" si="82"/>
        <v>8.838627838282101E-2</v>
      </c>
      <c r="E1045" s="7">
        <f t="shared" ca="1" si="83"/>
        <v>6.0380769035838444E-2</v>
      </c>
      <c r="F1045" s="7">
        <f t="shared" ca="1" si="84"/>
        <v>1.3475076086529284E-2</v>
      </c>
      <c r="G1045" s="7">
        <f t="shared" ca="1" si="80"/>
        <v>230.05890878052912</v>
      </c>
      <c r="H1045" s="7">
        <f ca="1">(G1045+DCF!$D$40+DCF!$D$41+DCF!$D$42-DCF!$D$43-DCF!$D$44)/DCF!$C$35</f>
        <v>1.9405458222176832</v>
      </c>
    </row>
    <row r="1046" spans="3:8" x14ac:dyDescent="0.35">
      <c r="C1046" s="8">
        <f t="shared" ca="1" si="81"/>
        <v>0.58702354025614345</v>
      </c>
      <c r="D1046" s="7">
        <f t="shared" ca="1" si="82"/>
        <v>8.8531843836180443E-2</v>
      </c>
      <c r="E1046" s="7">
        <f t="shared" ca="1" si="83"/>
        <v>0.61686927838022187</v>
      </c>
      <c r="F1046" s="7">
        <f t="shared" ca="1" si="84"/>
        <v>2.1246363936971355E-2</v>
      </c>
      <c r="G1046" s="7">
        <f t="shared" ca="1" si="80"/>
        <v>248.2190160832032</v>
      </c>
      <c r="H1046" s="7">
        <f ca="1">(G1046+DCF!$D$40+DCF!$D$41+DCF!$D$42-DCF!$D$43-DCF!$D$44)/DCF!$C$35</f>
        <v>2.0430410660526199</v>
      </c>
    </row>
    <row r="1047" spans="3:8" x14ac:dyDescent="0.35">
      <c r="C1047" s="8">
        <f t="shared" ca="1" si="81"/>
        <v>0.86711584012870535</v>
      </c>
      <c r="D1047" s="7">
        <f t="shared" ca="1" si="82"/>
        <v>9.7822203712643052E-2</v>
      </c>
      <c r="E1047" s="7">
        <f t="shared" ca="1" si="83"/>
        <v>0.37849291884236214</v>
      </c>
      <c r="F1047" s="7">
        <f t="shared" ca="1" si="84"/>
        <v>1.8700493306041469E-2</v>
      </c>
      <c r="G1047" s="7">
        <f t="shared" ca="1" si="80"/>
        <v>211.62304813028004</v>
      </c>
      <c r="H1047" s="7">
        <f ca="1">(G1047+DCF!$D$40+DCF!$D$41+DCF!$D$42-DCF!$D$43-DCF!$D$44)/DCF!$C$35</f>
        <v>1.8364942325899087</v>
      </c>
    </row>
    <row r="1048" spans="3:8" x14ac:dyDescent="0.35">
      <c r="C1048" s="8">
        <f t="shared" ca="1" si="81"/>
        <v>0.33398935042017708</v>
      </c>
      <c r="D1048" s="7">
        <f t="shared" ca="1" si="82"/>
        <v>8.2737060229478521E-2</v>
      </c>
      <c r="E1048" s="7">
        <f t="shared" ca="1" si="83"/>
        <v>0.36003143886696654</v>
      </c>
      <c r="F1048" s="7">
        <f t="shared" ca="1" si="84"/>
        <v>1.848565187675015E-2</v>
      </c>
      <c r="G1048" s="7">
        <f t="shared" ca="1" si="80"/>
        <v>264.18674530046115</v>
      </c>
      <c r="H1048" s="7">
        <f ca="1">(G1048+DCF!$D$40+DCF!$D$41+DCF!$D$42-DCF!$D$43-DCF!$D$44)/DCF!$C$35</f>
        <v>2.1331625764785027</v>
      </c>
    </row>
    <row r="1049" spans="3:8" x14ac:dyDescent="0.35">
      <c r="C1049" s="8">
        <f t="shared" ca="1" si="81"/>
        <v>0.48457144291871723</v>
      </c>
      <c r="D1049" s="7">
        <f t="shared" ca="1" si="82"/>
        <v>8.6016291577349607E-2</v>
      </c>
      <c r="E1049" s="7">
        <f t="shared" ca="1" si="83"/>
        <v>0.47028333446033199</v>
      </c>
      <c r="F1049" s="7">
        <f t="shared" ca="1" si="84"/>
        <v>1.969828164635707E-2</v>
      </c>
      <c r="G1049" s="7">
        <f t="shared" ca="1" si="80"/>
        <v>253.97183045397827</v>
      </c>
      <c r="H1049" s="7">
        <f ca="1">(G1049+DCF!$D$40+DCF!$D$41+DCF!$D$42-DCF!$D$43-DCF!$D$44)/DCF!$C$35</f>
        <v>2.0755098230837468</v>
      </c>
    </row>
    <row r="1050" spans="3:8" x14ac:dyDescent="0.35">
      <c r="C1050" s="8">
        <f t="shared" ca="1" si="81"/>
        <v>0.73010093776379081</v>
      </c>
      <c r="D1050" s="7">
        <f t="shared" ca="1" si="82"/>
        <v>9.2644673628663465E-2</v>
      </c>
      <c r="E1050" s="7">
        <f t="shared" ca="1" si="83"/>
        <v>0.79516914717230269</v>
      </c>
      <c r="F1050" s="7">
        <f t="shared" ca="1" si="84"/>
        <v>2.3599517942721856E-2</v>
      </c>
      <c r="G1050" s="7">
        <f t="shared" ca="1" si="80"/>
        <v>238.78367572034935</v>
      </c>
      <c r="H1050" s="7">
        <f ca="1">(G1050+DCF!$D$40+DCF!$D$41+DCF!$D$42-DCF!$D$43-DCF!$D$44)/DCF!$C$35</f>
        <v>1.9897882137958538</v>
      </c>
    </row>
    <row r="1051" spans="3:8" x14ac:dyDescent="0.35">
      <c r="C1051" s="8">
        <f t="shared" ca="1" si="81"/>
        <v>0.95342283440643805</v>
      </c>
      <c r="D1051" s="7">
        <f t="shared" ca="1" si="82"/>
        <v>0.10279027623258595</v>
      </c>
      <c r="E1051" s="7">
        <f t="shared" ca="1" si="83"/>
        <v>0.21265136225452619</v>
      </c>
      <c r="F1051" s="7">
        <f t="shared" ca="1" si="84"/>
        <v>1.6521523782898076E-2</v>
      </c>
      <c r="G1051" s="7">
        <f t="shared" ca="1" si="80"/>
        <v>194.94279994729999</v>
      </c>
      <c r="H1051" s="7">
        <f ca="1">(G1051+DCF!$D$40+DCF!$D$41+DCF!$D$42-DCF!$D$43-DCF!$D$44)/DCF!$C$35</f>
        <v>1.7423512808855399</v>
      </c>
    </row>
    <row r="1052" spans="3:8" x14ac:dyDescent="0.35">
      <c r="C1052" s="8">
        <f t="shared" ca="1" si="81"/>
        <v>0.89414119153218641</v>
      </c>
      <c r="D1052" s="7">
        <f t="shared" ca="1" si="82"/>
        <v>9.9130849607716343E-2</v>
      </c>
      <c r="E1052" s="7">
        <f t="shared" ca="1" si="83"/>
        <v>0.40815900985104103</v>
      </c>
      <c r="F1052" s="7">
        <f t="shared" ca="1" si="84"/>
        <v>1.9035031929672867E-2</v>
      </c>
      <c r="G1052" s="7">
        <f t="shared" ca="1" si="80"/>
        <v>208.54784867841249</v>
      </c>
      <c r="H1052" s="7">
        <f ca="1">(G1052+DCF!$D$40+DCF!$D$41+DCF!$D$42-DCF!$D$43-DCF!$D$44)/DCF!$C$35</f>
        <v>1.8191378749204903</v>
      </c>
    </row>
    <row r="1053" spans="3:8" x14ac:dyDescent="0.35">
      <c r="C1053" s="8">
        <f t="shared" ca="1" si="81"/>
        <v>3.483006563557467E-2</v>
      </c>
      <c r="D1053" s="7">
        <f t="shared" ca="1" si="82"/>
        <v>7.4105819256569658E-2</v>
      </c>
      <c r="E1053" s="7">
        <f t="shared" ca="1" si="83"/>
        <v>0.32001974998030325</v>
      </c>
      <c r="F1053" s="7">
        <f t="shared" ca="1" si="84"/>
        <v>1.800024687094471E-2</v>
      </c>
      <c r="G1053" s="7">
        <f t="shared" ca="1" si="80"/>
        <v>305.46809960758304</v>
      </c>
      <c r="H1053" s="7">
        <f ca="1">(G1053+DCF!$D$40+DCF!$D$41+DCF!$D$42-DCF!$D$43-DCF!$D$44)/DCF!$C$35</f>
        <v>2.3661536268629813</v>
      </c>
    </row>
    <row r="1054" spans="3:8" x14ac:dyDescent="0.35">
      <c r="C1054" s="8">
        <f t="shared" ca="1" si="81"/>
        <v>0.56399424904302353</v>
      </c>
      <c r="D1054" s="7">
        <f t="shared" ca="1" si="82"/>
        <v>8.7941386760088808E-2</v>
      </c>
      <c r="E1054" s="7">
        <f t="shared" ca="1" si="83"/>
        <v>0.65613001034977236</v>
      </c>
      <c r="F1054" s="7">
        <f t="shared" ca="1" si="84"/>
        <v>2.17069910207425E-2</v>
      </c>
      <c r="G1054" s="7">
        <f t="shared" ca="1" si="80"/>
        <v>251.80576384172289</v>
      </c>
      <c r="H1054" s="7">
        <f ca="1">(G1054+DCF!$D$40+DCF!$D$41+DCF!$D$42-DCF!$D$43-DCF!$D$44)/DCF!$C$35</f>
        <v>2.0632845910470867</v>
      </c>
    </row>
    <row r="1055" spans="3:8" x14ac:dyDescent="0.35">
      <c r="C1055" s="8">
        <f t="shared" ca="1" si="81"/>
        <v>0.79156484850086783</v>
      </c>
      <c r="D1055" s="7">
        <f t="shared" ca="1" si="82"/>
        <v>9.4748323729077141E-2</v>
      </c>
      <c r="E1055" s="7">
        <f t="shared" ca="1" si="83"/>
        <v>0.36093868556633613</v>
      </c>
      <c r="F1055" s="7">
        <f t="shared" ca="1" si="84"/>
        <v>1.8496336687847725E-2</v>
      </c>
      <c r="G1055" s="7">
        <f t="shared" ca="1" si="80"/>
        <v>220.32931056263317</v>
      </c>
      <c r="H1055" s="7">
        <f ca="1">(G1055+DCF!$D$40+DCF!$D$41+DCF!$D$42-DCF!$D$43-DCF!$D$44)/DCF!$C$35</f>
        <v>1.8856321851373357</v>
      </c>
    </row>
    <row r="1056" spans="3:8" x14ac:dyDescent="0.35">
      <c r="C1056" s="8">
        <f t="shared" ca="1" si="81"/>
        <v>0.1495720367799509</v>
      </c>
      <c r="D1056" s="7">
        <f t="shared" ca="1" si="82"/>
        <v>7.8508399720364358E-2</v>
      </c>
      <c r="E1056" s="7">
        <f t="shared" ca="1" si="83"/>
        <v>0.86482166675616678</v>
      </c>
      <c r="F1056" s="7">
        <f t="shared" ca="1" si="84"/>
        <v>2.4800416685082673E-2</v>
      </c>
      <c r="G1056" s="7">
        <f t="shared" ca="1" si="80"/>
        <v>308.92357283575495</v>
      </c>
      <c r="H1056" s="7">
        <f ca="1">(G1056+DCF!$D$40+DCF!$D$41+DCF!$D$42-DCF!$D$43-DCF!$D$44)/DCF!$C$35</f>
        <v>2.3856562413125348</v>
      </c>
    </row>
    <row r="1057" spans="3:8" x14ac:dyDescent="0.35">
      <c r="C1057" s="8">
        <f t="shared" ca="1" si="81"/>
        <v>0.57183569233260956</v>
      </c>
      <c r="D1057" s="7">
        <f t="shared" ca="1" si="82"/>
        <v>8.8140645769904186E-2</v>
      </c>
      <c r="E1057" s="7">
        <f t="shared" ca="1" si="83"/>
        <v>0.49050740174783547</v>
      </c>
      <c r="F1057" s="7">
        <f t="shared" ca="1" si="84"/>
        <v>1.9904619142075433E-2</v>
      </c>
      <c r="G1057" s="7">
        <f t="shared" ca="1" si="80"/>
        <v>246.18365930586293</v>
      </c>
      <c r="H1057" s="7">
        <f ca="1">(G1057+DCF!$D$40+DCF!$D$41+DCF!$D$42-DCF!$D$43-DCF!$D$44)/DCF!$C$35</f>
        <v>2.0315535574323453</v>
      </c>
    </row>
    <row r="1058" spans="3:8" x14ac:dyDescent="0.35">
      <c r="C1058" s="8">
        <f t="shared" ca="1" si="81"/>
        <v>0.26616914850765916</v>
      </c>
      <c r="D1058" s="7">
        <f t="shared" ca="1" si="82"/>
        <v>8.1350148363687022E-2</v>
      </c>
      <c r="E1058" s="7">
        <f t="shared" ca="1" si="83"/>
        <v>0.32971693063328367</v>
      </c>
      <c r="F1058" s="7">
        <f t="shared" ca="1" si="84"/>
        <v>1.8120553314070212E-2</v>
      </c>
      <c r="G1058" s="7">
        <f t="shared" ca="1" si="80"/>
        <v>269.18377171302393</v>
      </c>
      <c r="H1058" s="7">
        <f ca="1">(G1058+DCF!$D$40+DCF!$D$41+DCF!$D$42-DCF!$D$43-DCF!$D$44)/DCF!$C$35</f>
        <v>2.1613656829948296</v>
      </c>
    </row>
    <row r="1059" spans="3:8" x14ac:dyDescent="0.35">
      <c r="C1059" s="8">
        <f t="shared" ca="1" si="81"/>
        <v>0.12748237233947013</v>
      </c>
      <c r="D1059" s="7">
        <f t="shared" ca="1" si="82"/>
        <v>7.7855028212062874E-2</v>
      </c>
      <c r="E1059" s="7">
        <f t="shared" ca="1" si="83"/>
        <v>0.77727033083027863</v>
      </c>
      <c r="F1059" s="7">
        <f t="shared" ca="1" si="84"/>
        <v>2.3325725969519661E-2</v>
      </c>
      <c r="G1059" s="7">
        <f t="shared" ca="1" si="80"/>
        <v>306.34450745194749</v>
      </c>
      <c r="H1059" s="7">
        <f ca="1">(G1059+DCF!$D$40+DCF!$D$41+DCF!$D$42-DCF!$D$43-DCF!$D$44)/DCF!$C$35</f>
        <v>2.3711000533465825</v>
      </c>
    </row>
    <row r="1060" spans="3:8" x14ac:dyDescent="0.35">
      <c r="C1060" s="8">
        <f t="shared" ca="1" si="81"/>
        <v>0.82906567604352543</v>
      </c>
      <c r="D1060" s="7">
        <f t="shared" ca="1" si="82"/>
        <v>9.6188312719460184E-2</v>
      </c>
      <c r="E1060" s="7">
        <f t="shared" ca="1" si="83"/>
        <v>0.49123363848550239</v>
      </c>
      <c r="F1060" s="7">
        <f t="shared" ca="1" si="84"/>
        <v>1.9911948733579106E-2</v>
      </c>
      <c r="G1060" s="7">
        <f t="shared" ca="1" si="80"/>
        <v>218.75908928647814</v>
      </c>
      <c r="H1060" s="7">
        <f ca="1">(G1060+DCF!$D$40+DCF!$D$41+DCF!$D$42-DCF!$D$43-DCF!$D$44)/DCF!$C$35</f>
        <v>1.8767698909949098</v>
      </c>
    </row>
    <row r="1061" spans="3:8" x14ac:dyDescent="0.35">
      <c r="C1061" s="8">
        <f t="shared" ca="1" si="81"/>
        <v>0.5494453918083898</v>
      </c>
      <c r="D1061" s="7">
        <f t="shared" ca="1" si="82"/>
        <v>8.7576375343360824E-2</v>
      </c>
      <c r="E1061" s="7">
        <f t="shared" ca="1" si="83"/>
        <v>0.72907612749420792</v>
      </c>
      <c r="F1061" s="7">
        <f t="shared" ca="1" si="84"/>
        <v>2.2638969195747215E-2</v>
      </c>
      <c r="G1061" s="7">
        <f t="shared" ca="1" si="80"/>
        <v>255.92997170081833</v>
      </c>
      <c r="H1061" s="7">
        <f ca="1">(G1061+DCF!$D$40+DCF!$D$41+DCF!$D$42-DCF!$D$43-DCF!$D$44)/DCF!$C$35</f>
        <v>2.0865615289582249</v>
      </c>
    </row>
    <row r="1062" spans="3:8" x14ac:dyDescent="0.35">
      <c r="C1062" s="8">
        <f t="shared" ca="1" si="81"/>
        <v>0.10493587119594217</v>
      </c>
      <c r="D1062" s="7">
        <f t="shared" ca="1" si="82"/>
        <v>7.7126637472106754E-2</v>
      </c>
      <c r="E1062" s="7">
        <f t="shared" ca="1" si="83"/>
        <v>0.80374893400720804</v>
      </c>
      <c r="F1062" s="7">
        <f t="shared" ca="1" si="84"/>
        <v>2.3735000941854947E-2</v>
      </c>
      <c r="G1062" s="7">
        <f t="shared" ca="1" si="80"/>
        <v>312.51800491789282</v>
      </c>
      <c r="H1062" s="7">
        <f ca="1">(G1062+DCF!$D$40+DCF!$D$41+DCF!$D$42-DCF!$D$43-DCF!$D$44)/DCF!$C$35</f>
        <v>2.4059431364594919</v>
      </c>
    </row>
    <row r="1063" spans="3:8" x14ac:dyDescent="0.35">
      <c r="C1063" s="8">
        <f t="shared" ca="1" si="81"/>
        <v>0.54744189244298147</v>
      </c>
      <c r="D1063" s="7">
        <f t="shared" ca="1" si="82"/>
        <v>8.7526574626158288E-2</v>
      </c>
      <c r="E1063" s="7">
        <f t="shared" ca="1" si="83"/>
        <v>0.77362282861010789</v>
      </c>
      <c r="F1063" s="7">
        <f t="shared" ca="1" si="84"/>
        <v>2.327129772705179E-2</v>
      </c>
      <c r="G1063" s="7">
        <f t="shared" ca="1" si="80"/>
        <v>257.98375620362623</v>
      </c>
      <c r="H1063" s="7">
        <f ca="1">(G1063+DCF!$D$40+DCF!$D$41+DCF!$D$42-DCF!$D$43-DCF!$D$44)/DCF!$C$35</f>
        <v>2.0981530432533368</v>
      </c>
    </row>
    <row r="1064" spans="3:8" x14ac:dyDescent="0.35">
      <c r="C1064" s="8">
        <f t="shared" ca="1" si="81"/>
        <v>3.5501136066633632E-2</v>
      </c>
      <c r="D1064" s="7">
        <f t="shared" ca="1" si="82"/>
        <v>7.4145183935153028E-2</v>
      </c>
      <c r="E1064" s="7">
        <f t="shared" ca="1" si="83"/>
        <v>0.58753808952996356</v>
      </c>
      <c r="F1064" s="7">
        <f t="shared" ca="1" si="84"/>
        <v>2.0917468299311733E-2</v>
      </c>
      <c r="G1064" s="7">
        <f t="shared" ca="1" si="80"/>
        <v>318.04793386195632</v>
      </c>
      <c r="H1064" s="7">
        <f ca="1">(G1064+DCF!$D$40+DCF!$D$41+DCF!$D$42-DCF!$D$43-DCF!$D$44)/DCF!$C$35</f>
        <v>2.4371539330734637</v>
      </c>
    </row>
    <row r="1065" spans="3:8" x14ac:dyDescent="0.35">
      <c r="C1065" s="8">
        <f t="shared" ca="1" si="81"/>
        <v>0.11314431878039277</v>
      </c>
      <c r="D1065" s="7">
        <f t="shared" ca="1" si="82"/>
        <v>7.740012501851895E-2</v>
      </c>
      <c r="E1065" s="7">
        <f t="shared" ca="1" si="83"/>
        <v>0.71558892168670951</v>
      </c>
      <c r="F1065" s="7">
        <f t="shared" ca="1" si="84"/>
        <v>2.2457970056897276E-2</v>
      </c>
      <c r="G1065" s="7">
        <f t="shared" ca="1" si="80"/>
        <v>305.27590339289111</v>
      </c>
      <c r="H1065" s="7">
        <f ca="1">(G1065+DCF!$D$40+DCF!$D$41+DCF!$D$42-DCF!$D$43-DCF!$D$44)/DCF!$C$35</f>
        <v>2.3650688756794844</v>
      </c>
    </row>
    <row r="1066" spans="3:8" x14ac:dyDescent="0.35">
      <c r="C1066" s="8">
        <f t="shared" ca="1" si="81"/>
        <v>0.80785932531934634</v>
      </c>
      <c r="D1066" s="7">
        <f t="shared" ca="1" si="82"/>
        <v>9.5356605825710719E-2</v>
      </c>
      <c r="E1066" s="7">
        <f t="shared" ca="1" si="83"/>
        <v>0.53170392614718154</v>
      </c>
      <c r="F1066" s="7">
        <f t="shared" ca="1" si="84"/>
        <v>2.0322230899088176E-2</v>
      </c>
      <c r="G1066" s="7">
        <f t="shared" ca="1" si="80"/>
        <v>222.1674704899317</v>
      </c>
      <c r="H1066" s="7">
        <f ca="1">(G1066+DCF!$D$40+DCF!$D$41+DCF!$D$42-DCF!$D$43-DCF!$D$44)/DCF!$C$35</f>
        <v>1.8960067190988357</v>
      </c>
    </row>
    <row r="1067" spans="3:8" x14ac:dyDescent="0.35">
      <c r="C1067" s="8">
        <f t="shared" ca="1" si="81"/>
        <v>1.302482354030432E-2</v>
      </c>
      <c r="D1067" s="7">
        <f t="shared" ca="1" si="82"/>
        <v>7.2510779678408147E-2</v>
      </c>
      <c r="E1067" s="7">
        <f t="shared" ca="1" si="83"/>
        <v>0.63480750724881341</v>
      </c>
      <c r="F1067" s="7">
        <f t="shared" ca="1" si="84"/>
        <v>2.1453743594401269E-2</v>
      </c>
      <c r="G1067" s="7">
        <f t="shared" ca="1" si="80"/>
        <v>331.28334902543452</v>
      </c>
      <c r="H1067" s="7">
        <f ca="1">(G1067+DCF!$D$40+DCF!$D$41+DCF!$D$42-DCF!$D$43-DCF!$D$44)/DCF!$C$35</f>
        <v>2.5118543234306046</v>
      </c>
    </row>
    <row r="1068" spans="3:8" x14ac:dyDescent="0.35">
      <c r="C1068" s="8">
        <f t="shared" ca="1" si="81"/>
        <v>0.84361019619399591</v>
      </c>
      <c r="D1068" s="7">
        <f t="shared" ca="1" si="82"/>
        <v>9.6788981074591537E-2</v>
      </c>
      <c r="E1068" s="7">
        <f t="shared" ca="1" si="83"/>
        <v>0.48286164283726107</v>
      </c>
      <c r="F1068" s="7">
        <f t="shared" ca="1" si="84"/>
        <v>1.9827122089780519E-2</v>
      </c>
      <c r="G1068" s="7">
        <f t="shared" ca="1" si="80"/>
        <v>216.77694247402297</v>
      </c>
      <c r="H1068" s="7">
        <f ca="1">(G1068+DCF!$D$40+DCF!$D$41+DCF!$D$42-DCF!$D$43-DCF!$D$44)/DCF!$C$35</f>
        <v>1.8655826982392085</v>
      </c>
    </row>
    <row r="1069" spans="3:8" x14ac:dyDescent="0.35">
      <c r="C1069" s="8">
        <f t="shared" ca="1" si="81"/>
        <v>0.5839169479269346</v>
      </c>
      <c r="D1069" s="7">
        <f t="shared" ca="1" si="82"/>
        <v>8.8451248618225217E-2</v>
      </c>
      <c r="E1069" s="7">
        <f t="shared" ca="1" si="83"/>
        <v>0.76693547920060545</v>
      </c>
      <c r="F1069" s="7">
        <f t="shared" ca="1" si="84"/>
        <v>2.3172635635922242E-2</v>
      </c>
      <c r="G1069" s="7">
        <f t="shared" ca="1" si="80"/>
        <v>253.85334768909846</v>
      </c>
      <c r="H1069" s="7">
        <f ca="1">(G1069+DCF!$D$40+DCF!$D$41+DCF!$D$42-DCF!$D$43-DCF!$D$44)/DCF!$C$35</f>
        <v>2.0748411089801242</v>
      </c>
    </row>
    <row r="1070" spans="3:8" x14ac:dyDescent="0.35">
      <c r="C1070" s="8">
        <f t="shared" ca="1" si="81"/>
        <v>0.11633431016467233</v>
      </c>
      <c r="D1070" s="7">
        <f t="shared" ca="1" si="82"/>
        <v>7.7503719485675193E-2</v>
      </c>
      <c r="E1070" s="7">
        <f t="shared" ca="1" si="83"/>
        <v>0.51278157677419034</v>
      </c>
      <c r="F1070" s="7">
        <f t="shared" ca="1" si="84"/>
        <v>2.0128643221665934E-2</v>
      </c>
      <c r="G1070" s="7">
        <f t="shared" ca="1" si="80"/>
        <v>295.17977799096582</v>
      </c>
      <c r="H1070" s="7">
        <f ca="1">(G1070+DCF!$D$40+DCF!$D$41+DCF!$D$42-DCF!$D$43-DCF!$D$44)/DCF!$C$35</f>
        <v>2.3080865672816673</v>
      </c>
    </row>
    <row r="1071" spans="3:8" x14ac:dyDescent="0.35">
      <c r="C1071" s="8">
        <f t="shared" ca="1" si="81"/>
        <v>0.88946501321132931</v>
      </c>
      <c r="D1071" s="7">
        <f t="shared" ca="1" si="82"/>
        <v>9.8893378314889965E-2</v>
      </c>
      <c r="E1071" s="7">
        <f t="shared" ca="1" si="83"/>
        <v>0.53136581438765074</v>
      </c>
      <c r="F1071" s="7">
        <f t="shared" ca="1" si="84"/>
        <v>2.0318737834224825E-2</v>
      </c>
      <c r="G1071" s="7">
        <f t="shared" ca="1" si="80"/>
        <v>211.54966020589524</v>
      </c>
      <c r="H1071" s="7">
        <f ca="1">(G1071+DCF!$D$40+DCF!$D$41+DCF!$D$42-DCF!$D$43-DCF!$D$44)/DCF!$C$35</f>
        <v>1.8360800327683442</v>
      </c>
    </row>
    <row r="1072" spans="3:8" x14ac:dyDescent="0.35">
      <c r="C1072" s="8">
        <f t="shared" ca="1" si="81"/>
        <v>0.9168390237459132</v>
      </c>
      <c r="D1072" s="7">
        <f t="shared" ca="1" si="82"/>
        <v>0.10036632730992168</v>
      </c>
      <c r="E1072" s="7">
        <f t="shared" ca="1" si="83"/>
        <v>0.60317022263692932</v>
      </c>
      <c r="F1072" s="7">
        <f t="shared" ca="1" si="84"/>
        <v>2.1091242764974785E-2</v>
      </c>
      <c r="G1072" s="7">
        <f t="shared" ca="1" si="80"/>
        <v>208.79126603083699</v>
      </c>
      <c r="H1072" s="7">
        <f ca="1">(G1072+DCF!$D$40+DCF!$D$41+DCF!$D$42-DCF!$D$43-DCF!$D$44)/DCF!$C$35</f>
        <v>1.820511717072113</v>
      </c>
    </row>
    <row r="1073" spans="3:8" x14ac:dyDescent="0.35">
      <c r="C1073" s="8">
        <f t="shared" ca="1" si="81"/>
        <v>0.33442210239097858</v>
      </c>
      <c r="D1073" s="7">
        <f t="shared" ca="1" si="82"/>
        <v>8.2745918952720723E-2</v>
      </c>
      <c r="E1073" s="7">
        <f t="shared" ca="1" si="83"/>
        <v>0.53737787229407996</v>
      </c>
      <c r="F1073" s="7">
        <f t="shared" ca="1" si="84"/>
        <v>2.0381038229560115E-2</v>
      </c>
      <c r="G1073" s="7">
        <f t="shared" ca="1" si="80"/>
        <v>270.06233576527586</v>
      </c>
      <c r="H1073" s="7">
        <f ca="1">(G1073+DCF!$D$40+DCF!$D$41+DCF!$D$42-DCF!$D$43-DCF!$D$44)/DCF!$C$35</f>
        <v>2.1663242790680428</v>
      </c>
    </row>
    <row r="1074" spans="3:8" x14ac:dyDescent="0.35">
      <c r="C1074" s="8">
        <f t="shared" ca="1" si="81"/>
        <v>0.24465565483116536</v>
      </c>
      <c r="D1074" s="7">
        <f t="shared" ca="1" si="82"/>
        <v>8.0881789234233684E-2</v>
      </c>
      <c r="E1074" s="7">
        <f t="shared" ca="1" si="83"/>
        <v>0.15924739700094859</v>
      </c>
      <c r="F1074" s="7">
        <f t="shared" ca="1" si="84"/>
        <v>1.5643534300435295E-2</v>
      </c>
      <c r="G1074" s="7">
        <f t="shared" ca="1" si="80"/>
        <v>263.66033710053284</v>
      </c>
      <c r="H1074" s="7">
        <f ca="1">(G1074+DCF!$D$40+DCF!$D$41+DCF!$D$42-DCF!$D$43-DCF!$D$44)/DCF!$C$35</f>
        <v>2.1301915402445695</v>
      </c>
    </row>
    <row r="1075" spans="3:8" x14ac:dyDescent="0.35">
      <c r="C1075" s="8">
        <f t="shared" ca="1" si="81"/>
        <v>0.63642657957654802</v>
      </c>
      <c r="D1075" s="7">
        <f t="shared" ca="1" si="82"/>
        <v>8.9856814125055279E-2</v>
      </c>
      <c r="E1075" s="7">
        <f t="shared" ca="1" si="83"/>
        <v>0.14587615818248845</v>
      </c>
      <c r="F1075" s="7">
        <f t="shared" ca="1" si="84"/>
        <v>1.540141015258957E-2</v>
      </c>
      <c r="G1075" s="7">
        <f t="shared" ca="1" si="80"/>
        <v>229.40331620158315</v>
      </c>
      <c r="H1075" s="7">
        <f ca="1">(G1075+DCF!$D$40+DCF!$D$41+DCF!$D$42-DCF!$D$43-DCF!$D$44)/DCF!$C$35</f>
        <v>1.9368456722067002</v>
      </c>
    </row>
    <row r="1076" spans="3:8" x14ac:dyDescent="0.35">
      <c r="C1076" s="8">
        <f t="shared" ca="1" si="81"/>
        <v>0.53271896989361345</v>
      </c>
      <c r="D1076" s="7">
        <f t="shared" ca="1" si="82"/>
        <v>8.7163940147242408E-2</v>
      </c>
      <c r="E1076" s="7">
        <f t="shared" ca="1" si="83"/>
        <v>0.59311996139014966</v>
      </c>
      <c r="F1076" s="7">
        <f t="shared" ca="1" si="84"/>
        <v>2.0979134868430296E-2</v>
      </c>
      <c r="G1076" s="7">
        <f t="shared" ca="1" si="80"/>
        <v>252.90954673326803</v>
      </c>
      <c r="H1076" s="7">
        <f ca="1">(G1076+DCF!$D$40+DCF!$D$41+DCF!$D$42-DCF!$D$43-DCF!$D$44)/DCF!$C$35</f>
        <v>2.069514317266441</v>
      </c>
    </row>
    <row r="1077" spans="3:8" x14ac:dyDescent="0.35">
      <c r="C1077" s="8">
        <f t="shared" ca="1" si="81"/>
        <v>0.66249729176528283</v>
      </c>
      <c r="D1077" s="7">
        <f t="shared" ca="1" si="82"/>
        <v>9.0592449345938991E-2</v>
      </c>
      <c r="E1077" s="7">
        <f t="shared" ca="1" si="83"/>
        <v>0.84537603596799771</v>
      </c>
      <c r="F1077" s="7">
        <f t="shared" ca="1" si="84"/>
        <v>2.4438993543754832E-2</v>
      </c>
      <c r="G1077" s="7">
        <f t="shared" ca="1" si="80"/>
        <v>248.76836205530265</v>
      </c>
      <c r="H1077" s="7">
        <f ca="1">(G1077+DCF!$D$40+DCF!$D$41+DCF!$D$42-DCF!$D$43-DCF!$D$44)/DCF!$C$35</f>
        <v>2.0461415625652029</v>
      </c>
    </row>
    <row r="1078" spans="3:8" x14ac:dyDescent="0.35">
      <c r="C1078" s="8">
        <f t="shared" ca="1" si="81"/>
        <v>0.81074870845927627</v>
      </c>
      <c r="D1078" s="7">
        <f t="shared" ca="1" si="82"/>
        <v>9.5467125495641014E-2</v>
      </c>
      <c r="E1078" s="7">
        <f t="shared" ca="1" si="83"/>
        <v>0.61398887501779975</v>
      </c>
      <c r="F1078" s="7">
        <f t="shared" ca="1" si="84"/>
        <v>2.1213520329708829E-2</v>
      </c>
      <c r="G1078" s="7">
        <f t="shared" ca="1" si="80"/>
        <v>223.6828691589385</v>
      </c>
      <c r="H1078" s="7">
        <f ca="1">(G1078+DCF!$D$40+DCF!$D$41+DCF!$D$42-DCF!$D$43-DCF!$D$44)/DCF!$C$35</f>
        <v>1.9045595956594339</v>
      </c>
    </row>
    <row r="1079" spans="3:8" x14ac:dyDescent="0.35">
      <c r="C1079" s="8">
        <f t="shared" ca="1" si="81"/>
        <v>0.49221089616002422</v>
      </c>
      <c r="D1079" s="7">
        <f t="shared" ca="1" si="82"/>
        <v>8.6194693031061059E-2</v>
      </c>
      <c r="E1079" s="7">
        <f t="shared" ca="1" si="83"/>
        <v>0.38355032363197883</v>
      </c>
      <c r="F1079" s="7">
        <f t="shared" ca="1" si="84"/>
        <v>1.8758428210951767E-2</v>
      </c>
      <c r="G1079" s="7">
        <f t="shared" ca="1" si="80"/>
        <v>250.68086747765082</v>
      </c>
      <c r="H1079" s="7">
        <f ca="1">(G1079+DCF!$D$40+DCF!$D$41+DCF!$D$42-DCF!$D$43-DCF!$D$44)/DCF!$C$35</f>
        <v>2.0569357008559139</v>
      </c>
    </row>
    <row r="1080" spans="3:8" x14ac:dyDescent="0.35">
      <c r="C1080" s="8">
        <f t="shared" ca="1" si="81"/>
        <v>0.12679444104349391</v>
      </c>
      <c r="D1080" s="7">
        <f t="shared" ca="1" si="82"/>
        <v>7.7833805554457625E-2</v>
      </c>
      <c r="E1080" s="7">
        <f t="shared" ca="1" si="83"/>
        <v>0.74575489473237178</v>
      </c>
      <c r="F1080" s="7">
        <f t="shared" ca="1" si="84"/>
        <v>2.2869150046907056E-2</v>
      </c>
      <c r="G1080" s="7">
        <f t="shared" ca="1" si="80"/>
        <v>304.51084535201119</v>
      </c>
      <c r="H1080" s="7">
        <f ca="1">(G1080+DCF!$D$40+DCF!$D$41+DCF!$D$42-DCF!$D$43-DCF!$D$44)/DCF!$C$35</f>
        <v>2.3607509050232034</v>
      </c>
    </row>
    <row r="1081" spans="3:8" x14ac:dyDescent="0.35">
      <c r="C1081" s="8">
        <f t="shared" ca="1" si="81"/>
        <v>0.58297987156354325</v>
      </c>
      <c r="D1081" s="7">
        <f t="shared" ca="1" si="82"/>
        <v>8.8426996886499881E-2</v>
      </c>
      <c r="E1081" s="7">
        <f t="shared" ca="1" si="83"/>
        <v>0.19557709578453297</v>
      </c>
      <c r="F1081" s="7">
        <f t="shared" ca="1" si="84"/>
        <v>1.6254232099699097E-2</v>
      </c>
      <c r="G1081" s="7">
        <f t="shared" ca="1" si="80"/>
        <v>236.15119077901892</v>
      </c>
      <c r="H1081" s="7">
        <f ca="1">(G1081+DCF!$D$40+DCF!$D$41+DCF!$D$42-DCF!$D$43-DCF!$D$44)/DCF!$C$35</f>
        <v>1.9749305270291166</v>
      </c>
    </row>
    <row r="1082" spans="3:8" x14ac:dyDescent="0.35">
      <c r="C1082" s="8">
        <f t="shared" ca="1" si="81"/>
        <v>0.85988827088081643</v>
      </c>
      <c r="D1082" s="7">
        <f t="shared" ca="1" si="82"/>
        <v>9.7495413253649327E-2</v>
      </c>
      <c r="E1082" s="7">
        <f t="shared" ca="1" si="83"/>
        <v>0.4071775939363631</v>
      </c>
      <c r="F1082" s="7">
        <f t="shared" ca="1" si="84"/>
        <v>1.9024163051899752E-2</v>
      </c>
      <c r="G1082" s="7">
        <f t="shared" ca="1" si="80"/>
        <v>213.16188567913608</v>
      </c>
      <c r="H1082" s="7">
        <f ca="1">(G1082+DCF!$D$40+DCF!$D$41+DCF!$D$42-DCF!$D$43-DCF!$D$44)/DCF!$C$35</f>
        <v>1.845179397669805</v>
      </c>
    </row>
    <row r="1083" spans="3:8" x14ac:dyDescent="0.35">
      <c r="C1083" s="8">
        <f t="shared" ca="1" si="81"/>
        <v>0.64434560438511579</v>
      </c>
      <c r="D1083" s="7">
        <f t="shared" ca="1" si="82"/>
        <v>9.0077392100776296E-2</v>
      </c>
      <c r="E1083" s="7">
        <f t="shared" ca="1" si="83"/>
        <v>0.8538817738099147</v>
      </c>
      <c r="F1083" s="7">
        <f t="shared" ca="1" si="84"/>
        <v>2.4594110134490615E-2</v>
      </c>
      <c r="G1083" s="7">
        <f t="shared" ca="1" si="80"/>
        <v>251.25568823553371</v>
      </c>
      <c r="H1083" s="7">
        <f ca="1">(G1083+DCF!$D$40+DCF!$D$41+DCF!$D$42-DCF!$D$43-DCF!$D$44)/DCF!$C$35</f>
        <v>2.0601799764958444</v>
      </c>
    </row>
    <row r="1084" spans="3:8" x14ac:dyDescent="0.35">
      <c r="C1084" s="8">
        <f t="shared" ca="1" si="81"/>
        <v>0.4836472393152188</v>
      </c>
      <c r="D1084" s="7">
        <f t="shared" ca="1" si="82"/>
        <v>8.5994798877655376E-2</v>
      </c>
      <c r="E1084" s="7">
        <f t="shared" ca="1" si="83"/>
        <v>0.86610631074067501</v>
      </c>
      <c r="F1084" s="7">
        <f t="shared" ca="1" si="84"/>
        <v>2.4825182336365367E-2</v>
      </c>
      <c r="G1084" s="7">
        <f t="shared" ca="1" si="80"/>
        <v>269.58590430027994</v>
      </c>
      <c r="H1084" s="7">
        <f ca="1">(G1084+DCF!$D$40+DCF!$D$41+DCF!$D$42-DCF!$D$43-DCF!$D$44)/DCF!$C$35</f>
        <v>2.1636353104203629</v>
      </c>
    </row>
    <row r="1085" spans="3:8" x14ac:dyDescent="0.35">
      <c r="C1085" s="8">
        <f t="shared" ca="1" si="81"/>
        <v>3.5392389518135947E-2</v>
      </c>
      <c r="D1085" s="7">
        <f t="shared" ca="1" si="82"/>
        <v>7.4138830333171174E-2</v>
      </c>
      <c r="E1085" s="7">
        <f t="shared" ca="1" si="83"/>
        <v>0.83635923467931506</v>
      </c>
      <c r="F1085" s="7">
        <f t="shared" ca="1" si="84"/>
        <v>2.4279147522952807E-2</v>
      </c>
      <c r="G1085" s="7">
        <f t="shared" ca="1" si="80"/>
        <v>334.70596214838406</v>
      </c>
      <c r="H1085" s="7">
        <f ca="1">(G1085+DCF!$D$40+DCF!$D$41+DCF!$D$42-DCF!$D$43-DCF!$D$44)/DCF!$C$35</f>
        <v>2.5311714761732933</v>
      </c>
    </row>
    <row r="1086" spans="3:8" x14ac:dyDescent="0.35">
      <c r="C1086" s="8">
        <f t="shared" ca="1" si="81"/>
        <v>0.72063575617174835</v>
      </c>
      <c r="D1086" s="7">
        <f t="shared" ca="1" si="82"/>
        <v>9.234297601201355E-2</v>
      </c>
      <c r="E1086" s="7">
        <f t="shared" ca="1" si="83"/>
        <v>0.64630551667016645</v>
      </c>
      <c r="F1086" s="7">
        <f t="shared" ca="1" si="84"/>
        <v>2.1589358129966138E-2</v>
      </c>
      <c r="G1086" s="7">
        <f t="shared" ca="1" si="80"/>
        <v>234.98755251064833</v>
      </c>
      <c r="H1086" s="7">
        <f ca="1">(G1086+DCF!$D$40+DCF!$D$41+DCF!$D$42-DCF!$D$43-DCF!$D$44)/DCF!$C$35</f>
        <v>1.9683629783872238</v>
      </c>
    </row>
    <row r="1087" spans="3:8" x14ac:dyDescent="0.35">
      <c r="C1087" s="8">
        <f t="shared" ca="1" si="81"/>
        <v>0.74976857584189871</v>
      </c>
      <c r="D1087" s="7">
        <f t="shared" ca="1" si="82"/>
        <v>9.3288977608762508E-2</v>
      </c>
      <c r="E1087" s="7">
        <f t="shared" ca="1" si="83"/>
        <v>0.70830991248531749</v>
      </c>
      <c r="F1087" s="7">
        <f t="shared" ca="1" si="84"/>
        <v>2.2362067197013547E-2</v>
      </c>
      <c r="G1087" s="7">
        <f t="shared" ca="1" si="80"/>
        <v>233.50166798194994</v>
      </c>
      <c r="H1087" s="7">
        <f ca="1">(G1087+DCF!$D$40+DCF!$D$41+DCF!$D$42-DCF!$D$43-DCF!$D$44)/DCF!$C$35</f>
        <v>1.9599766789815438</v>
      </c>
    </row>
    <row r="1088" spans="3:8" x14ac:dyDescent="0.35">
      <c r="C1088" s="8">
        <f t="shared" ca="1" si="81"/>
        <v>0.21494656880786978</v>
      </c>
      <c r="D1088" s="7">
        <f t="shared" ca="1" si="82"/>
        <v>8.0199712706885876E-2</v>
      </c>
      <c r="E1088" s="7">
        <f t="shared" ca="1" si="83"/>
        <v>0.73579400600265987</v>
      </c>
      <c r="F1088" s="7">
        <f t="shared" ca="1" si="84"/>
        <v>2.2730804803868035E-2</v>
      </c>
      <c r="G1088" s="7">
        <f t="shared" ca="1" si="80"/>
        <v>290.83791618500379</v>
      </c>
      <c r="H1088" s="7">
        <f ca="1">(G1088+DCF!$D$40+DCF!$D$41+DCF!$D$42-DCF!$D$43-DCF!$D$44)/DCF!$C$35</f>
        <v>2.2835811953098757</v>
      </c>
    </row>
    <row r="1089" spans="3:8" x14ac:dyDescent="0.35">
      <c r="C1089" s="8">
        <f t="shared" ca="1" si="81"/>
        <v>0.72697857403705513</v>
      </c>
      <c r="D1089" s="7">
        <f t="shared" ca="1" si="82"/>
        <v>9.2544573583706227E-2</v>
      </c>
      <c r="E1089" s="7">
        <f t="shared" ca="1" si="83"/>
        <v>0.5801459763528285</v>
      </c>
      <c r="F1089" s="7">
        <f t="shared" ca="1" si="84"/>
        <v>2.0836441481092934E-2</v>
      </c>
      <c r="G1089" s="7">
        <f t="shared" ca="1" si="80"/>
        <v>232.5284645559646</v>
      </c>
      <c r="H1089" s="7">
        <f ca="1">(G1089+DCF!$D$40+DCF!$D$41+DCF!$D$42-DCF!$D$43-DCF!$D$44)/DCF!$C$35</f>
        <v>1.9544839403768179</v>
      </c>
    </row>
    <row r="1090" spans="3:8" x14ac:dyDescent="0.35">
      <c r="C1090" s="8">
        <f t="shared" ca="1" si="81"/>
        <v>8.9677359411796886E-2</v>
      </c>
      <c r="D1090" s="7">
        <f t="shared" ca="1" si="82"/>
        <v>7.6588159223585126E-2</v>
      </c>
      <c r="E1090" s="7">
        <f t="shared" ca="1" si="83"/>
        <v>0.88843006942414626</v>
      </c>
      <c r="F1090" s="7">
        <f t="shared" ca="1" si="84"/>
        <v>2.5276231788585436E-2</v>
      </c>
      <c r="G1090" s="7">
        <f t="shared" ca="1" si="80"/>
        <v>323.19646266082361</v>
      </c>
      <c r="H1090" s="7">
        <f ca="1">(G1090+DCF!$D$40+DCF!$D$41+DCF!$D$42-DCF!$D$43-DCF!$D$44)/DCF!$C$35</f>
        <v>2.4662121157061949</v>
      </c>
    </row>
    <row r="1091" spans="3:8" x14ac:dyDescent="0.35">
      <c r="C1091" s="8">
        <f t="shared" ca="1" si="81"/>
        <v>0.41423383132196445</v>
      </c>
      <c r="D1091" s="7">
        <f t="shared" ca="1" si="82"/>
        <v>8.4432148227809839E-2</v>
      </c>
      <c r="E1091" s="7">
        <f t="shared" ca="1" si="83"/>
        <v>0.33426053459460359</v>
      </c>
      <c r="F1091" s="7">
        <f t="shared" ca="1" si="84"/>
        <v>1.8176313773267311E-2</v>
      </c>
      <c r="G1091" s="7">
        <f t="shared" ca="1" si="80"/>
        <v>256.14136620098873</v>
      </c>
      <c r="H1091" s="7">
        <f ca="1">(G1091+DCF!$D$40+DCF!$D$41+DCF!$D$42-DCF!$D$43-DCF!$D$44)/DCF!$C$35</f>
        <v>2.0877546348402118</v>
      </c>
    </row>
    <row r="1092" spans="3:8" x14ac:dyDescent="0.35">
      <c r="C1092" s="8">
        <f t="shared" ca="1" si="81"/>
        <v>0.32060371935811793</v>
      </c>
      <c r="D1092" s="7">
        <f t="shared" ca="1" si="82"/>
        <v>8.2464454804810197E-2</v>
      </c>
      <c r="E1092" s="7">
        <f t="shared" ca="1" si="83"/>
        <v>0.89374648887182651</v>
      </c>
      <c r="F1092" s="7">
        <f t="shared" ca="1" si="84"/>
        <v>2.5390151604918584E-2</v>
      </c>
      <c r="G1092" s="7">
        <f t="shared" ca="1" si="80"/>
        <v>289.05636877902924</v>
      </c>
      <c r="H1092" s="7">
        <f ca="1">(G1092+DCF!$D$40+DCF!$D$41+DCF!$D$42-DCF!$D$43-DCF!$D$44)/DCF!$C$35</f>
        <v>2.2735261811662109</v>
      </c>
    </row>
    <row r="1093" spans="3:8" x14ac:dyDescent="0.35">
      <c r="C1093" s="8">
        <f t="shared" ca="1" si="81"/>
        <v>0.68868846516834448</v>
      </c>
      <c r="D1093" s="7">
        <f t="shared" ca="1" si="82"/>
        <v>9.1360695483142962E-2</v>
      </c>
      <c r="E1093" s="7">
        <f t="shared" ca="1" si="83"/>
        <v>0.19847524028132857</v>
      </c>
      <c r="F1093" s="7">
        <f t="shared" ca="1" si="84"/>
        <v>1.6300400626647938E-2</v>
      </c>
      <c r="G1093" s="7">
        <f t="shared" ca="1" si="80"/>
        <v>226.44454435480458</v>
      </c>
      <c r="H1093" s="7">
        <f ca="1">(G1093+DCF!$D$40+DCF!$D$41+DCF!$D$42-DCF!$D$43-DCF!$D$44)/DCF!$C$35</f>
        <v>1.9201464293645139</v>
      </c>
    </row>
    <row r="1094" spans="3:8" x14ac:dyDescent="0.35">
      <c r="C1094" s="8">
        <f t="shared" ca="1" si="81"/>
        <v>0.80215394142155283</v>
      </c>
      <c r="D1094" s="7">
        <f t="shared" ca="1" si="82"/>
        <v>9.5140787323227824E-2</v>
      </c>
      <c r="E1094" s="7">
        <f t="shared" ca="1" si="83"/>
        <v>0.47693997483922701</v>
      </c>
      <c r="F1094" s="7">
        <f t="shared" ca="1" si="84"/>
        <v>1.9766677785605778E-2</v>
      </c>
      <c r="G1094" s="7">
        <f t="shared" ca="1" si="80"/>
        <v>221.69719162905315</v>
      </c>
      <c r="H1094" s="7">
        <f ca="1">(G1094+DCF!$D$40+DCF!$D$41+DCF!$D$42-DCF!$D$43-DCF!$D$44)/DCF!$C$35</f>
        <v>1.8933524756126714</v>
      </c>
    </row>
    <row r="1095" spans="3:8" x14ac:dyDescent="0.35">
      <c r="C1095" s="8">
        <f t="shared" ca="1" si="81"/>
        <v>0.64670836630217177</v>
      </c>
      <c r="D1095" s="7">
        <f t="shared" ca="1" si="82"/>
        <v>9.0143679514905678E-2</v>
      </c>
      <c r="E1095" s="7">
        <f t="shared" ca="1" si="83"/>
        <v>0.56595774182225567</v>
      </c>
      <c r="F1095" s="7">
        <f t="shared" ca="1" si="84"/>
        <v>2.0682894675085568E-2</v>
      </c>
      <c r="G1095" s="7">
        <f t="shared" ca="1" si="80"/>
        <v>240.67684074481767</v>
      </c>
      <c r="H1095" s="7">
        <f ca="1">(G1095+DCF!$D$40+DCF!$D$41+DCF!$D$42-DCF!$D$43-DCF!$D$44)/DCF!$C$35</f>
        <v>2.0004731953088255</v>
      </c>
    </row>
    <row r="1096" spans="3:8" x14ac:dyDescent="0.35">
      <c r="C1096" s="8">
        <f t="shared" ca="1" si="81"/>
        <v>0.47220374976647228</v>
      </c>
      <c r="D1096" s="7">
        <f t="shared" ca="1" si="82"/>
        <v>8.5730253086185329E-2</v>
      </c>
      <c r="E1096" s="7">
        <f t="shared" ca="1" si="83"/>
        <v>3.4944641615519134E-2</v>
      </c>
      <c r="F1096" s="7">
        <f t="shared" ca="1" si="84"/>
        <v>1.264365813279702E-2</v>
      </c>
      <c r="G1096" s="7">
        <f t="shared" ca="1" si="80"/>
        <v>237.15433095999526</v>
      </c>
      <c r="H1096" s="7">
        <f ca="1">(G1096+DCF!$D$40+DCF!$D$41+DCF!$D$42-DCF!$D$43-DCF!$D$44)/DCF!$C$35</f>
        <v>1.9805922280166794</v>
      </c>
    </row>
    <row r="1097" spans="3:8" x14ac:dyDescent="0.35">
      <c r="C1097" s="8">
        <f t="shared" ca="1" si="81"/>
        <v>0.46700227633165659</v>
      </c>
      <c r="D1097" s="7">
        <f t="shared" ca="1" si="82"/>
        <v>8.5610956156219026E-2</v>
      </c>
      <c r="E1097" s="7">
        <f t="shared" ca="1" si="83"/>
        <v>0.94715581566283358</v>
      </c>
      <c r="F1097" s="7">
        <f t="shared" ca="1" si="84"/>
        <v>2.6749025243494918E-2</v>
      </c>
      <c r="G1097" s="7">
        <f t="shared" ca="1" si="80"/>
        <v>277.98889922338418</v>
      </c>
      <c r="H1097" s="7">
        <f ca="1">(G1097+DCF!$D$40+DCF!$D$41+DCF!$D$42-DCF!$D$43-DCF!$D$44)/DCF!$C$35</f>
        <v>2.2110616278551989</v>
      </c>
    </row>
    <row r="1098" spans="3:8" x14ac:dyDescent="0.35">
      <c r="C1098" s="8">
        <f t="shared" ca="1" si="81"/>
        <v>0.71141361091468713</v>
      </c>
      <c r="D1098" s="7">
        <f t="shared" ca="1" si="82"/>
        <v>9.2053902646558244E-2</v>
      </c>
      <c r="E1098" s="7">
        <f t="shared" ca="1" si="83"/>
        <v>0.73705280719139032</v>
      </c>
      <c r="F1098" s="7">
        <f t="shared" ca="1" si="84"/>
        <v>2.2748142406133313E-2</v>
      </c>
      <c r="G1098" s="7">
        <f t="shared" ca="1" si="80"/>
        <v>238.82564369808824</v>
      </c>
      <c r="H1098" s="7">
        <f ca="1">(G1098+DCF!$D$40+DCF!$D$41+DCF!$D$42-DCF!$D$43-DCF!$D$44)/DCF!$C$35</f>
        <v>1.9900250801336958</v>
      </c>
    </row>
    <row r="1099" spans="3:8" x14ac:dyDescent="0.35">
      <c r="C1099" s="8">
        <f t="shared" ca="1" si="81"/>
        <v>0.50091856528708445</v>
      </c>
      <c r="D1099" s="7">
        <f t="shared" ca="1" si="82"/>
        <v>8.6399684723724279E-2</v>
      </c>
      <c r="E1099" s="7">
        <f t="shared" ca="1" si="83"/>
        <v>0.60873626343425769</v>
      </c>
      <c r="F1099" s="7">
        <f t="shared" ca="1" si="84"/>
        <v>2.1153941707565543E-2</v>
      </c>
      <c r="G1099" s="7">
        <f t="shared" ca="1" si="80"/>
        <v>256.52886851402144</v>
      </c>
      <c r="H1099" s="7">
        <f ca="1">(G1099+DCF!$D$40+DCF!$D$41+DCF!$D$42-DCF!$D$43-DCF!$D$44)/DCF!$C$35</f>
        <v>2.0899416893217149</v>
      </c>
    </row>
    <row r="1100" spans="3:8" x14ac:dyDescent="0.35">
      <c r="C1100" s="8">
        <f t="shared" ca="1" si="81"/>
        <v>0.12822348767657687</v>
      </c>
      <c r="D1100" s="7">
        <f t="shared" ca="1" si="82"/>
        <v>7.7877827621588541E-2</v>
      </c>
      <c r="E1100" s="7">
        <f t="shared" ca="1" si="83"/>
        <v>0.80206348823578166</v>
      </c>
      <c r="F1100" s="7">
        <f t="shared" ca="1" si="84"/>
        <v>2.3708155886161542E-2</v>
      </c>
      <c r="G1100" s="7">
        <f t="shared" ca="1" si="80"/>
        <v>307.87331291728611</v>
      </c>
      <c r="H1100" s="7">
        <f ca="1">(G1100+DCF!$D$40+DCF!$D$41+DCF!$D$42-DCF!$D$43-DCF!$D$44)/DCF!$C$35</f>
        <v>2.3797285975690601</v>
      </c>
    </row>
    <row r="1101" spans="3:8" x14ac:dyDescent="0.35">
      <c r="C1101" s="8">
        <f t="shared" ca="1" si="81"/>
        <v>0.98461735790223848</v>
      </c>
      <c r="D1101" s="7">
        <f t="shared" ca="1" si="82"/>
        <v>0.10585668869367726</v>
      </c>
      <c r="E1101" s="7">
        <f t="shared" ca="1" si="83"/>
        <v>7.2022437650056781E-2</v>
      </c>
      <c r="F1101" s="7">
        <f t="shared" ca="1" si="84"/>
        <v>1.3795324430139189E-2</v>
      </c>
      <c r="G1101" s="7">
        <f t="shared" ca="1" si="80"/>
        <v>184.11866374149147</v>
      </c>
      <c r="H1101" s="7">
        <f ca="1">(G1101+DCF!$D$40+DCF!$D$41+DCF!$D$42-DCF!$D$43-DCF!$D$44)/DCF!$C$35</f>
        <v>1.6812600956174029</v>
      </c>
    </row>
    <row r="1102" spans="3:8" x14ac:dyDescent="0.35">
      <c r="C1102" s="8">
        <f t="shared" ca="1" si="81"/>
        <v>0.18222708097318763</v>
      </c>
      <c r="D1102" s="7">
        <f t="shared" ca="1" si="82"/>
        <v>7.9391374084287286E-2</v>
      </c>
      <c r="E1102" s="7">
        <f t="shared" ca="1" si="83"/>
        <v>0.5093592345481589</v>
      </c>
      <c r="F1102" s="7">
        <f t="shared" ca="1" si="84"/>
        <v>2.0094034469554812E-2</v>
      </c>
      <c r="G1102" s="7">
        <f t="shared" ca="1" si="80"/>
        <v>285.1874437981387</v>
      </c>
      <c r="H1102" s="7">
        <f ca="1">(G1102+DCF!$D$40+DCF!$D$41+DCF!$D$42-DCF!$D$43-DCF!$D$44)/DCF!$C$35</f>
        <v>2.2516900541716822</v>
      </c>
    </row>
    <row r="1103" spans="3:8" x14ac:dyDescent="0.35">
      <c r="C1103" s="8">
        <f t="shared" ca="1" si="81"/>
        <v>0.28111794337345608</v>
      </c>
      <c r="D1103" s="7">
        <f t="shared" ca="1" si="82"/>
        <v>8.1664522475984727E-2</v>
      </c>
      <c r="E1103" s="7">
        <f t="shared" ca="1" si="83"/>
        <v>0.78338697748899233</v>
      </c>
      <c r="F1103" s="7">
        <f t="shared" ca="1" si="84"/>
        <v>2.3418009077626929E-2</v>
      </c>
      <c r="G1103" s="7">
        <f t="shared" ca="1" si="80"/>
        <v>285.78346615333612</v>
      </c>
      <c r="H1103" s="7">
        <f ca="1">(G1103+DCF!$D$40+DCF!$D$41+DCF!$D$42-DCF!$D$43-DCF!$D$44)/DCF!$C$35</f>
        <v>2.2550539911577836</v>
      </c>
    </row>
    <row r="1104" spans="3:8" x14ac:dyDescent="0.35">
      <c r="C1104" s="8">
        <f t="shared" ca="1" si="81"/>
        <v>0.81612143224916456</v>
      </c>
      <c r="D1104" s="7">
        <f t="shared" ca="1" si="82"/>
        <v>9.5674900293194032E-2</v>
      </c>
      <c r="E1104" s="7">
        <f t="shared" ca="1" si="83"/>
        <v>0.94435433984961126</v>
      </c>
      <c r="F1104" s="7">
        <f t="shared" ca="1" si="84"/>
        <v>2.6663964623976875E-2</v>
      </c>
      <c r="G1104" s="7">
        <f t="shared" ref="G1104:G1167" ca="1" si="85">$C$11/(1+D1104)^1
 +$D$11/(1+D1104)^2
 +$E$11/(1+D1104)^3
 +$F$11/(1+D1104)^4
 +$G$11/(1+D1104)^5
 +$H$11/(1+D1104)^6
 +$I$11/(1+D1104)^7
 + ( $I$11*(1+F1104)/(D1104-F1104) )/(1+D1104)^7</f>
        <v>235.37272327489916</v>
      </c>
      <c r="H1104" s="7">
        <f ca="1">(G1104+DCF!$D$40+DCF!$D$41+DCF!$D$42-DCF!$D$43-DCF!$D$44)/DCF!$C$35</f>
        <v>1.9705368736589861</v>
      </c>
    </row>
    <row r="1105" spans="3:8" x14ac:dyDescent="0.35">
      <c r="C1105" s="8">
        <f t="shared" ref="C1105:C1168" ca="1" si="86">RAND()</f>
        <v>0.56958308295128657</v>
      </c>
      <c r="D1105" s="7">
        <f t="shared" ref="D1105:D1168" ca="1" si="87">IF(C1105&lt;($C$6-0.07)/(0.11-0.07),0.07+SQRT(C1105*(0.11-0.07)*($C$6-0.07)),0.11-SQRT((1-C1105)*(0.11-0.07)*(0.11-$C$6)))</f>
        <v>8.8083219227578974E-2</v>
      </c>
      <c r="E1105" s="7">
        <f t="shared" ref="E1105:E1168" ca="1" si="88">RAND()</f>
        <v>0.87964835221904258</v>
      </c>
      <c r="F1105" s="7">
        <f t="shared" ref="F1105:F1168" ca="1" si="89">MIN(
 IF(E1105&lt;(0.02-0.01)/(0.03-0.01),
   0.01+SQRT(E1105*(0.03-0.01)*(0.02-0.01)),
   0.03-SQRT((1-E1105)*(0.03-0.01)*(0.03-0.02))
 ),
 D1105-0.005
)</f>
        <v>2.5093847785056859E-2</v>
      </c>
      <c r="G1105" s="7">
        <f t="shared" ca="1" si="85"/>
        <v>261.07336299862288</v>
      </c>
      <c r="H1105" s="7">
        <f ca="1">(G1105+DCF!$D$40+DCF!$D$41+DCF!$D$42-DCF!$D$43-DCF!$D$44)/DCF!$C$35</f>
        <v>2.1155907156486222</v>
      </c>
    </row>
    <row r="1106" spans="3:8" x14ac:dyDescent="0.35">
      <c r="C1106" s="8">
        <f t="shared" ca="1" si="86"/>
        <v>0.15853970712243592</v>
      </c>
      <c r="D1106" s="7">
        <f t="shared" ca="1" si="87"/>
        <v>7.8759749896387399E-2</v>
      </c>
      <c r="E1106" s="7">
        <f t="shared" ca="1" si="88"/>
        <v>0.14698458522456825</v>
      </c>
      <c r="F1106" s="7">
        <f t="shared" ca="1" si="89"/>
        <v>1.5421892385958397E-2</v>
      </c>
      <c r="G1106" s="7">
        <f t="shared" ca="1" si="85"/>
        <v>272.33979939897847</v>
      </c>
      <c r="H1106" s="7">
        <f ca="1">(G1106+DCF!$D$40+DCF!$D$41+DCF!$D$42-DCF!$D$43-DCF!$D$44)/DCF!$C$35</f>
        <v>2.1791782334291594</v>
      </c>
    </row>
    <row r="1107" spans="3:8" x14ac:dyDescent="0.35">
      <c r="C1107" s="8">
        <f t="shared" ca="1" si="86"/>
        <v>4.3186570848079642E-2</v>
      </c>
      <c r="D1107" s="7">
        <f t="shared" ca="1" si="87"/>
        <v>7.4571903355329219E-2</v>
      </c>
      <c r="E1107" s="7">
        <f t="shared" ca="1" si="88"/>
        <v>0.80701061097477778</v>
      </c>
      <c r="F1107" s="7">
        <f t="shared" ca="1" si="89"/>
        <v>2.37872809652259E-2</v>
      </c>
      <c r="G1107" s="7">
        <f t="shared" ca="1" si="85"/>
        <v>329.18476044457441</v>
      </c>
      <c r="H1107" s="7">
        <f ca="1">(G1107+DCF!$D$40+DCF!$D$41+DCF!$D$42-DCF!$D$43-DCF!$D$44)/DCF!$C$35</f>
        <v>2.5000099359102292</v>
      </c>
    </row>
    <row r="1108" spans="3:8" x14ac:dyDescent="0.35">
      <c r="C1108" s="8">
        <f t="shared" ca="1" si="86"/>
        <v>0.27106031641661377</v>
      </c>
      <c r="D1108" s="7">
        <f t="shared" ca="1" si="87"/>
        <v>8.1453959714685623E-2</v>
      </c>
      <c r="E1108" s="7">
        <f t="shared" ca="1" si="88"/>
        <v>0.98371427213898621</v>
      </c>
      <c r="F1108" s="7">
        <f t="shared" ca="1" si="89"/>
        <v>2.8195243625249448E-2</v>
      </c>
      <c r="G1108" s="7">
        <f t="shared" ca="1" si="85"/>
        <v>306.33550689668868</v>
      </c>
      <c r="H1108" s="7">
        <f ca="1">(G1108+DCF!$D$40+DCF!$D$41+DCF!$D$42-DCF!$D$43-DCF!$D$44)/DCF!$C$35</f>
        <v>2.3710492544118336</v>
      </c>
    </row>
    <row r="1109" spans="3:8" x14ac:dyDescent="0.35">
      <c r="C1109" s="8">
        <f t="shared" ca="1" si="86"/>
        <v>0.69419271571440488</v>
      </c>
      <c r="D1109" s="7">
        <f t="shared" ca="1" si="87"/>
        <v>9.1526209667133165E-2</v>
      </c>
      <c r="E1109" s="7">
        <f t="shared" ca="1" si="88"/>
        <v>0.50250465598477068</v>
      </c>
      <c r="F1109" s="7">
        <f t="shared" ca="1" si="89"/>
        <v>2.002507800516486E-2</v>
      </c>
      <c r="G1109" s="7">
        <f t="shared" ca="1" si="85"/>
        <v>234.16344352120069</v>
      </c>
      <c r="H1109" s="7">
        <f ca="1">(G1109+DCF!$D$40+DCF!$D$41+DCF!$D$42-DCF!$D$43-DCF!$D$44)/DCF!$C$35</f>
        <v>1.9637117254836927</v>
      </c>
    </row>
    <row r="1110" spans="3:8" x14ac:dyDescent="0.35">
      <c r="C1110" s="8">
        <f t="shared" ca="1" si="86"/>
        <v>0.57805560645852228</v>
      </c>
      <c r="D1110" s="7">
        <f t="shared" ca="1" si="87"/>
        <v>8.8300001308933479E-2</v>
      </c>
      <c r="E1110" s="7">
        <f t="shared" ca="1" si="88"/>
        <v>6.4629643515203061E-2</v>
      </c>
      <c r="F1110" s="7">
        <f t="shared" ca="1" si="89"/>
        <v>1.3595264761188056E-2</v>
      </c>
      <c r="G1110" s="7">
        <f t="shared" ca="1" si="85"/>
        <v>230.6028705389237</v>
      </c>
      <c r="H1110" s="7">
        <f ca="1">(G1110+DCF!$D$40+DCF!$D$41+DCF!$D$42-DCF!$D$43-DCF!$D$44)/DCF!$C$35</f>
        <v>1.9436159303472382</v>
      </c>
    </row>
    <row r="1111" spans="3:8" x14ac:dyDescent="0.35">
      <c r="C1111" s="8">
        <f t="shared" ca="1" si="86"/>
        <v>0.38569830126442084</v>
      </c>
      <c r="D1111" s="7">
        <f t="shared" ca="1" si="87"/>
        <v>8.3816785991996587E-2</v>
      </c>
      <c r="E1111" s="7">
        <f t="shared" ca="1" si="88"/>
        <v>0.10939262309221975</v>
      </c>
      <c r="F1111" s="7">
        <f t="shared" ca="1" si="89"/>
        <v>1.4677448515851774E-2</v>
      </c>
      <c r="G1111" s="7">
        <f t="shared" ca="1" si="85"/>
        <v>249.0972660705344</v>
      </c>
      <c r="H1111" s="7">
        <f ca="1">(G1111+DCF!$D$40+DCF!$D$41+DCF!$D$42-DCF!$D$43-DCF!$D$44)/DCF!$C$35</f>
        <v>2.047997889550369</v>
      </c>
    </row>
    <row r="1112" spans="3:8" x14ac:dyDescent="0.35">
      <c r="C1112" s="8">
        <f t="shared" ca="1" si="86"/>
        <v>0.46245044658323653</v>
      </c>
      <c r="D1112" s="7">
        <f t="shared" ca="1" si="87"/>
        <v>8.5507035671174708E-2</v>
      </c>
      <c r="E1112" s="7">
        <f t="shared" ca="1" si="88"/>
        <v>0.96202416363373811</v>
      </c>
      <c r="F1112" s="7">
        <f t="shared" ca="1" si="89"/>
        <v>2.7244066896085398E-2</v>
      </c>
      <c r="G1112" s="7">
        <f t="shared" ca="1" si="85"/>
        <v>280.28378284071334</v>
      </c>
      <c r="H1112" s="7">
        <f ca="1">(G1112+DCF!$D$40+DCF!$D$41+DCF!$D$42-DCF!$D$43-DCF!$D$44)/DCF!$C$35</f>
        <v>2.2240139002184973</v>
      </c>
    </row>
    <row r="1113" spans="3:8" x14ac:dyDescent="0.35">
      <c r="C1113" s="8">
        <f t="shared" ca="1" si="86"/>
        <v>0.84760100292912055</v>
      </c>
      <c r="D1113" s="7">
        <f t="shared" ca="1" si="87"/>
        <v>9.6958631945570223E-2</v>
      </c>
      <c r="E1113" s="7">
        <f t="shared" ca="1" si="88"/>
        <v>0.35439263740734817</v>
      </c>
      <c r="F1113" s="7">
        <f t="shared" ca="1" si="89"/>
        <v>1.8418938619652103E-2</v>
      </c>
      <c r="G1113" s="7">
        <f t="shared" ca="1" si="85"/>
        <v>213.58205702547207</v>
      </c>
      <c r="H1113" s="7">
        <f ca="1">(G1113+DCF!$D$40+DCF!$D$41+DCF!$D$42-DCF!$D$43-DCF!$D$44)/DCF!$C$35</f>
        <v>1.8475508354524892</v>
      </c>
    </row>
    <row r="1114" spans="3:8" x14ac:dyDescent="0.35">
      <c r="C1114" s="8">
        <f t="shared" ca="1" si="86"/>
        <v>0.33485053271083587</v>
      </c>
      <c r="D1114" s="7">
        <f t="shared" ca="1" si="87"/>
        <v>8.2754692046249384E-2</v>
      </c>
      <c r="E1114" s="7">
        <f t="shared" ca="1" si="88"/>
        <v>0.82552537042410945</v>
      </c>
      <c r="F1114" s="7">
        <f t="shared" ca="1" si="89"/>
        <v>2.4092807272893653E-2</v>
      </c>
      <c r="G1114" s="7">
        <f t="shared" ca="1" si="85"/>
        <v>282.70679831318296</v>
      </c>
      <c r="H1114" s="7">
        <f ca="1">(G1114+DCF!$D$40+DCF!$D$41+DCF!$D$42-DCF!$D$43-DCF!$D$44)/DCF!$C$35</f>
        <v>2.2376893459373686</v>
      </c>
    </row>
    <row r="1115" spans="3:8" x14ac:dyDescent="0.35">
      <c r="C1115" s="8">
        <f t="shared" ca="1" si="86"/>
        <v>0.99370548851430285</v>
      </c>
      <c r="D1115" s="7">
        <f t="shared" ca="1" si="87"/>
        <v>0.10734958968873912</v>
      </c>
      <c r="E1115" s="7">
        <f t="shared" ca="1" si="88"/>
        <v>0.30144335330822269</v>
      </c>
      <c r="F1115" s="7">
        <f t="shared" ca="1" si="89"/>
        <v>1.7764577944849581E-2</v>
      </c>
      <c r="G1115" s="7">
        <f t="shared" ca="1" si="85"/>
        <v>186.12499266841581</v>
      </c>
      <c r="H1115" s="7">
        <f ca="1">(G1115+DCF!$D$40+DCF!$D$41+DCF!$D$42-DCF!$D$43-DCF!$D$44)/DCF!$C$35</f>
        <v>1.6925837716921537</v>
      </c>
    </row>
    <row r="1116" spans="3:8" x14ac:dyDescent="0.35">
      <c r="C1116" s="8">
        <f t="shared" ca="1" si="86"/>
        <v>0.78008194742752746</v>
      </c>
      <c r="D1116" s="7">
        <f t="shared" ca="1" si="87"/>
        <v>9.433384071730154E-2</v>
      </c>
      <c r="E1116" s="7">
        <f t="shared" ca="1" si="88"/>
        <v>0.38972026082071232</v>
      </c>
      <c r="F1116" s="7">
        <f t="shared" ca="1" si="89"/>
        <v>1.8828592875659318E-2</v>
      </c>
      <c r="G1116" s="7">
        <f t="shared" ca="1" si="85"/>
        <v>222.29124005514041</v>
      </c>
      <c r="H1116" s="7">
        <f ca="1">(G1116+DCF!$D$40+DCF!$D$41+DCF!$D$42-DCF!$D$43-DCF!$D$44)/DCF!$C$35</f>
        <v>1.8967052717865469</v>
      </c>
    </row>
    <row r="1117" spans="3:8" x14ac:dyDescent="0.35">
      <c r="C1117" s="8">
        <f t="shared" ca="1" si="86"/>
        <v>0.60853833891389009</v>
      </c>
      <c r="D1117" s="7">
        <f t="shared" ca="1" si="87"/>
        <v>8.9098535606993975E-2</v>
      </c>
      <c r="E1117" s="7">
        <f t="shared" ca="1" si="88"/>
        <v>5.6597492748261535E-2</v>
      </c>
      <c r="F1117" s="7">
        <f t="shared" ca="1" si="89"/>
        <v>1.3364446247104016E-2</v>
      </c>
      <c r="G1117" s="7">
        <f t="shared" ca="1" si="85"/>
        <v>227.51247545718854</v>
      </c>
      <c r="H1117" s="7">
        <f ca="1">(G1117+DCF!$D$40+DCF!$D$41+DCF!$D$42-DCF!$D$43-DCF!$D$44)/DCF!$C$35</f>
        <v>1.9261738088790412</v>
      </c>
    </row>
    <row r="1118" spans="3:8" x14ac:dyDescent="0.35">
      <c r="C1118" s="8">
        <f t="shared" ca="1" si="86"/>
        <v>0.27110245064631977</v>
      </c>
      <c r="D1118" s="7">
        <f t="shared" ca="1" si="87"/>
        <v>8.1454849894818299E-2</v>
      </c>
      <c r="E1118" s="7">
        <f t="shared" ca="1" si="88"/>
        <v>1.5051818951552387E-2</v>
      </c>
      <c r="F1118" s="7">
        <f t="shared" ca="1" si="89"/>
        <v>1.173503999674661E-2</v>
      </c>
      <c r="G1118" s="7">
        <f t="shared" ca="1" si="85"/>
        <v>250.50124274067741</v>
      </c>
      <c r="H1118" s="7">
        <f ca="1">(G1118+DCF!$D$40+DCF!$D$41+DCF!$D$42-DCF!$D$43-DCF!$D$44)/DCF!$C$35</f>
        <v>2.0559219028145241</v>
      </c>
    </row>
    <row r="1119" spans="3:8" x14ac:dyDescent="0.35">
      <c r="C1119" s="8">
        <f t="shared" ca="1" si="86"/>
        <v>0.21968091039710669</v>
      </c>
      <c r="D1119" s="7">
        <f t="shared" ca="1" si="87"/>
        <v>8.0311428641667446E-2</v>
      </c>
      <c r="E1119" s="7">
        <f t="shared" ca="1" si="88"/>
        <v>0.46262464922290736</v>
      </c>
      <c r="F1119" s="7">
        <f t="shared" ca="1" si="89"/>
        <v>1.9618987984428585E-2</v>
      </c>
      <c r="G1119" s="7">
        <f t="shared" ca="1" si="85"/>
        <v>278.96077823809662</v>
      </c>
      <c r="H1119" s="7">
        <f ca="1">(G1119+DCF!$D$40+DCF!$D$41+DCF!$D$42-DCF!$D$43-DCF!$D$44)/DCF!$C$35</f>
        <v>2.2165468915120026</v>
      </c>
    </row>
    <row r="1120" spans="3:8" x14ac:dyDescent="0.35">
      <c r="C1120" s="8">
        <f t="shared" ca="1" si="86"/>
        <v>0.72064709437259356</v>
      </c>
      <c r="D1120" s="7">
        <f t="shared" ca="1" si="87"/>
        <v>9.2343334327224025E-2</v>
      </c>
      <c r="E1120" s="7">
        <f t="shared" ca="1" si="88"/>
        <v>0.46837756451018275</v>
      </c>
      <c r="F1120" s="7">
        <f t="shared" ca="1" si="89"/>
        <v>1.9678611103977499E-2</v>
      </c>
      <c r="G1120" s="7">
        <f t="shared" ca="1" si="85"/>
        <v>230.57869190068976</v>
      </c>
      <c r="H1120" s="7">
        <f ca="1">(G1120+DCF!$D$40+DCF!$D$41+DCF!$D$42-DCF!$D$43-DCF!$D$44)/DCF!$C$35</f>
        <v>1.9434794666479838</v>
      </c>
    </row>
    <row r="1121" spans="3:8" x14ac:dyDescent="0.35">
      <c r="C1121" s="8">
        <f t="shared" ca="1" si="86"/>
        <v>0.44430884818152783</v>
      </c>
      <c r="D1121" s="7">
        <f t="shared" ca="1" si="87"/>
        <v>8.5097162301669013E-2</v>
      </c>
      <c r="E1121" s="7">
        <f t="shared" ca="1" si="88"/>
        <v>0.14527690445018182</v>
      </c>
      <c r="F1121" s="7">
        <f t="shared" ca="1" si="89"/>
        <v>1.5390304341132918E-2</v>
      </c>
      <c r="G1121" s="7">
        <f t="shared" ca="1" si="85"/>
        <v>246.07832615478856</v>
      </c>
      <c r="H1121" s="7">
        <f ca="1">(G1121+DCF!$D$40+DCF!$D$41+DCF!$D$42-DCF!$D$43-DCF!$D$44)/DCF!$C$35</f>
        <v>2.0309590594581133</v>
      </c>
    </row>
    <row r="1122" spans="3:8" x14ac:dyDescent="0.35">
      <c r="C1122" s="8">
        <f t="shared" ca="1" si="86"/>
        <v>0.51472673189417739</v>
      </c>
      <c r="D1122" s="7">
        <f t="shared" ca="1" si="87"/>
        <v>8.6728451551173091E-2</v>
      </c>
      <c r="E1122" s="7">
        <f t="shared" ca="1" si="88"/>
        <v>0.52471646481565182</v>
      </c>
      <c r="F1122" s="7">
        <f t="shared" ca="1" si="89"/>
        <v>2.0250297079558291E-2</v>
      </c>
      <c r="G1122" s="7">
        <f t="shared" ca="1" si="85"/>
        <v>252.6373171276818</v>
      </c>
      <c r="H1122" s="7">
        <f ca="1">(G1122+DCF!$D$40+DCF!$D$41+DCF!$D$42-DCF!$D$43-DCF!$D$44)/DCF!$C$35</f>
        <v>2.0679778593954272</v>
      </c>
    </row>
    <row r="1123" spans="3:8" x14ac:dyDescent="0.35">
      <c r="C1123" s="8">
        <f t="shared" ca="1" si="86"/>
        <v>0.36358668774659253</v>
      </c>
      <c r="D1123" s="7">
        <f t="shared" ca="1" si="87"/>
        <v>8.3349723144499926E-2</v>
      </c>
      <c r="E1123" s="7">
        <f t="shared" ca="1" si="88"/>
        <v>0.6390400760428927</v>
      </c>
      <c r="F1123" s="7">
        <f t="shared" ca="1" si="89"/>
        <v>2.1503413344676495E-2</v>
      </c>
      <c r="G1123" s="7">
        <f t="shared" ca="1" si="85"/>
        <v>270.92761558578854</v>
      </c>
      <c r="H1123" s="7">
        <f ca="1">(G1123+DCF!$D$40+DCF!$D$41+DCF!$D$42-DCF!$D$43-DCF!$D$44)/DCF!$C$35</f>
        <v>2.1712078992312254</v>
      </c>
    </row>
    <row r="1124" spans="3:8" x14ac:dyDescent="0.35">
      <c r="C1124" s="8">
        <f t="shared" ca="1" si="86"/>
        <v>0.33610703805896247</v>
      </c>
      <c r="D1124" s="7">
        <f t="shared" ca="1" si="87"/>
        <v>8.2780438182692984E-2</v>
      </c>
      <c r="E1124" s="7">
        <f t="shared" ca="1" si="88"/>
        <v>0.88939059600826065</v>
      </c>
      <c r="F1124" s="7">
        <f t="shared" ca="1" si="89"/>
        <v>2.5296609648525026E-2</v>
      </c>
      <c r="G1124" s="7">
        <f t="shared" ca="1" si="85"/>
        <v>287.03805808750337</v>
      </c>
      <c r="H1124" s="7">
        <f ca="1">(G1124+DCF!$D$40+DCF!$D$41+DCF!$D$42-DCF!$D$43-DCF!$D$44)/DCF!$C$35</f>
        <v>2.2621348802771384</v>
      </c>
    </row>
    <row r="1125" spans="3:8" x14ac:dyDescent="0.35">
      <c r="C1125" s="8">
        <f t="shared" ca="1" si="86"/>
        <v>0.57999672292437743</v>
      </c>
      <c r="D1125" s="7">
        <f t="shared" ca="1" si="87"/>
        <v>8.8349973274464658E-2</v>
      </c>
      <c r="E1125" s="7">
        <f t="shared" ca="1" si="88"/>
        <v>0.75005858399611058</v>
      </c>
      <c r="F1125" s="7">
        <f t="shared" ca="1" si="89"/>
        <v>2.2929760739495594E-2</v>
      </c>
      <c r="G1125" s="7">
        <f t="shared" ca="1" si="85"/>
        <v>253.57801924326537</v>
      </c>
      <c r="H1125" s="7">
        <f ca="1">(G1125+DCF!$D$40+DCF!$D$41+DCF!$D$42-DCF!$D$43-DCF!$D$44)/DCF!$C$35</f>
        <v>2.0732871613233175</v>
      </c>
    </row>
    <row r="1126" spans="3:8" x14ac:dyDescent="0.35">
      <c r="C1126" s="8">
        <f t="shared" ca="1" si="86"/>
        <v>1.7332293937858179E-2</v>
      </c>
      <c r="D1126" s="7">
        <f t="shared" ca="1" si="87"/>
        <v>7.2896347746028337E-2</v>
      </c>
      <c r="E1126" s="7">
        <f t="shared" ca="1" si="88"/>
        <v>0.24109088079990726</v>
      </c>
      <c r="F1126" s="7">
        <f t="shared" ca="1" si="89"/>
        <v>1.6943930886751498E-2</v>
      </c>
      <c r="G1126" s="7">
        <f t="shared" ca="1" si="85"/>
        <v>307.99443828130956</v>
      </c>
      <c r="H1126" s="7">
        <f ca="1">(G1126+DCF!$D$40+DCF!$D$41+DCF!$D$42-DCF!$D$43-DCF!$D$44)/DCF!$C$35</f>
        <v>2.3804122264437835</v>
      </c>
    </row>
    <row r="1127" spans="3:8" x14ac:dyDescent="0.35">
      <c r="C1127" s="8">
        <f t="shared" ca="1" si="86"/>
        <v>0.66093500859476639</v>
      </c>
      <c r="D1127" s="7">
        <f t="shared" ca="1" si="87"/>
        <v>9.0547582916042535E-2</v>
      </c>
      <c r="E1127" s="7">
        <f t="shared" ca="1" si="88"/>
        <v>0.9849669938364789</v>
      </c>
      <c r="F1127" s="7">
        <f t="shared" ca="1" si="89"/>
        <v>2.8266044627822208E-2</v>
      </c>
      <c r="G1127" s="7">
        <f t="shared" ca="1" si="85"/>
        <v>260.07889276790394</v>
      </c>
      <c r="H1127" s="7">
        <f ca="1">(G1127+DCF!$D$40+DCF!$D$41+DCF!$D$42-DCF!$D$43-DCF!$D$44)/DCF!$C$35</f>
        <v>2.109977947668495</v>
      </c>
    </row>
    <row r="1128" spans="3:8" x14ac:dyDescent="0.35">
      <c r="C1128" s="8">
        <f t="shared" ca="1" si="86"/>
        <v>0.54762950427609036</v>
      </c>
      <c r="D1128" s="7">
        <f t="shared" ca="1" si="87"/>
        <v>8.7531233384364804E-2</v>
      </c>
      <c r="E1128" s="7">
        <f t="shared" ca="1" si="88"/>
        <v>0.90601250218635532</v>
      </c>
      <c r="F1128" s="7">
        <f t="shared" ca="1" si="89"/>
        <v>2.5664391673279406E-2</v>
      </c>
      <c r="G1128" s="7">
        <f t="shared" ca="1" si="85"/>
        <v>265.29468570535334</v>
      </c>
      <c r="H1128" s="7">
        <f ca="1">(G1128+DCF!$D$40+DCF!$D$41+DCF!$D$42-DCF!$D$43-DCF!$D$44)/DCF!$C$35</f>
        <v>2.1394157676112053</v>
      </c>
    </row>
    <row r="1129" spans="3:8" x14ac:dyDescent="0.35">
      <c r="C1129" s="8">
        <f t="shared" ca="1" si="86"/>
        <v>0.59334653327913245</v>
      </c>
      <c r="D1129" s="7">
        <f t="shared" ca="1" si="87"/>
        <v>8.8696824911284042E-2</v>
      </c>
      <c r="E1129" s="7">
        <f t="shared" ca="1" si="88"/>
        <v>0.29932790728236236</v>
      </c>
      <c r="F1129" s="7">
        <f t="shared" ca="1" si="89"/>
        <v>1.7737285147677605E-2</v>
      </c>
      <c r="G1129" s="7">
        <f t="shared" ca="1" si="85"/>
        <v>238.70690967854583</v>
      </c>
      <c r="H1129" s="7">
        <f ca="1">(G1129+DCF!$D$40+DCF!$D$41+DCF!$D$42-DCF!$D$43-DCF!$D$44)/DCF!$C$35</f>
        <v>1.9893549479543164</v>
      </c>
    </row>
    <row r="1130" spans="3:8" x14ac:dyDescent="0.35">
      <c r="C1130" s="8">
        <f t="shared" ca="1" si="86"/>
        <v>0.87651291223777461</v>
      </c>
      <c r="D1130" s="7">
        <f t="shared" ca="1" si="87"/>
        <v>9.8260681879144621E-2</v>
      </c>
      <c r="E1130" s="7">
        <f t="shared" ca="1" si="88"/>
        <v>0.17815675301326439</v>
      </c>
      <c r="F1130" s="7">
        <f t="shared" ca="1" si="89"/>
        <v>1.5969200164398317E-2</v>
      </c>
      <c r="G1130" s="7">
        <f t="shared" ca="1" si="85"/>
        <v>205.59051196144765</v>
      </c>
      <c r="H1130" s="7">
        <f ca="1">(G1130+DCF!$D$40+DCF!$D$41+DCF!$D$42-DCF!$D$43-DCF!$D$44)/DCF!$C$35</f>
        <v>1.8024467319192212</v>
      </c>
    </row>
    <row r="1131" spans="3:8" x14ac:dyDescent="0.35">
      <c r="C1131" s="8">
        <f t="shared" ca="1" si="86"/>
        <v>0.47511467759781278</v>
      </c>
      <c r="D1131" s="7">
        <f t="shared" ca="1" si="87"/>
        <v>8.5797272471871258E-2</v>
      </c>
      <c r="E1131" s="7">
        <f t="shared" ca="1" si="88"/>
        <v>0.53992029688392951</v>
      </c>
      <c r="F1131" s="7">
        <f t="shared" ca="1" si="89"/>
        <v>2.040750602693887E-2</v>
      </c>
      <c r="G1131" s="7">
        <f t="shared" ca="1" si="85"/>
        <v>256.87821089472544</v>
      </c>
      <c r="H1131" s="7">
        <f ca="1">(G1131+DCF!$D$40+DCF!$D$41+DCF!$D$42-DCF!$D$43-DCF!$D$44)/DCF!$C$35</f>
        <v>2.0919133699894199</v>
      </c>
    </row>
    <row r="1132" spans="3:8" x14ac:dyDescent="0.35">
      <c r="C1132" s="8">
        <f t="shared" ca="1" si="86"/>
        <v>0.90989538949214055</v>
      </c>
      <c r="D1132" s="7">
        <f t="shared" ca="1" si="87"/>
        <v>9.9972201371847799E-2</v>
      </c>
      <c r="E1132" s="7">
        <f t="shared" ca="1" si="88"/>
        <v>0.33832079306415552</v>
      </c>
      <c r="F1132" s="7">
        <f t="shared" ca="1" si="89"/>
        <v>1.8225822670884115E-2</v>
      </c>
      <c r="G1132" s="7">
        <f t="shared" ca="1" si="85"/>
        <v>204.84611463175662</v>
      </c>
      <c r="H1132" s="7">
        <f ca="1">(G1132+DCF!$D$40+DCF!$D$41+DCF!$D$42-DCF!$D$43-DCF!$D$44)/DCF!$C$35</f>
        <v>1.7982453698597844</v>
      </c>
    </row>
    <row r="1133" spans="3:8" x14ac:dyDescent="0.35">
      <c r="C1133" s="8">
        <f t="shared" ca="1" si="86"/>
        <v>0.57952388696463608</v>
      </c>
      <c r="D1133" s="7">
        <f t="shared" ca="1" si="87"/>
        <v>8.8337789998537405E-2</v>
      </c>
      <c r="E1133" s="7">
        <f t="shared" ca="1" si="88"/>
        <v>0.33679418110883208</v>
      </c>
      <c r="F1133" s="7">
        <f t="shared" ca="1" si="89"/>
        <v>1.8207242912316318E-2</v>
      </c>
      <c r="G1133" s="7">
        <f t="shared" ca="1" si="85"/>
        <v>241.1458236762553</v>
      </c>
      <c r="H1133" s="7">
        <f ca="1">(G1133+DCF!$D$40+DCF!$D$41+DCF!$D$42-DCF!$D$43-DCF!$D$44)/DCF!$C$35</f>
        <v>2.0031201245978965</v>
      </c>
    </row>
    <row r="1134" spans="3:8" x14ac:dyDescent="0.35">
      <c r="C1134" s="8">
        <f t="shared" ca="1" si="86"/>
        <v>0.54686562887183321</v>
      </c>
      <c r="D1134" s="7">
        <f t="shared" ca="1" si="87"/>
        <v>8.7512270942155274E-2</v>
      </c>
      <c r="E1134" s="7">
        <f t="shared" ca="1" si="88"/>
        <v>0.42529452627417419</v>
      </c>
      <c r="F1134" s="7">
        <f t="shared" ca="1" si="89"/>
        <v>1.9222738489994978E-2</v>
      </c>
      <c r="G1134" s="7">
        <f t="shared" ca="1" si="85"/>
        <v>246.80439639153582</v>
      </c>
      <c r="H1134" s="7">
        <f ca="1">(G1134+DCF!$D$40+DCF!$D$41+DCF!$D$42-DCF!$D$43-DCF!$D$44)/DCF!$C$35</f>
        <v>2.0350569838104513</v>
      </c>
    </row>
    <row r="1135" spans="3:8" x14ac:dyDescent="0.35">
      <c r="C1135" s="8">
        <f t="shared" ca="1" si="86"/>
        <v>0.83841414947225146</v>
      </c>
      <c r="D1135" s="7">
        <f t="shared" ca="1" si="87"/>
        <v>9.6571306497318238E-2</v>
      </c>
      <c r="E1135" s="7">
        <f t="shared" ca="1" si="88"/>
        <v>0.93832046767490085</v>
      </c>
      <c r="F1135" s="7">
        <f t="shared" ca="1" si="89"/>
        <v>2.6487749088544524E-2</v>
      </c>
      <c r="G1135" s="7">
        <f t="shared" ca="1" si="85"/>
        <v>231.78095162799877</v>
      </c>
      <c r="H1135" s="7">
        <f ca="1">(G1135+DCF!$D$40+DCF!$D$41+DCF!$D$42-DCF!$D$43-DCF!$D$44)/DCF!$C$35</f>
        <v>1.9502649939496488</v>
      </c>
    </row>
    <row r="1136" spans="3:8" x14ac:dyDescent="0.35">
      <c r="C1136" s="8">
        <f t="shared" ca="1" si="86"/>
        <v>0.45425089343667613</v>
      </c>
      <c r="D1136" s="7">
        <f t="shared" ca="1" si="87"/>
        <v>8.5320939991063896E-2</v>
      </c>
      <c r="E1136" s="7">
        <f t="shared" ca="1" si="88"/>
        <v>0.26463115091721889</v>
      </c>
      <c r="F1136" s="7">
        <f t="shared" ca="1" si="89"/>
        <v>1.7275041593244934E-2</v>
      </c>
      <c r="G1136" s="7">
        <f t="shared" ca="1" si="85"/>
        <v>250.1245731509415</v>
      </c>
      <c r="H1136" s="7">
        <f ca="1">(G1136+DCF!$D$40+DCF!$D$41+DCF!$D$42-DCF!$D$43-DCF!$D$44)/DCF!$C$35</f>
        <v>2.0537959879836407</v>
      </c>
    </row>
    <row r="1137" spans="3:8" x14ac:dyDescent="0.35">
      <c r="C1137" s="8">
        <f t="shared" ca="1" si="86"/>
        <v>8.6390290874388209E-2</v>
      </c>
      <c r="D1137" s="7">
        <f t="shared" ca="1" si="87"/>
        <v>7.646628956846227E-2</v>
      </c>
      <c r="E1137" s="7">
        <f t="shared" ca="1" si="88"/>
        <v>0.40833699003176427</v>
      </c>
      <c r="F1137" s="7">
        <f t="shared" ca="1" si="89"/>
        <v>1.903700160486612E-2</v>
      </c>
      <c r="G1137" s="7">
        <f t="shared" ca="1" si="85"/>
        <v>296.5165959948468</v>
      </c>
      <c r="H1137" s="7">
        <f ca="1">(G1137+DCF!$D$40+DCF!$D$41+DCF!$D$42-DCF!$D$43-DCF!$D$44)/DCF!$C$35</f>
        <v>2.315631538519284</v>
      </c>
    </row>
    <row r="1138" spans="3:8" x14ac:dyDescent="0.35">
      <c r="C1138" s="8">
        <f t="shared" ca="1" si="86"/>
        <v>0.74388533628953579</v>
      </c>
      <c r="D1138" s="7">
        <f t="shared" ca="1" si="87"/>
        <v>9.3093670868551096E-2</v>
      </c>
      <c r="E1138" s="7">
        <f t="shared" ca="1" si="88"/>
        <v>0.41202527276549405</v>
      </c>
      <c r="F1138" s="7">
        <f t="shared" ca="1" si="89"/>
        <v>1.9077722982835443E-2</v>
      </c>
      <c r="G1138" s="7">
        <f t="shared" ca="1" si="85"/>
        <v>226.7735933060886</v>
      </c>
      <c r="H1138" s="7">
        <f ca="1">(G1138+DCF!$D$40+DCF!$D$41+DCF!$D$42-DCF!$D$43-DCF!$D$44)/DCF!$C$35</f>
        <v>1.9220035743655526</v>
      </c>
    </row>
    <row r="1139" spans="3:8" x14ac:dyDescent="0.35">
      <c r="C1139" s="8">
        <f t="shared" ca="1" si="86"/>
        <v>0.68504255013752202</v>
      </c>
      <c r="D1139" s="7">
        <f t="shared" ca="1" si="87"/>
        <v>9.1251866384983144E-2</v>
      </c>
      <c r="E1139" s="7">
        <f t="shared" ca="1" si="88"/>
        <v>0.87755994416722283</v>
      </c>
      <c r="F1139" s="7">
        <f t="shared" ca="1" si="89"/>
        <v>2.5051463734945913E-2</v>
      </c>
      <c r="G1139" s="7">
        <f t="shared" ca="1" si="85"/>
        <v>247.83734084105814</v>
      </c>
      <c r="H1139" s="7">
        <f ca="1">(G1139+DCF!$D$40+DCF!$D$41+DCF!$D$42-DCF!$D$43-DCF!$D$44)/DCF!$C$35</f>
        <v>2.0408868994302862</v>
      </c>
    </row>
    <row r="1140" spans="3:8" x14ac:dyDescent="0.35">
      <c r="C1140" s="8">
        <f t="shared" ca="1" si="86"/>
        <v>0.6195957286405317</v>
      </c>
      <c r="D1140" s="7">
        <f t="shared" ca="1" si="87"/>
        <v>8.9395845883968775E-2</v>
      </c>
      <c r="E1140" s="7">
        <f t="shared" ca="1" si="88"/>
        <v>0.24507491841035944</v>
      </c>
      <c r="F1140" s="7">
        <f t="shared" ca="1" si="89"/>
        <v>1.7001070181198865E-2</v>
      </c>
      <c r="G1140" s="7">
        <f t="shared" ca="1" si="85"/>
        <v>234.52570541762117</v>
      </c>
      <c r="H1140" s="7">
        <f ca="1">(G1140+DCF!$D$40+DCF!$D$41+DCF!$D$42-DCF!$D$43-DCF!$D$44)/DCF!$C$35</f>
        <v>1.9657563236122653</v>
      </c>
    </row>
    <row r="1141" spans="3:8" x14ac:dyDescent="0.35">
      <c r="C1141" s="8">
        <f t="shared" ca="1" si="86"/>
        <v>0.16259782843667014</v>
      </c>
      <c r="D1141" s="7">
        <f t="shared" ca="1" si="87"/>
        <v>7.887115262879342E-2</v>
      </c>
      <c r="E1141" s="7">
        <f t="shared" ca="1" si="88"/>
        <v>0.70887137484370866</v>
      </c>
      <c r="F1141" s="7">
        <f t="shared" ca="1" si="89"/>
        <v>2.2369421710560972E-2</v>
      </c>
      <c r="G1141" s="7">
        <f t="shared" ca="1" si="85"/>
        <v>296.59423111783741</v>
      </c>
      <c r="H1141" s="7">
        <f ca="1">(G1141+DCF!$D$40+DCF!$D$41+DCF!$D$42-DCF!$D$43-DCF!$D$44)/DCF!$C$35</f>
        <v>2.3160697094358134</v>
      </c>
    </row>
    <row r="1142" spans="3:8" x14ac:dyDescent="0.35">
      <c r="C1142" s="8">
        <f t="shared" ca="1" si="86"/>
        <v>0.11473713171274846</v>
      </c>
      <c r="D1142" s="7">
        <f t="shared" ca="1" si="87"/>
        <v>7.7452031384056985E-2</v>
      </c>
      <c r="E1142" s="7">
        <f t="shared" ca="1" si="88"/>
        <v>0.99143714423269935</v>
      </c>
      <c r="F1142" s="7">
        <f t="shared" ca="1" si="89"/>
        <v>2.869134758111249E-2</v>
      </c>
      <c r="G1142" s="7">
        <f t="shared" ca="1" si="85"/>
        <v>334.9094406061962</v>
      </c>
      <c r="H1142" s="7">
        <f ca="1">(G1142+DCF!$D$40+DCF!$D$41+DCF!$D$42-DCF!$D$43-DCF!$D$44)/DCF!$C$35</f>
        <v>2.5323199040873474</v>
      </c>
    </row>
    <row r="1143" spans="3:8" x14ac:dyDescent="0.35">
      <c r="C1143" s="8">
        <f t="shared" ca="1" si="86"/>
        <v>0.61318886128649375</v>
      </c>
      <c r="D1143" s="7">
        <f t="shared" ca="1" si="87"/>
        <v>8.9223060119346914E-2</v>
      </c>
      <c r="E1143" s="7">
        <f t="shared" ca="1" si="88"/>
        <v>0.87188059215216018</v>
      </c>
      <c r="F1143" s="7">
        <f t="shared" ca="1" si="89"/>
        <v>2.4937996289060235E-2</v>
      </c>
      <c r="G1143" s="7">
        <f t="shared" ca="1" si="85"/>
        <v>255.74730624616927</v>
      </c>
      <c r="H1143" s="7">
        <f ca="1">(G1143+DCF!$D$40+DCF!$D$41+DCF!$D$42-DCF!$D$43-DCF!$D$44)/DCF!$C$35</f>
        <v>2.0855305691735482</v>
      </c>
    </row>
    <row r="1144" spans="3:8" x14ac:dyDescent="0.35">
      <c r="C1144" s="8">
        <f t="shared" ca="1" si="86"/>
        <v>0.91170182794712751</v>
      </c>
      <c r="D1144" s="7">
        <f t="shared" ca="1" si="87"/>
        <v>0.10007323013206181</v>
      </c>
      <c r="E1144" s="7">
        <f t="shared" ca="1" si="88"/>
        <v>0.91564157053309969</v>
      </c>
      <c r="F1144" s="7">
        <f t="shared" ca="1" si="89"/>
        <v>2.589248421873025E-2</v>
      </c>
      <c r="G1144" s="7">
        <f t="shared" ca="1" si="85"/>
        <v>218.93133442903496</v>
      </c>
      <c r="H1144" s="7">
        <f ca="1">(G1144+DCF!$D$40+DCF!$D$41+DCF!$D$42-DCF!$D$43-DCF!$D$44)/DCF!$C$35</f>
        <v>1.8777420387686812</v>
      </c>
    </row>
    <row r="1145" spans="3:8" x14ac:dyDescent="0.35">
      <c r="C1145" s="8">
        <f t="shared" ca="1" si="86"/>
        <v>0.49648873903317148</v>
      </c>
      <c r="D1145" s="7">
        <f t="shared" ca="1" si="87"/>
        <v>8.629517839681175E-2</v>
      </c>
      <c r="E1145" s="7">
        <f t="shared" ca="1" si="88"/>
        <v>0.93032361065134861</v>
      </c>
      <c r="F1145" s="7">
        <f t="shared" ca="1" si="89"/>
        <v>2.6267001490794528E-2</v>
      </c>
      <c r="G1145" s="7">
        <f t="shared" ca="1" si="85"/>
        <v>272.99563362476653</v>
      </c>
      <c r="H1145" s="7">
        <f ca="1">(G1145+DCF!$D$40+DCF!$D$41+DCF!$D$42-DCF!$D$43-DCF!$D$44)/DCF!$C$35</f>
        <v>2.1828797472895727</v>
      </c>
    </row>
    <row r="1146" spans="3:8" x14ac:dyDescent="0.35">
      <c r="C1146" s="8">
        <f t="shared" ca="1" si="86"/>
        <v>0.54311725093879049</v>
      </c>
      <c r="D1146" s="7">
        <f t="shared" ca="1" si="87"/>
        <v>8.7419452000619874E-2</v>
      </c>
      <c r="E1146" s="7">
        <f t="shared" ca="1" si="88"/>
        <v>0.65735213075606103</v>
      </c>
      <c r="F1146" s="7">
        <f t="shared" ca="1" si="89"/>
        <v>2.1721740892627982E-2</v>
      </c>
      <c r="G1146" s="7">
        <f t="shared" ca="1" si="85"/>
        <v>253.956502214018</v>
      </c>
      <c r="H1146" s="7">
        <f ca="1">(G1146+DCF!$D$40+DCF!$D$41+DCF!$D$42-DCF!$D$43-DCF!$D$44)/DCF!$C$35</f>
        <v>2.075423310836539</v>
      </c>
    </row>
    <row r="1147" spans="3:8" x14ac:dyDescent="0.35">
      <c r="C1147" s="8">
        <f t="shared" ca="1" si="86"/>
        <v>0.32620624156226663</v>
      </c>
      <c r="D1147" s="7">
        <f t="shared" ca="1" si="87"/>
        <v>8.257822335412035E-2</v>
      </c>
      <c r="E1147" s="7">
        <f t="shared" ca="1" si="88"/>
        <v>0.30622682342965812</v>
      </c>
      <c r="F1147" s="7">
        <f t="shared" ca="1" si="89"/>
        <v>1.7825941776293229E-2</v>
      </c>
      <c r="G1147" s="7">
        <f t="shared" ca="1" si="85"/>
        <v>262.88841494063774</v>
      </c>
      <c r="H1147" s="7">
        <f ca="1">(G1147+DCF!$D$40+DCF!$D$41+DCF!$D$42-DCF!$D$43-DCF!$D$44)/DCF!$C$35</f>
        <v>2.1258348286524309</v>
      </c>
    </row>
    <row r="1148" spans="3:8" x14ac:dyDescent="0.35">
      <c r="C1148" s="8">
        <f t="shared" ca="1" si="86"/>
        <v>0.44103277125917684</v>
      </c>
      <c r="D1148" s="7">
        <f t="shared" ca="1" si="87"/>
        <v>8.5023862843210563E-2</v>
      </c>
      <c r="E1148" s="7">
        <f t="shared" ca="1" si="88"/>
        <v>4.0087993742609407E-2</v>
      </c>
      <c r="F1148" s="7">
        <f t="shared" ca="1" si="89"/>
        <v>1.2831536464275515E-2</v>
      </c>
      <c r="G1148" s="7">
        <f t="shared" ca="1" si="85"/>
        <v>240.06836316713731</v>
      </c>
      <c r="H1148" s="7">
        <f ca="1">(G1148+DCF!$D$40+DCF!$D$41+DCF!$D$42-DCF!$D$43-DCF!$D$44)/DCF!$C$35</f>
        <v>1.9970389613225945</v>
      </c>
    </row>
    <row r="1149" spans="3:8" x14ac:dyDescent="0.35">
      <c r="C1149" s="8">
        <f t="shared" ca="1" si="86"/>
        <v>0.67149025829323306</v>
      </c>
      <c r="D1149" s="7">
        <f t="shared" ca="1" si="87"/>
        <v>9.085275811651318E-2</v>
      </c>
      <c r="E1149" s="7">
        <f t="shared" ca="1" si="88"/>
        <v>0.20366629842108164</v>
      </c>
      <c r="F1149" s="7">
        <f t="shared" ca="1" si="89"/>
        <v>1.6382261329984563E-2</v>
      </c>
      <c r="G1149" s="7">
        <f t="shared" ca="1" si="85"/>
        <v>228.26430373068186</v>
      </c>
      <c r="H1149" s="7">
        <f ca="1">(G1149+DCF!$D$40+DCF!$D$41+DCF!$D$42-DCF!$D$43-DCF!$D$44)/DCF!$C$35</f>
        <v>1.930417111020893</v>
      </c>
    </row>
    <row r="1150" spans="3:8" x14ac:dyDescent="0.35">
      <c r="C1150" s="8">
        <f t="shared" ca="1" si="86"/>
        <v>0.70235915891967071</v>
      </c>
      <c r="D1150" s="7">
        <f t="shared" ca="1" si="87"/>
        <v>9.1774545859001286E-2</v>
      </c>
      <c r="E1150" s="7">
        <f t="shared" ca="1" si="88"/>
        <v>0.67944743392496354</v>
      </c>
      <c r="F1150" s="7">
        <f t="shared" ca="1" si="89"/>
        <v>2.1993095903221564E-2</v>
      </c>
      <c r="G1150" s="7">
        <f t="shared" ca="1" si="85"/>
        <v>237.98110697186308</v>
      </c>
      <c r="H1150" s="7">
        <f ca="1">(G1150+DCF!$D$40+DCF!$D$41+DCF!$D$42-DCF!$D$43-DCF!$D$44)/DCF!$C$35</f>
        <v>1.9852585335357438</v>
      </c>
    </row>
    <row r="1151" spans="3:8" x14ac:dyDescent="0.35">
      <c r="C1151" s="8">
        <f t="shared" ca="1" si="86"/>
        <v>0.92891308538576023</v>
      </c>
      <c r="D1151" s="7">
        <f t="shared" ca="1" si="87"/>
        <v>0.1010930927528411</v>
      </c>
      <c r="E1151" s="7">
        <f t="shared" ca="1" si="88"/>
        <v>0.91387129985811433</v>
      </c>
      <c r="F1151" s="7">
        <f t="shared" ca="1" si="89"/>
        <v>2.5849609653493165E-2</v>
      </c>
      <c r="G1151" s="7">
        <f t="shared" ca="1" si="85"/>
        <v>215.71099859793125</v>
      </c>
      <c r="H1151" s="7">
        <f ca="1">(G1151+DCF!$D$40+DCF!$D$41+DCF!$D$42-DCF!$D$43-DCF!$D$44)/DCF!$C$35</f>
        <v>1.8595665345859085</v>
      </c>
    </row>
    <row r="1152" spans="3:8" x14ac:dyDescent="0.35">
      <c r="C1152" s="8">
        <f t="shared" ca="1" si="86"/>
        <v>0.30791375134629095</v>
      </c>
      <c r="D1152" s="7">
        <f t="shared" ca="1" si="87"/>
        <v>8.2208485944491275E-2</v>
      </c>
      <c r="E1152" s="7">
        <f t="shared" ca="1" si="88"/>
        <v>0.37219262739633019</v>
      </c>
      <c r="F1152" s="7">
        <f t="shared" ca="1" si="89"/>
        <v>1.862777639251656E-2</v>
      </c>
      <c r="G1152" s="7">
        <f t="shared" ca="1" si="85"/>
        <v>266.94049221506378</v>
      </c>
      <c r="H1152" s="7">
        <f ca="1">(G1152+DCF!$D$40+DCF!$D$41+DCF!$D$42-DCF!$D$43-DCF!$D$44)/DCF!$C$35</f>
        <v>2.1487046631395406</v>
      </c>
    </row>
    <row r="1153" spans="3:8" x14ac:dyDescent="0.35">
      <c r="C1153" s="8">
        <f t="shared" ca="1" si="86"/>
        <v>0.81823100240784952</v>
      </c>
      <c r="D1153" s="7">
        <f t="shared" ca="1" si="87"/>
        <v>9.5757310601124523E-2</v>
      </c>
      <c r="E1153" s="7">
        <f t="shared" ca="1" si="88"/>
        <v>0.14207573738821844</v>
      </c>
      <c r="F1153" s="7">
        <f t="shared" ca="1" si="89"/>
        <v>1.5330586035103804E-2</v>
      </c>
      <c r="G1153" s="7">
        <f t="shared" ca="1" si="85"/>
        <v>211.33822385393654</v>
      </c>
      <c r="H1153" s="7">
        <f ca="1">(G1153+DCF!$D$40+DCF!$D$41+DCF!$D$42-DCF!$D$43-DCF!$D$44)/DCF!$C$35</f>
        <v>1.8348866906757904</v>
      </c>
    </row>
    <row r="1154" spans="3:8" x14ac:dyDescent="0.35">
      <c r="C1154" s="8">
        <f t="shared" ca="1" si="86"/>
        <v>0.42897267550218721</v>
      </c>
      <c r="D1154" s="7">
        <f t="shared" ca="1" si="87"/>
        <v>8.4755862182685687E-2</v>
      </c>
      <c r="E1154" s="7">
        <f t="shared" ca="1" si="88"/>
        <v>0.92942976760940088</v>
      </c>
      <c r="F1154" s="7">
        <f t="shared" ca="1" si="89"/>
        <v>2.6243133422901497E-2</v>
      </c>
      <c r="G1154" s="7">
        <f t="shared" ca="1" si="85"/>
        <v>280.43083217104618</v>
      </c>
      <c r="H1154" s="7">
        <f ca="1">(G1154+DCF!$D$40+DCF!$D$41+DCF!$D$42-DCF!$D$43-DCF!$D$44)/DCF!$C$35</f>
        <v>2.2248438433855187</v>
      </c>
    </row>
    <row r="1155" spans="3:8" x14ac:dyDescent="0.35">
      <c r="C1155" s="8">
        <f t="shared" ca="1" si="86"/>
        <v>0.83641181912320228</v>
      </c>
      <c r="D1155" s="7">
        <f t="shared" ca="1" si="87"/>
        <v>9.6488360208379365E-2</v>
      </c>
      <c r="E1155" s="7">
        <f t="shared" ca="1" si="88"/>
        <v>0.99695214470356985</v>
      </c>
      <c r="F1155" s="7">
        <f t="shared" ca="1" si="89"/>
        <v>2.9219249681853392E-2</v>
      </c>
      <c r="G1155" s="7">
        <f t="shared" ca="1" si="85"/>
        <v>238.79505453398195</v>
      </c>
      <c r="H1155" s="7">
        <f ca="1">(G1155+DCF!$D$40+DCF!$D$41+DCF!$D$42-DCF!$D$43-DCF!$D$44)/DCF!$C$35</f>
        <v>1.9898524355682465</v>
      </c>
    </row>
    <row r="1156" spans="3:8" x14ac:dyDescent="0.35">
      <c r="C1156" s="8">
        <f t="shared" ca="1" si="86"/>
        <v>0.49717559461206617</v>
      </c>
      <c r="D1156" s="7">
        <f t="shared" ca="1" si="87"/>
        <v>8.631135216157465E-2</v>
      </c>
      <c r="E1156" s="7">
        <f t="shared" ca="1" si="88"/>
        <v>0.84456731869956658</v>
      </c>
      <c r="F1156" s="7">
        <f t="shared" ca="1" si="89"/>
        <v>2.442446986735013E-2</v>
      </c>
      <c r="G1156" s="7">
        <f t="shared" ca="1" si="85"/>
        <v>266.83945502796485</v>
      </c>
      <c r="H1156" s="7">
        <f ca="1">(G1156+DCF!$D$40+DCF!$D$41+DCF!$D$42-DCF!$D$43-DCF!$D$44)/DCF!$C$35</f>
        <v>2.1481344114909406</v>
      </c>
    </row>
    <row r="1157" spans="3:8" x14ac:dyDescent="0.35">
      <c r="C1157" s="8">
        <f t="shared" ca="1" si="86"/>
        <v>0.30889319300289808</v>
      </c>
      <c r="D1157" s="7">
        <f t="shared" ca="1" si="87"/>
        <v>8.2228158206399685E-2</v>
      </c>
      <c r="E1157" s="7">
        <f t="shared" ca="1" si="88"/>
        <v>0.90398196331549208</v>
      </c>
      <c r="F1157" s="7">
        <f t="shared" ca="1" si="89"/>
        <v>2.5617807930167644E-2</v>
      </c>
      <c r="G1157" s="7">
        <f t="shared" ca="1" si="85"/>
        <v>291.20001797480433</v>
      </c>
      <c r="H1157" s="7">
        <f ca="1">(G1157+DCF!$D$40+DCF!$D$41+DCF!$D$42-DCF!$D$43-DCF!$D$44)/DCF!$C$35</f>
        <v>2.2856248898002276</v>
      </c>
    </row>
    <row r="1158" spans="3:8" x14ac:dyDescent="0.35">
      <c r="C1158" s="8">
        <f t="shared" ca="1" si="86"/>
        <v>0.68068676170745934</v>
      </c>
      <c r="D1158" s="7">
        <f t="shared" ca="1" si="87"/>
        <v>9.1122670370667486E-2</v>
      </c>
      <c r="E1158" s="7">
        <f t="shared" ca="1" si="88"/>
        <v>0.47625132946585857</v>
      </c>
      <c r="F1158" s="7">
        <f t="shared" ca="1" si="89"/>
        <v>1.9759624270081905E-2</v>
      </c>
      <c r="G1158" s="7">
        <f t="shared" ca="1" si="85"/>
        <v>234.94690571380136</v>
      </c>
      <c r="H1158" s="7">
        <f ca="1">(G1158+DCF!$D$40+DCF!$D$41+DCF!$D$42-DCF!$D$43-DCF!$D$44)/DCF!$C$35</f>
        <v>1.9681335687651051</v>
      </c>
    </row>
    <row r="1159" spans="3:8" x14ac:dyDescent="0.35">
      <c r="C1159" s="8">
        <f t="shared" ca="1" si="86"/>
        <v>0.19649842984818811</v>
      </c>
      <c r="D1159" s="7">
        <f t="shared" ca="1" si="87"/>
        <v>7.9752191550955254E-2</v>
      </c>
      <c r="E1159" s="7">
        <f t="shared" ca="1" si="88"/>
        <v>0.14714135149117347</v>
      </c>
      <c r="F1159" s="7">
        <f t="shared" ca="1" si="89"/>
        <v>1.5424782972454722E-2</v>
      </c>
      <c r="G1159" s="7">
        <f t="shared" ca="1" si="85"/>
        <v>267.90557669236148</v>
      </c>
      <c r="H1159" s="7">
        <f ca="1">(G1159+DCF!$D$40+DCF!$D$41+DCF!$D$42-DCF!$D$43-DCF!$D$44)/DCF!$C$35</f>
        <v>2.1541515785774998</v>
      </c>
    </row>
    <row r="1160" spans="3:8" x14ac:dyDescent="0.35">
      <c r="C1160" s="8">
        <f t="shared" ca="1" si="86"/>
        <v>0.97120362147720751</v>
      </c>
      <c r="D1160" s="7">
        <f t="shared" ca="1" si="87"/>
        <v>0.10433107078616813</v>
      </c>
      <c r="E1160" s="7">
        <f t="shared" ca="1" si="88"/>
        <v>0.37024339679008411</v>
      </c>
      <c r="F1160" s="7">
        <f t="shared" ca="1" si="89"/>
        <v>1.8605154232087699E-2</v>
      </c>
      <c r="G1160" s="7">
        <f t="shared" ca="1" si="85"/>
        <v>194.35019446701844</v>
      </c>
      <c r="H1160" s="7">
        <f ca="1">(G1160+DCF!$D$40+DCF!$D$41+DCF!$D$42-DCF!$D$43-DCF!$D$44)/DCF!$C$35</f>
        <v>1.7390066286658679</v>
      </c>
    </row>
    <row r="1161" spans="3:8" x14ac:dyDescent="0.35">
      <c r="C1161" s="8">
        <f t="shared" ca="1" si="86"/>
        <v>1.5004214764153034E-2</v>
      </c>
      <c r="D1161" s="7">
        <f t="shared" ca="1" si="87"/>
        <v>7.2694817237931003E-2</v>
      </c>
      <c r="E1161" s="7">
        <f t="shared" ca="1" si="88"/>
        <v>0.36070619340231103</v>
      </c>
      <c r="F1161" s="7">
        <f t="shared" ca="1" si="89"/>
        <v>1.8493599865808501E-2</v>
      </c>
      <c r="G1161" s="7">
        <f t="shared" ca="1" si="85"/>
        <v>315.94636656654495</v>
      </c>
      <c r="H1161" s="7">
        <f ca="1">(G1161+DCF!$D$40+DCF!$D$41+DCF!$D$42-DCF!$D$43-DCF!$D$44)/DCF!$C$35</f>
        <v>2.4252927337540631</v>
      </c>
    </row>
    <row r="1162" spans="3:8" x14ac:dyDescent="0.35">
      <c r="C1162" s="8">
        <f t="shared" ca="1" si="86"/>
        <v>0.20150976837978529</v>
      </c>
      <c r="D1162" s="7">
        <f t="shared" ca="1" si="87"/>
        <v>7.9875764673979235E-2</v>
      </c>
      <c r="E1162" s="7">
        <f t="shared" ca="1" si="88"/>
        <v>0.4066089827869267</v>
      </c>
      <c r="F1162" s="7">
        <f t="shared" ca="1" si="89"/>
        <v>1.9017859865699031E-2</v>
      </c>
      <c r="G1162" s="7">
        <f t="shared" ca="1" si="85"/>
        <v>279.00068741033419</v>
      </c>
      <c r="H1162" s="7">
        <f ca="1">(G1162+DCF!$D$40+DCF!$D$41+DCF!$D$42-DCF!$D$43-DCF!$D$44)/DCF!$C$35</f>
        <v>2.216772137997145</v>
      </c>
    </row>
    <row r="1163" spans="3:8" x14ac:dyDescent="0.35">
      <c r="C1163" s="8">
        <f t="shared" ca="1" si="86"/>
        <v>0.46196016149273789</v>
      </c>
      <c r="D1163" s="7">
        <f t="shared" ca="1" si="87"/>
        <v>8.5495868516225593E-2</v>
      </c>
      <c r="E1163" s="7">
        <f t="shared" ca="1" si="88"/>
        <v>7.6295331681163092E-2</v>
      </c>
      <c r="F1163" s="7">
        <f t="shared" ca="1" si="89"/>
        <v>1.3906285490876545E-2</v>
      </c>
      <c r="G1163" s="7">
        <f t="shared" ca="1" si="85"/>
        <v>240.95010491333906</v>
      </c>
      <c r="H1163" s="7">
        <f ca="1">(G1163+DCF!$D$40+DCF!$D$41+DCF!$D$42-DCF!$D$43-DCF!$D$44)/DCF!$C$35</f>
        <v>2.0020154922301558</v>
      </c>
    </row>
    <row r="1164" spans="3:8" x14ac:dyDescent="0.35">
      <c r="C1164" s="8">
        <f t="shared" ca="1" si="86"/>
        <v>3.5506986580768896E-4</v>
      </c>
      <c r="D1164" s="7">
        <f t="shared" ca="1" si="87"/>
        <v>7.0414552547997153E-2</v>
      </c>
      <c r="E1164" s="7">
        <f t="shared" ca="1" si="88"/>
        <v>0.6844154699481082</v>
      </c>
      <c r="F1164" s="7">
        <f t="shared" ca="1" si="89"/>
        <v>2.2055385093638687E-2</v>
      </c>
      <c r="G1164" s="7">
        <f t="shared" ca="1" si="85"/>
        <v>349.49794565842774</v>
      </c>
      <c r="H1164" s="7">
        <f ca="1">(G1164+DCF!$D$40+DCF!$D$41+DCF!$D$42-DCF!$D$43-DCF!$D$44)/DCF!$C$35</f>
        <v>2.6146571038403192</v>
      </c>
    </row>
    <row r="1165" spans="3:8" x14ac:dyDescent="0.35">
      <c r="C1165" s="8">
        <f t="shared" ca="1" si="86"/>
        <v>0.50681918934827819</v>
      </c>
      <c r="D1165" s="7">
        <f t="shared" ca="1" si="87"/>
        <v>8.6539612435270363E-2</v>
      </c>
      <c r="E1165" s="7">
        <f t="shared" ca="1" si="88"/>
        <v>0.78908998797074836</v>
      </c>
      <c r="F1165" s="7">
        <f t="shared" ca="1" si="89"/>
        <v>2.3505232690399884E-2</v>
      </c>
      <c r="G1165" s="7">
        <f t="shared" ca="1" si="85"/>
        <v>262.93565839648886</v>
      </c>
      <c r="H1165" s="7">
        <f ca="1">(G1165+DCF!$D$40+DCF!$D$41+DCF!$D$42-DCF!$D$43-DCF!$D$44)/DCF!$C$35</f>
        <v>2.126101469672022</v>
      </c>
    </row>
    <row r="1166" spans="3:8" x14ac:dyDescent="0.35">
      <c r="C1166" s="8">
        <f t="shared" ca="1" si="86"/>
        <v>0.12240658032042184</v>
      </c>
      <c r="D1166" s="7">
        <f t="shared" ca="1" si="87"/>
        <v>7.7697063392949559E-2</v>
      </c>
      <c r="E1166" s="7">
        <f t="shared" ca="1" si="88"/>
        <v>0.71580106009558253</v>
      </c>
      <c r="F1166" s="7">
        <f t="shared" ca="1" si="89"/>
        <v>2.24607833310825E-2</v>
      </c>
      <c r="G1166" s="7">
        <f t="shared" ca="1" si="85"/>
        <v>303.57105365556504</v>
      </c>
      <c r="H1166" s="7">
        <f ca="1">(G1166+DCF!$D$40+DCF!$D$41+DCF!$D$42-DCF!$D$43-DCF!$D$44)/DCF!$C$35</f>
        <v>2.3554467414807823</v>
      </c>
    </row>
    <row r="1167" spans="3:8" x14ac:dyDescent="0.35">
      <c r="C1167" s="8">
        <f t="shared" ca="1" si="86"/>
        <v>4.5695207940271265E-2</v>
      </c>
      <c r="D1167" s="7">
        <f t="shared" ca="1" si="87"/>
        <v>7.4702816245941508E-2</v>
      </c>
      <c r="E1167" s="7">
        <f t="shared" ca="1" si="88"/>
        <v>0.25633844846260834</v>
      </c>
      <c r="F1167" s="7">
        <f t="shared" ca="1" si="89"/>
        <v>1.7160145926761666E-2</v>
      </c>
      <c r="G1167" s="7">
        <f t="shared" ca="1" si="85"/>
        <v>298.7235758819034</v>
      </c>
      <c r="H1167" s="7">
        <f ca="1">(G1167+DCF!$D$40+DCF!$D$41+DCF!$D$42-DCF!$D$43-DCF!$D$44)/DCF!$C$35</f>
        <v>2.3280876841737408</v>
      </c>
    </row>
    <row r="1168" spans="3:8" x14ac:dyDescent="0.35">
      <c r="C1168" s="8">
        <f t="shared" ca="1" si="86"/>
        <v>7.8383993009584652E-2</v>
      </c>
      <c r="D1168" s="7">
        <f t="shared" ca="1" si="87"/>
        <v>7.6159371121846703E-2</v>
      </c>
      <c r="E1168" s="7">
        <f t="shared" ca="1" si="88"/>
        <v>0.30362604572654817</v>
      </c>
      <c r="F1168" s="7">
        <f t="shared" ca="1" si="89"/>
        <v>1.7792638137711106E-2</v>
      </c>
      <c r="G1168" s="7">
        <f t="shared" ref="G1168:G1231" ca="1" si="90">$C$11/(1+D1168)^1
 +$D$11/(1+D1168)^2
 +$E$11/(1+D1168)^3
 +$F$11/(1+D1168)^4
 +$G$11/(1+D1168)^5
 +$H$11/(1+D1168)^6
 +$I$11/(1+D1168)^7
 + ( $I$11*(1+F1168)/(D1168-F1168) )/(1+D1168)^7</f>
        <v>293.3491099996682</v>
      </c>
      <c r="H1168" s="7">
        <f ca="1">(G1168+DCF!$D$40+DCF!$D$41+DCF!$D$42-DCF!$D$43-DCF!$D$44)/DCF!$C$35</f>
        <v>2.2977543176412021</v>
      </c>
    </row>
    <row r="1169" spans="3:8" x14ac:dyDescent="0.35">
      <c r="C1169" s="8">
        <f t="shared" ref="C1169:C1232" ca="1" si="91">RAND()</f>
        <v>0.98287523277028521</v>
      </c>
      <c r="D1169" s="7">
        <f t="shared" ref="D1169:D1232" ca="1" si="92">IF(C1169&lt;($C$6-0.07)/(0.11-0.07),0.07+SQRT(C1169*(0.11-0.07)*($C$6-0.07)),0.11-SQRT((1-C1169)*(0.11-0.07)*(0.11-$C$6)))</f>
        <v>0.10562835954950986</v>
      </c>
      <c r="E1169" s="7">
        <f t="shared" ref="E1169:E1232" ca="1" si="93">RAND()</f>
        <v>0.90164436013584925</v>
      </c>
      <c r="F1169" s="7">
        <f t="shared" ref="F1169:F1232" ca="1" si="94">MIN(
 IF(E1169&lt;(0.02-0.01)/(0.03-0.01),
   0.01+SQRT(E1169*(0.03-0.01)*(0.02-0.01)),
   0.03-SQRT((1-E1169)*(0.03-0.01)*(0.03-0.02))
 ),
 D1169-0.005
)</f>
        <v>2.5564785464847258E-2</v>
      </c>
      <c r="G1169" s="7">
        <f t="shared" ca="1" si="90"/>
        <v>202.2686871666601</v>
      </c>
      <c r="H1169" s="7">
        <f ca="1">(G1169+DCF!$D$40+DCF!$D$41+DCF!$D$42-DCF!$D$43-DCF!$D$44)/DCF!$C$35</f>
        <v>1.7836984262707987</v>
      </c>
    </row>
    <row r="1170" spans="3:8" x14ac:dyDescent="0.35">
      <c r="C1170" s="8">
        <f t="shared" ca="1" si="91"/>
        <v>9.0860440903486106E-2</v>
      </c>
      <c r="D1170" s="7">
        <f t="shared" ca="1" si="92"/>
        <v>7.6631474451227824E-2</v>
      </c>
      <c r="E1170" s="7">
        <f t="shared" ca="1" si="93"/>
        <v>0.59582288580366971</v>
      </c>
      <c r="F1170" s="7">
        <f t="shared" ca="1" si="94"/>
        <v>2.100914782463497E-2</v>
      </c>
      <c r="G1170" s="7">
        <f t="shared" ca="1" si="90"/>
        <v>303.58734267775213</v>
      </c>
      <c r="H1170" s="7">
        <f ca="1">(G1170+DCF!$D$40+DCF!$D$41+DCF!$D$42-DCF!$D$43-DCF!$D$44)/DCF!$C$35</f>
        <v>2.3555386763616215</v>
      </c>
    </row>
    <row r="1171" spans="3:8" x14ac:dyDescent="0.35">
      <c r="C1171" s="8">
        <f t="shared" ca="1" si="91"/>
        <v>0.215804920661541</v>
      </c>
      <c r="D1171" s="7">
        <f t="shared" ca="1" si="92"/>
        <v>8.0220057808064779E-2</v>
      </c>
      <c r="E1171" s="7">
        <f t="shared" ca="1" si="93"/>
        <v>0.38865063955553336</v>
      </c>
      <c r="F1171" s="7">
        <f t="shared" ca="1" si="94"/>
        <v>1.8816469129481862E-2</v>
      </c>
      <c r="G1171" s="7">
        <f t="shared" ca="1" si="90"/>
        <v>276.66853989092613</v>
      </c>
      <c r="H1171" s="7">
        <f ca="1">(G1171+DCF!$D$40+DCF!$D$41+DCF!$D$42-DCF!$D$43-DCF!$D$44)/DCF!$C$35</f>
        <v>2.203609548994955</v>
      </c>
    </row>
    <row r="1172" spans="3:8" x14ac:dyDescent="0.35">
      <c r="C1172" s="8">
        <f t="shared" ca="1" si="91"/>
        <v>0.48615139188674006</v>
      </c>
      <c r="D1172" s="7">
        <f t="shared" ca="1" si="92"/>
        <v>8.6053078555806017E-2</v>
      </c>
      <c r="E1172" s="7">
        <f t="shared" ca="1" si="93"/>
        <v>0.46891281833637799</v>
      </c>
      <c r="F1172" s="7">
        <f t="shared" ca="1" si="94"/>
        <v>1.9684139800068751E-2</v>
      </c>
      <c r="G1172" s="7">
        <f t="shared" ca="1" si="90"/>
        <v>253.78368581060536</v>
      </c>
      <c r="H1172" s="7">
        <f ca="1">(G1172+DCF!$D$40+DCF!$D$41+DCF!$D$42-DCF!$D$43-DCF!$D$44)/DCF!$C$35</f>
        <v>2.0744479388791359</v>
      </c>
    </row>
    <row r="1173" spans="3:8" x14ac:dyDescent="0.35">
      <c r="C1173" s="8">
        <f t="shared" ca="1" si="91"/>
        <v>0.19386006961066182</v>
      </c>
      <c r="D1173" s="7">
        <f t="shared" ca="1" si="92"/>
        <v>7.9686499558228471E-2</v>
      </c>
      <c r="E1173" s="7">
        <f t="shared" ca="1" si="93"/>
        <v>0.5627942753355103</v>
      </c>
      <c r="F1173" s="7">
        <f t="shared" ca="1" si="94"/>
        <v>2.06490029979206E-2</v>
      </c>
      <c r="G1173" s="7">
        <f t="shared" ca="1" si="90"/>
        <v>285.70936595414355</v>
      </c>
      <c r="H1173" s="7">
        <f ca="1">(G1173+DCF!$D$40+DCF!$D$41+DCF!$D$42-DCF!$D$43-DCF!$D$44)/DCF!$C$35</f>
        <v>2.2546357712729628</v>
      </c>
    </row>
    <row r="1174" spans="3:8" x14ac:dyDescent="0.35">
      <c r="C1174" s="8">
        <f t="shared" ca="1" si="91"/>
        <v>0.28820647637579377</v>
      </c>
      <c r="D1174" s="7">
        <f t="shared" ca="1" si="92"/>
        <v>8.1810670369030045E-2</v>
      </c>
      <c r="E1174" s="7">
        <f t="shared" ca="1" si="93"/>
        <v>0.50038232638749147</v>
      </c>
      <c r="F1174" s="7">
        <f t="shared" ca="1" si="94"/>
        <v>2.0003823995021812E-2</v>
      </c>
      <c r="G1174" s="7">
        <f t="shared" ca="1" si="90"/>
        <v>273.14319874297473</v>
      </c>
      <c r="H1174" s="7">
        <f ca="1">(G1174+DCF!$D$40+DCF!$D$41+DCF!$D$42-DCF!$D$43-DCF!$D$44)/DCF!$C$35</f>
        <v>2.1837126015519512</v>
      </c>
    </row>
    <row r="1175" spans="3:8" x14ac:dyDescent="0.35">
      <c r="C1175" s="8">
        <f t="shared" ca="1" si="91"/>
        <v>2.8985300856449348E-2</v>
      </c>
      <c r="D1175" s="7">
        <f t="shared" ca="1" si="92"/>
        <v>7.3745515400385042E-2</v>
      </c>
      <c r="E1175" s="7">
        <f t="shared" ca="1" si="93"/>
        <v>0.43962057599391624</v>
      </c>
      <c r="F1175" s="7">
        <f t="shared" ca="1" si="94"/>
        <v>1.9376785973817638E-2</v>
      </c>
      <c r="G1175" s="7">
        <f t="shared" ca="1" si="90"/>
        <v>313.51280846326176</v>
      </c>
      <c r="H1175" s="7">
        <f ca="1">(G1175+DCF!$D$40+DCF!$D$41+DCF!$D$42-DCF!$D$43-DCF!$D$44)/DCF!$C$35</f>
        <v>2.4115577856601296</v>
      </c>
    </row>
    <row r="1176" spans="3:8" x14ac:dyDescent="0.35">
      <c r="C1176" s="8">
        <f t="shared" ca="1" si="91"/>
        <v>0.29530794297869833</v>
      </c>
      <c r="D1176" s="7">
        <f t="shared" ca="1" si="92"/>
        <v>8.1955293572375798E-2</v>
      </c>
      <c r="E1176" s="7">
        <f t="shared" ca="1" si="93"/>
        <v>0.30181882209660316</v>
      </c>
      <c r="F1176" s="7">
        <f t="shared" ca="1" si="94"/>
        <v>1.7769412102554519E-2</v>
      </c>
      <c r="G1176" s="7">
        <f t="shared" ca="1" si="90"/>
        <v>265.41446525655863</v>
      </c>
      <c r="H1176" s="7">
        <f ca="1">(G1176+DCF!$D$40+DCF!$D$41+DCF!$D$42-DCF!$D$43-DCF!$D$44)/DCF!$C$35</f>
        <v>2.140091800748158</v>
      </c>
    </row>
    <row r="1177" spans="3:8" x14ac:dyDescent="0.35">
      <c r="C1177" s="8">
        <f t="shared" ca="1" si="91"/>
        <v>4.9488168284825829E-2</v>
      </c>
      <c r="D1177" s="7">
        <f t="shared" ca="1" si="92"/>
        <v>7.4894105990868584E-2</v>
      </c>
      <c r="E1177" s="7">
        <f t="shared" ca="1" si="93"/>
        <v>0.92218156841345666</v>
      </c>
      <c r="F1177" s="7">
        <f t="shared" ca="1" si="94"/>
        <v>2.6054916183740999E-2</v>
      </c>
      <c r="G1177" s="7">
        <f t="shared" ca="1" si="90"/>
        <v>338.88927236619134</v>
      </c>
      <c r="H1177" s="7">
        <f ca="1">(G1177+DCF!$D$40+DCF!$D$41+DCF!$D$42-DCF!$D$43-DCF!$D$44)/DCF!$C$35</f>
        <v>2.554781986489397</v>
      </c>
    </row>
    <row r="1178" spans="3:8" x14ac:dyDescent="0.35">
      <c r="C1178" s="8">
        <f t="shared" ca="1" si="91"/>
        <v>0.35546828078910908</v>
      </c>
      <c r="D1178" s="7">
        <f t="shared" ca="1" si="92"/>
        <v>8.3180279668882556E-2</v>
      </c>
      <c r="E1178" s="7">
        <f t="shared" ca="1" si="93"/>
        <v>0.59173469234922693</v>
      </c>
      <c r="F1178" s="7">
        <f t="shared" ca="1" si="94"/>
        <v>2.0963791639733255E-2</v>
      </c>
      <c r="G1178" s="7">
        <f t="shared" ca="1" si="90"/>
        <v>269.95618512210365</v>
      </c>
      <c r="H1178" s="7">
        <f ca="1">(G1178+DCF!$D$40+DCF!$D$41+DCF!$D$42-DCF!$D$43-DCF!$D$44)/DCF!$C$35</f>
        <v>2.1657251671864977</v>
      </c>
    </row>
    <row r="1179" spans="3:8" x14ac:dyDescent="0.35">
      <c r="C1179" s="8">
        <f t="shared" ca="1" si="91"/>
        <v>0.57665017651834449</v>
      </c>
      <c r="D1179" s="7">
        <f t="shared" ca="1" si="92"/>
        <v>8.8263891723550703E-2</v>
      </c>
      <c r="E1179" s="7">
        <f t="shared" ca="1" si="93"/>
        <v>0.7638709035145822</v>
      </c>
      <c r="F1179" s="7">
        <f t="shared" ca="1" si="94"/>
        <v>2.3127895569981231E-2</v>
      </c>
      <c r="G1179" s="7">
        <f t="shared" ca="1" si="90"/>
        <v>254.49451784515145</v>
      </c>
      <c r="H1179" s="7">
        <f ca="1">(G1179+DCF!$D$40+DCF!$D$41+DCF!$D$42-DCF!$D$43-DCF!$D$44)/DCF!$C$35</f>
        <v>2.0784598591553869</v>
      </c>
    </row>
    <row r="1180" spans="3:8" x14ac:dyDescent="0.35">
      <c r="C1180" s="8">
        <f t="shared" ca="1" si="91"/>
        <v>0.3578413484478401</v>
      </c>
      <c r="D1180" s="7">
        <f t="shared" ca="1" si="92"/>
        <v>8.322969826221209E-2</v>
      </c>
      <c r="E1180" s="7">
        <f t="shared" ca="1" si="93"/>
        <v>0.82828791285872894</v>
      </c>
      <c r="F1180" s="7">
        <f t="shared" ca="1" si="94"/>
        <v>2.4139759610028424E-2</v>
      </c>
      <c r="G1180" s="7">
        <f t="shared" ca="1" si="90"/>
        <v>280.49579627916603</v>
      </c>
      <c r="H1180" s="7">
        <f ca="1">(G1180+DCF!$D$40+DCF!$D$41+DCF!$D$42-DCF!$D$43-DCF!$D$44)/DCF!$C$35</f>
        <v>2.2252104993744553</v>
      </c>
    </row>
    <row r="1181" spans="3:8" x14ac:dyDescent="0.35">
      <c r="C1181" s="8">
        <f t="shared" ca="1" si="91"/>
        <v>0.31811401907469139</v>
      </c>
      <c r="D1181" s="7">
        <f t="shared" ca="1" si="92"/>
        <v>8.2414047873733923E-2</v>
      </c>
      <c r="E1181" s="7">
        <f t="shared" ca="1" si="93"/>
        <v>0.95424116955307248</v>
      </c>
      <c r="F1181" s="7">
        <f t="shared" ca="1" si="94"/>
        <v>2.6974811396063791E-2</v>
      </c>
      <c r="G1181" s="7">
        <f t="shared" ca="1" si="90"/>
        <v>295.60307236929094</v>
      </c>
      <c r="H1181" s="7">
        <f ca="1">(G1181+DCF!$D$40+DCF!$D$41+DCF!$D$42-DCF!$D$43-DCF!$D$44)/DCF!$C$35</f>
        <v>2.3104756313878028</v>
      </c>
    </row>
    <row r="1182" spans="3:8" x14ac:dyDescent="0.35">
      <c r="C1182" s="8">
        <f t="shared" ca="1" si="91"/>
        <v>0.68176410310427649</v>
      </c>
      <c r="D1182" s="7">
        <f t="shared" ca="1" si="92"/>
        <v>9.1154542697625324E-2</v>
      </c>
      <c r="E1182" s="7">
        <f t="shared" ca="1" si="93"/>
        <v>0.88955775748778965</v>
      </c>
      <c r="F1182" s="7">
        <f t="shared" ca="1" si="94"/>
        <v>2.530016505582993E-2</v>
      </c>
      <c r="G1182" s="7">
        <f t="shared" ca="1" si="90"/>
        <v>248.9030878944011</v>
      </c>
      <c r="H1182" s="7">
        <f ca="1">(G1182+DCF!$D$40+DCF!$D$41+DCF!$D$42-DCF!$D$43-DCF!$D$44)/DCF!$C$35</f>
        <v>2.0469019522203471</v>
      </c>
    </row>
    <row r="1183" spans="3:8" x14ac:dyDescent="0.35">
      <c r="C1183" s="8">
        <f t="shared" ca="1" si="91"/>
        <v>0.47845549515238317</v>
      </c>
      <c r="D1183" s="7">
        <f t="shared" ca="1" si="92"/>
        <v>8.5874418817157169E-2</v>
      </c>
      <c r="E1183" s="7">
        <f t="shared" ca="1" si="93"/>
        <v>0.77386040772666831</v>
      </c>
      <c r="F1183" s="7">
        <f t="shared" ca="1" si="94"/>
        <v>2.327482948508617E-2</v>
      </c>
      <c r="G1183" s="7">
        <f t="shared" ca="1" si="90"/>
        <v>265.15758919463724</v>
      </c>
      <c r="H1183" s="7">
        <f ca="1">(G1183+DCF!$D$40+DCF!$D$41+DCF!$D$42-DCF!$D$43-DCF!$D$44)/DCF!$C$35</f>
        <v>2.1386419979379006</v>
      </c>
    </row>
    <row r="1184" spans="3:8" x14ac:dyDescent="0.35">
      <c r="C1184" s="8">
        <f t="shared" ca="1" si="91"/>
        <v>0.56023005522955782</v>
      </c>
      <c r="D1184" s="7">
        <f t="shared" ca="1" si="92"/>
        <v>8.7846371440240018E-2</v>
      </c>
      <c r="E1184" s="7">
        <f t="shared" ca="1" si="93"/>
        <v>0.85291560779511644</v>
      </c>
      <c r="F1184" s="7">
        <f t="shared" ca="1" si="94"/>
        <v>2.4576267111944328E-2</v>
      </c>
      <c r="G1184" s="7">
        <f t="shared" ca="1" si="90"/>
        <v>260.52282155701005</v>
      </c>
      <c r="H1184" s="7">
        <f ca="1">(G1184+DCF!$D$40+DCF!$D$41+DCF!$D$42-DCF!$D$43-DCF!$D$44)/DCF!$C$35</f>
        <v>2.1124834719325545</v>
      </c>
    </row>
    <row r="1185" spans="3:8" x14ac:dyDescent="0.35">
      <c r="C1185" s="8">
        <f t="shared" ca="1" si="91"/>
        <v>0.65882542133008926</v>
      </c>
      <c r="D1185" s="7">
        <f t="shared" ca="1" si="92"/>
        <v>9.048716243608787E-2</v>
      </c>
      <c r="E1185" s="7">
        <f t="shared" ca="1" si="93"/>
        <v>0.35705205624124348</v>
      </c>
      <c r="F1185" s="7">
        <f t="shared" ca="1" si="94"/>
        <v>1.845046810823215E-2</v>
      </c>
      <c r="G1185" s="7">
        <f t="shared" ca="1" si="90"/>
        <v>234.10528535847232</v>
      </c>
      <c r="H1185" s="7">
        <f ca="1">(G1185+DCF!$D$40+DCF!$D$41+DCF!$D$42-DCF!$D$43-DCF!$D$44)/DCF!$C$35</f>
        <v>1.9633834820999678</v>
      </c>
    </row>
    <row r="1186" spans="3:8" x14ac:dyDescent="0.35">
      <c r="C1186" s="8">
        <f t="shared" ca="1" si="91"/>
        <v>0.47995754360019194</v>
      </c>
      <c r="D1186" s="7">
        <f t="shared" ca="1" si="92"/>
        <v>8.5909184709890257E-2</v>
      </c>
      <c r="E1186" s="7">
        <f t="shared" ca="1" si="93"/>
        <v>0.26657323738417049</v>
      </c>
      <c r="F1186" s="7">
        <f t="shared" ca="1" si="94"/>
        <v>1.7301687988186987E-2</v>
      </c>
      <c r="G1186" s="7">
        <f t="shared" ca="1" si="90"/>
        <v>247.92300156634673</v>
      </c>
      <c r="H1186" s="7">
        <f ca="1">(G1186+DCF!$D$40+DCF!$D$41+DCF!$D$42-DCF!$D$43-DCF!$D$44)/DCF!$C$35</f>
        <v>2.0413703666686236</v>
      </c>
    </row>
    <row r="1187" spans="3:8" x14ac:dyDescent="0.35">
      <c r="C1187" s="8">
        <f t="shared" ca="1" si="91"/>
        <v>0.62287467900575577</v>
      </c>
      <c r="D1187" s="7">
        <f t="shared" ca="1" si="92"/>
        <v>8.9484838332843278E-2</v>
      </c>
      <c r="E1187" s="7">
        <f t="shared" ca="1" si="93"/>
        <v>0.77888882865098863</v>
      </c>
      <c r="F1187" s="7">
        <f t="shared" ca="1" si="94"/>
        <v>2.3350019979744129E-2</v>
      </c>
      <c r="G1187" s="7">
        <f t="shared" ca="1" si="90"/>
        <v>250.17601656641514</v>
      </c>
      <c r="H1187" s="7">
        <f ca="1">(G1187+DCF!$D$40+DCF!$D$41+DCF!$D$42-DCF!$D$43-DCF!$D$44)/DCF!$C$35</f>
        <v>2.0540863334824198</v>
      </c>
    </row>
    <row r="1188" spans="3:8" x14ac:dyDescent="0.35">
      <c r="C1188" s="8">
        <f t="shared" ca="1" si="91"/>
        <v>0.33763490132940877</v>
      </c>
      <c r="D1188" s="7">
        <f t="shared" ca="1" si="92"/>
        <v>8.2811777363785255E-2</v>
      </c>
      <c r="E1188" s="7">
        <f t="shared" ca="1" si="93"/>
        <v>0.68706642902904191</v>
      </c>
      <c r="F1188" s="7">
        <f t="shared" ca="1" si="94"/>
        <v>2.2088823463340512E-2</v>
      </c>
      <c r="G1188" s="7">
        <f t="shared" ca="1" si="90"/>
        <v>275.39345916398952</v>
      </c>
      <c r="H1188" s="7">
        <f ca="1">(G1188+DCF!$D$40+DCF!$D$41+DCF!$D$42-DCF!$D$43-DCF!$D$44)/DCF!$C$35</f>
        <v>2.1964130215825119</v>
      </c>
    </row>
    <row r="1189" spans="3:8" x14ac:dyDescent="0.35">
      <c r="C1189" s="8">
        <f t="shared" ca="1" si="91"/>
        <v>3.4419357614179469E-2</v>
      </c>
      <c r="D1189" s="7">
        <f t="shared" ca="1" si="92"/>
        <v>7.4081540038424584E-2</v>
      </c>
      <c r="E1189" s="7">
        <f t="shared" ca="1" si="93"/>
        <v>0.25708393929010043</v>
      </c>
      <c r="F1189" s="7">
        <f t="shared" ca="1" si="94"/>
        <v>1.7170550038736226E-2</v>
      </c>
      <c r="G1189" s="7">
        <f t="shared" ca="1" si="90"/>
        <v>302.19576613899147</v>
      </c>
      <c r="H1189" s="7">
        <f ca="1">(G1189+DCF!$D$40+DCF!$D$41+DCF!$D$42-DCF!$D$43-DCF!$D$44)/DCF!$C$35</f>
        <v>2.347684649164643</v>
      </c>
    </row>
    <row r="1190" spans="3:8" x14ac:dyDescent="0.35">
      <c r="C1190" s="8">
        <f t="shared" ca="1" si="91"/>
        <v>0.12437634258832841</v>
      </c>
      <c r="D1190" s="7">
        <f t="shared" ca="1" si="92"/>
        <v>7.7758746665071043E-2</v>
      </c>
      <c r="E1190" s="7">
        <f t="shared" ca="1" si="93"/>
        <v>0.60292292972291783</v>
      </c>
      <c r="F1190" s="7">
        <f t="shared" ca="1" si="94"/>
        <v>2.1088467356542063E-2</v>
      </c>
      <c r="G1190" s="7">
        <f t="shared" ca="1" si="90"/>
        <v>297.58698547431527</v>
      </c>
      <c r="H1190" s="7">
        <f ca="1">(G1190+DCF!$D$40+DCF!$D$41+DCF!$D$42-DCF!$D$43-DCF!$D$44)/DCF!$C$35</f>
        <v>2.3216727930596863</v>
      </c>
    </row>
    <row r="1191" spans="3:8" x14ac:dyDescent="0.35">
      <c r="C1191" s="8">
        <f t="shared" ca="1" si="91"/>
        <v>0.50083298035267465</v>
      </c>
      <c r="D1191" s="7">
        <f t="shared" ca="1" si="92"/>
        <v>8.6397661261510231E-2</v>
      </c>
      <c r="E1191" s="7">
        <f t="shared" ca="1" si="93"/>
        <v>0.77802152598151875</v>
      </c>
      <c r="F1191" s="7">
        <f t="shared" ca="1" si="94"/>
        <v>2.333699055953721E-2</v>
      </c>
      <c r="G1191" s="7">
        <f t="shared" ca="1" si="90"/>
        <v>263.0394794209721</v>
      </c>
      <c r="H1191" s="7">
        <f ca="1">(G1191+DCF!$D$40+DCF!$D$41+DCF!$D$42-DCF!$D$43-DCF!$D$44)/DCF!$C$35</f>
        <v>2.1266874332372283</v>
      </c>
    </row>
    <row r="1192" spans="3:8" x14ac:dyDescent="0.35">
      <c r="C1192" s="8">
        <f t="shared" ca="1" si="91"/>
        <v>0.34866020075538129</v>
      </c>
      <c r="D1192" s="7">
        <f t="shared" ca="1" si="92"/>
        <v>8.3039005657116527E-2</v>
      </c>
      <c r="E1192" s="7">
        <f t="shared" ca="1" si="93"/>
        <v>0.18788085748621164</v>
      </c>
      <c r="F1192" s="7">
        <f t="shared" ca="1" si="94"/>
        <v>1.6129940578606151E-2</v>
      </c>
      <c r="G1192" s="7">
        <f t="shared" ca="1" si="90"/>
        <v>256.07313390134709</v>
      </c>
      <c r="H1192" s="7">
        <f ca="1">(G1192+DCF!$D$40+DCF!$D$41+DCF!$D$42-DCF!$D$43-DCF!$D$44)/DCF!$C$35</f>
        <v>2.0873695332506323</v>
      </c>
    </row>
    <row r="1193" spans="3:8" x14ac:dyDescent="0.35">
      <c r="C1193" s="8">
        <f t="shared" ca="1" si="91"/>
        <v>0.27729091383893856</v>
      </c>
      <c r="D1193" s="7">
        <f t="shared" ca="1" si="92"/>
        <v>8.1584852277782671E-2</v>
      </c>
      <c r="E1193" s="7">
        <f t="shared" ca="1" si="93"/>
        <v>0.5732742285265725</v>
      </c>
      <c r="F1193" s="7">
        <f t="shared" ca="1" si="94"/>
        <v>2.0761755886821054E-2</v>
      </c>
      <c r="G1193" s="7">
        <f t="shared" ca="1" si="90"/>
        <v>276.74448583193396</v>
      </c>
      <c r="H1193" s="7">
        <f ca="1">(G1193+DCF!$D$40+DCF!$D$41+DCF!$D$42-DCF!$D$43-DCF!$D$44)/DCF!$C$35</f>
        <v>2.2040381862057452</v>
      </c>
    </row>
    <row r="1194" spans="3:8" x14ac:dyDescent="0.35">
      <c r="C1194" s="8">
        <f t="shared" ca="1" si="91"/>
        <v>0.75916406421096438</v>
      </c>
      <c r="D1194" s="7">
        <f t="shared" ca="1" si="92"/>
        <v>9.3605705128290403E-2</v>
      </c>
      <c r="E1194" s="7">
        <f t="shared" ca="1" si="93"/>
        <v>0.2710598163453769</v>
      </c>
      <c r="F1194" s="7">
        <f t="shared" ca="1" si="94"/>
        <v>1.7362877377022884E-2</v>
      </c>
      <c r="G1194" s="7">
        <f t="shared" ca="1" si="90"/>
        <v>221.56472399961456</v>
      </c>
      <c r="H1194" s="7">
        <f ca="1">(G1194+DCF!$D$40+DCF!$D$41+DCF!$D$42-DCF!$D$43-DCF!$D$44)/DCF!$C$35</f>
        <v>1.892604831242886</v>
      </c>
    </row>
    <row r="1195" spans="3:8" x14ac:dyDescent="0.35">
      <c r="C1195" s="8">
        <f t="shared" ca="1" si="91"/>
        <v>0.82445800043371331</v>
      </c>
      <c r="D1195" s="7">
        <f t="shared" ca="1" si="92"/>
        <v>9.6003397858195158E-2</v>
      </c>
      <c r="E1195" s="7">
        <f t="shared" ca="1" si="93"/>
        <v>0.65868353958176029</v>
      </c>
      <c r="F1195" s="7">
        <f t="shared" ca="1" si="94"/>
        <v>2.1737839744736975E-2</v>
      </c>
      <c r="G1195" s="7">
        <f t="shared" ca="1" si="90"/>
        <v>223.07988113288764</v>
      </c>
      <c r="H1195" s="7">
        <f ca="1">(G1195+DCF!$D$40+DCF!$D$41+DCF!$D$42-DCF!$D$43-DCF!$D$44)/DCF!$C$35</f>
        <v>1.901156344581147</v>
      </c>
    </row>
    <row r="1196" spans="3:8" x14ac:dyDescent="0.35">
      <c r="C1196" s="8">
        <f t="shared" ca="1" si="91"/>
        <v>0.93112898377080766</v>
      </c>
      <c r="D1196" s="7">
        <f t="shared" ca="1" si="92"/>
        <v>0.1012330133961675</v>
      </c>
      <c r="E1196" s="7">
        <f t="shared" ca="1" si="93"/>
        <v>0.56357454292916564</v>
      </c>
      <c r="F1196" s="7">
        <f t="shared" ca="1" si="94"/>
        <v>2.0657350942362929E-2</v>
      </c>
      <c r="G1196" s="7">
        <f t="shared" ca="1" si="90"/>
        <v>205.63125683110329</v>
      </c>
      <c r="H1196" s="7">
        <f ca="1">(G1196+DCF!$D$40+DCF!$D$41+DCF!$D$42-DCF!$D$43-DCF!$D$44)/DCF!$C$35</f>
        <v>1.8026766950621023</v>
      </c>
    </row>
    <row r="1197" spans="3:8" x14ac:dyDescent="0.35">
      <c r="C1197" s="8">
        <f t="shared" ca="1" si="91"/>
        <v>0.43225148569591898</v>
      </c>
      <c r="D1197" s="7">
        <f t="shared" ca="1" si="92"/>
        <v>8.4828441805018223E-2</v>
      </c>
      <c r="E1197" s="7">
        <f t="shared" ca="1" si="93"/>
        <v>0.73353015082785533</v>
      </c>
      <c r="F1197" s="7">
        <f t="shared" ca="1" si="94"/>
        <v>2.2699728098595988E-2</v>
      </c>
      <c r="G1197" s="7">
        <f t="shared" ca="1" si="90"/>
        <v>268.03373737233716</v>
      </c>
      <c r="H1197" s="7">
        <f ca="1">(G1197+DCF!$D$40+DCF!$D$41+DCF!$D$42-DCF!$D$43-DCF!$D$44)/DCF!$C$35</f>
        <v>2.1548749146198056</v>
      </c>
    </row>
    <row r="1198" spans="3:8" x14ac:dyDescent="0.35">
      <c r="C1198" s="8">
        <f t="shared" ca="1" si="91"/>
        <v>0.61141012505639813</v>
      </c>
      <c r="D1198" s="7">
        <f t="shared" ca="1" si="92"/>
        <v>8.917534392992145E-2</v>
      </c>
      <c r="E1198" s="7">
        <f t="shared" ca="1" si="93"/>
        <v>0.67484203682896393</v>
      </c>
      <c r="F1198" s="7">
        <f t="shared" ca="1" si="94"/>
        <v>2.1935783197718009E-2</v>
      </c>
      <c r="G1198" s="7">
        <f t="shared" ca="1" si="90"/>
        <v>247.55863986681851</v>
      </c>
      <c r="H1198" s="7">
        <f ca="1">(G1198+DCF!$D$40+DCF!$D$41+DCF!$D$42-DCF!$D$43-DCF!$D$44)/DCF!$C$35</f>
        <v>2.0393139172977679</v>
      </c>
    </row>
    <row r="1199" spans="3:8" x14ac:dyDescent="0.35">
      <c r="C1199" s="8">
        <f t="shared" ca="1" si="91"/>
        <v>0.98015971237932398</v>
      </c>
      <c r="D1199" s="7">
        <f t="shared" ca="1" si="92"/>
        <v>0.10529449673417662</v>
      </c>
      <c r="E1199" s="7">
        <f t="shared" ca="1" si="93"/>
        <v>0.49172560315506342</v>
      </c>
      <c r="F1199" s="7">
        <f t="shared" ca="1" si="94"/>
        <v>1.9916910841134585E-2</v>
      </c>
      <c r="G1199" s="7">
        <f t="shared" ca="1" si="90"/>
        <v>193.99806017130078</v>
      </c>
      <c r="H1199" s="7">
        <f ca="1">(G1199+DCF!$D$40+DCF!$D$41+DCF!$D$42-DCF!$D$43-DCF!$D$44)/DCF!$C$35</f>
        <v>1.7370191904915948</v>
      </c>
    </row>
    <row r="1200" spans="3:8" x14ac:dyDescent="0.35">
      <c r="C1200" s="8">
        <f t="shared" ca="1" si="91"/>
        <v>0.13860561080255374</v>
      </c>
      <c r="D1200" s="7">
        <f t="shared" ca="1" si="92"/>
        <v>7.8190550386172841E-2</v>
      </c>
      <c r="E1200" s="7">
        <f t="shared" ca="1" si="93"/>
        <v>0.76055934667291425</v>
      </c>
      <c r="F1200" s="7">
        <f t="shared" ca="1" si="94"/>
        <v>2.3079874953050548E-2</v>
      </c>
      <c r="G1200" s="7">
        <f t="shared" ca="1" si="90"/>
        <v>303.34359420407179</v>
      </c>
      <c r="H1200" s="7">
        <f ca="1">(G1200+DCF!$D$40+DCF!$D$41+DCF!$D$42-DCF!$D$43-DCF!$D$44)/DCF!$C$35</f>
        <v>2.3541629653689569</v>
      </c>
    </row>
    <row r="1201" spans="3:8" x14ac:dyDescent="0.35">
      <c r="C1201" s="8">
        <f t="shared" ca="1" si="91"/>
        <v>0.65296158207213539</v>
      </c>
      <c r="D1201" s="7">
        <f t="shared" ca="1" si="92"/>
        <v>9.032019119992532E-2</v>
      </c>
      <c r="E1201" s="7">
        <f t="shared" ca="1" si="93"/>
        <v>0.78026438315971791</v>
      </c>
      <c r="F1201" s="7">
        <f t="shared" ca="1" si="94"/>
        <v>2.3370737343561019E-2</v>
      </c>
      <c r="G1201" s="7">
        <f t="shared" ca="1" si="90"/>
        <v>246.94555744582647</v>
      </c>
      <c r="H1201" s="7">
        <f ca="1">(G1201+DCF!$D$40+DCF!$D$41+DCF!$D$42-DCF!$D$43-DCF!$D$44)/DCF!$C$35</f>
        <v>2.0358536936777654</v>
      </c>
    </row>
    <row r="1202" spans="3:8" x14ac:dyDescent="0.35">
      <c r="C1202" s="8">
        <f t="shared" ca="1" si="91"/>
        <v>0.4917799704388045</v>
      </c>
      <c r="D1202" s="7">
        <f t="shared" ca="1" si="92"/>
        <v>8.6184594208993756E-2</v>
      </c>
      <c r="E1202" s="7">
        <f t="shared" ca="1" si="93"/>
        <v>0.82696621003810156</v>
      </c>
      <c r="F1202" s="7">
        <f t="shared" ca="1" si="94"/>
        <v>2.4117249113520131E-2</v>
      </c>
      <c r="G1202" s="7">
        <f t="shared" ca="1" si="90"/>
        <v>266.43088088646095</v>
      </c>
      <c r="H1202" s="7">
        <f ca="1">(G1202+DCF!$D$40+DCF!$D$41+DCF!$D$42-DCF!$D$43-DCF!$D$44)/DCF!$C$35</f>
        <v>2.1458284280757476</v>
      </c>
    </row>
    <row r="1203" spans="3:8" x14ac:dyDescent="0.35">
      <c r="C1203" s="8">
        <f t="shared" ca="1" si="91"/>
        <v>0.29028994322372192</v>
      </c>
      <c r="D1203" s="7">
        <f t="shared" ca="1" si="92"/>
        <v>8.1853283617642894E-2</v>
      </c>
      <c r="E1203" s="7">
        <f t="shared" ca="1" si="93"/>
        <v>0.92251370110106723</v>
      </c>
      <c r="F1203" s="7">
        <f t="shared" ca="1" si="94"/>
        <v>2.6063344086691528E-2</v>
      </c>
      <c r="G1203" s="7">
        <f t="shared" ca="1" si="90"/>
        <v>295.01315854811173</v>
      </c>
      <c r="H1203" s="7">
        <f ca="1">(G1203+DCF!$D$40+DCF!$D$41+DCF!$D$42-DCF!$D$43-DCF!$D$44)/DCF!$C$35</f>
        <v>2.3071461708325529</v>
      </c>
    </row>
    <row r="1204" spans="3:8" x14ac:dyDescent="0.35">
      <c r="C1204" s="8">
        <f t="shared" ca="1" si="91"/>
        <v>0.31346574391419679</v>
      </c>
      <c r="D1204" s="7">
        <f t="shared" ca="1" si="92"/>
        <v>8.232018371101868E-2</v>
      </c>
      <c r="E1204" s="7">
        <f t="shared" ca="1" si="93"/>
        <v>0.74438600537380961</v>
      </c>
      <c r="F1204" s="7">
        <f t="shared" ca="1" si="94"/>
        <v>2.2849979096167754E-2</v>
      </c>
      <c r="G1204" s="7">
        <f t="shared" ca="1" si="90"/>
        <v>280.41811776303024</v>
      </c>
      <c r="H1204" s="7">
        <f ca="1">(G1204+DCF!$D$40+DCF!$D$41+DCF!$D$42-DCF!$D$43-DCF!$D$44)/DCF!$C$35</f>
        <v>2.224772083547975</v>
      </c>
    </row>
    <row r="1205" spans="3:8" x14ac:dyDescent="0.35">
      <c r="C1205" s="8">
        <f t="shared" ca="1" si="91"/>
        <v>0.47741666845782071</v>
      </c>
      <c r="D1205" s="7">
        <f t="shared" ca="1" si="92"/>
        <v>8.5850403771469144E-2</v>
      </c>
      <c r="E1205" s="7">
        <f t="shared" ca="1" si="93"/>
        <v>0.83790912094302417</v>
      </c>
      <c r="F1205" s="7">
        <f t="shared" ca="1" si="94"/>
        <v>2.4306303853260595E-2</v>
      </c>
      <c r="G1205" s="7">
        <f t="shared" ca="1" si="90"/>
        <v>268.55663982134195</v>
      </c>
      <c r="H1205" s="7">
        <f ca="1">(G1205+DCF!$D$40+DCF!$D$41+DCF!$D$42-DCF!$D$43-DCF!$D$44)/DCF!$C$35</f>
        <v>2.1578261644730889</v>
      </c>
    </row>
    <row r="1206" spans="3:8" x14ac:dyDescent="0.35">
      <c r="C1206" s="8">
        <f t="shared" ca="1" si="91"/>
        <v>0.25558155687149264</v>
      </c>
      <c r="D1206" s="7">
        <f t="shared" ca="1" si="92"/>
        <v>8.1122116413965578E-2</v>
      </c>
      <c r="E1206" s="7">
        <f t="shared" ca="1" si="93"/>
        <v>0.96954760582557598</v>
      </c>
      <c r="F1206" s="7">
        <f t="shared" ca="1" si="94"/>
        <v>2.7532110449212766E-2</v>
      </c>
      <c r="G1206" s="7">
        <f t="shared" ca="1" si="90"/>
        <v>305.38480018212363</v>
      </c>
      <c r="H1206" s="7">
        <f ca="1">(G1206+DCF!$D$40+DCF!$D$41+DCF!$D$42-DCF!$D$43-DCF!$D$44)/DCF!$C$35</f>
        <v>2.3656834867486376</v>
      </c>
    </row>
    <row r="1207" spans="3:8" x14ac:dyDescent="0.35">
      <c r="C1207" s="8">
        <f t="shared" ca="1" si="91"/>
        <v>0.39460531355463835</v>
      </c>
      <c r="D1207" s="7">
        <f t="shared" ca="1" si="92"/>
        <v>8.4007299677158906E-2</v>
      </c>
      <c r="E1207" s="7">
        <f t="shared" ca="1" si="93"/>
        <v>0.99873203006031086</v>
      </c>
      <c r="F1207" s="7">
        <f t="shared" ca="1" si="94"/>
        <v>2.9496418836792094E-2</v>
      </c>
      <c r="G1207" s="7">
        <f t="shared" ca="1" si="90"/>
        <v>297.06115226183476</v>
      </c>
      <c r="H1207" s="7">
        <f ca="1">(G1207+DCF!$D$40+DCF!$D$41+DCF!$D$42-DCF!$D$43-DCF!$D$44)/DCF!$C$35</f>
        <v>2.3187050020421873</v>
      </c>
    </row>
    <row r="1208" spans="3:8" x14ac:dyDescent="0.35">
      <c r="C1208" s="8">
        <f t="shared" ca="1" si="91"/>
        <v>0.2689068427161988</v>
      </c>
      <c r="D1208" s="7">
        <f t="shared" ca="1" si="92"/>
        <v>8.1408370254976839E-2</v>
      </c>
      <c r="E1208" s="7">
        <f t="shared" ca="1" si="93"/>
        <v>0.96953392467570443</v>
      </c>
      <c r="F1208" s="7">
        <f t="shared" ca="1" si="94"/>
        <v>2.7531556145086723E-2</v>
      </c>
      <c r="G1208" s="7">
        <f t="shared" ca="1" si="90"/>
        <v>303.69238381639093</v>
      </c>
      <c r="H1208" s="7">
        <f ca="1">(G1208+DCF!$D$40+DCF!$D$41+DCF!$D$42-DCF!$D$43-DCF!$D$44)/DCF!$C$35</f>
        <v>2.3561315262241274</v>
      </c>
    </row>
    <row r="1209" spans="3:8" x14ac:dyDescent="0.35">
      <c r="C1209" s="8">
        <f t="shared" ca="1" si="91"/>
        <v>0.26764563528133345</v>
      </c>
      <c r="D1209" s="7">
        <f t="shared" ca="1" si="92"/>
        <v>8.1381585455294239E-2</v>
      </c>
      <c r="E1209" s="7">
        <f t="shared" ca="1" si="93"/>
        <v>0.83283575509814523</v>
      </c>
      <c r="F1209" s="7">
        <f t="shared" ca="1" si="94"/>
        <v>2.4217885423102464E-2</v>
      </c>
      <c r="G1209" s="7">
        <f t="shared" ca="1" si="90"/>
        <v>290.28668402957027</v>
      </c>
      <c r="H1209" s="7">
        <f ca="1">(G1209+DCF!$D$40+DCF!$D$41+DCF!$D$42-DCF!$D$43-DCF!$D$44)/DCF!$C$35</f>
        <v>2.2804700532202857</v>
      </c>
    </row>
    <row r="1210" spans="3:8" x14ac:dyDescent="0.35">
      <c r="C1210" s="8">
        <f t="shared" ca="1" si="91"/>
        <v>0.93791195616551781</v>
      </c>
      <c r="D1210" s="7">
        <f t="shared" ca="1" si="92"/>
        <v>0.10167592305902437</v>
      </c>
      <c r="E1210" s="7">
        <f t="shared" ca="1" si="93"/>
        <v>0.90658584917734619</v>
      </c>
      <c r="F1210" s="7">
        <f t="shared" ca="1" si="94"/>
        <v>2.5677636044416113E-2</v>
      </c>
      <c r="G1210" s="7">
        <f t="shared" ca="1" si="90"/>
        <v>213.62301482740259</v>
      </c>
      <c r="H1210" s="7">
        <f ca="1">(G1210+DCF!$D$40+DCF!$D$41+DCF!$D$42-DCF!$D$43-DCF!$D$44)/DCF!$C$35</f>
        <v>1.8477820003804186</v>
      </c>
    </row>
    <row r="1211" spans="3:8" x14ac:dyDescent="0.35">
      <c r="C1211" s="8">
        <f t="shared" ca="1" si="91"/>
        <v>0.45719489080952302</v>
      </c>
      <c r="D1211" s="7">
        <f t="shared" ca="1" si="92"/>
        <v>8.5387594553628612E-2</v>
      </c>
      <c r="E1211" s="7">
        <f t="shared" ca="1" si="93"/>
        <v>0.21997453950263324</v>
      </c>
      <c r="F1211" s="7">
        <f t="shared" ca="1" si="94"/>
        <v>1.6632865738165265E-2</v>
      </c>
      <c r="G1211" s="7">
        <f t="shared" ca="1" si="90"/>
        <v>248.17541418931441</v>
      </c>
      <c r="H1211" s="7">
        <f ca="1">(G1211+DCF!$D$40+DCF!$D$41+DCF!$D$42-DCF!$D$43-DCF!$D$44)/DCF!$C$35</f>
        <v>2.0427949779281773</v>
      </c>
    </row>
    <row r="1212" spans="3:8" x14ac:dyDescent="0.35">
      <c r="C1212" s="8">
        <f t="shared" ca="1" si="91"/>
        <v>0.91925029060332397</v>
      </c>
      <c r="D1212" s="7">
        <f t="shared" ca="1" si="92"/>
        <v>0.1005070196625775</v>
      </c>
      <c r="E1212" s="7">
        <f t="shared" ca="1" si="93"/>
        <v>0.12645484044560329</v>
      </c>
      <c r="F1212" s="7">
        <f t="shared" ca="1" si="94"/>
        <v>1.5029012635609565E-2</v>
      </c>
      <c r="G1212" s="7">
        <f t="shared" ca="1" si="90"/>
        <v>198.26946624935812</v>
      </c>
      <c r="H1212" s="7">
        <f ca="1">(G1212+DCF!$D$40+DCF!$D$41+DCF!$D$42-DCF!$D$43-DCF!$D$44)/DCF!$C$35</f>
        <v>1.7611269118938826</v>
      </c>
    </row>
    <row r="1213" spans="3:8" x14ac:dyDescent="0.35">
      <c r="C1213" s="8">
        <f t="shared" ca="1" si="91"/>
        <v>0.1451714335411306</v>
      </c>
      <c r="D1213" s="7">
        <f t="shared" ca="1" si="92"/>
        <v>7.8382301225433701E-2</v>
      </c>
      <c r="E1213" s="7">
        <f t="shared" ca="1" si="93"/>
        <v>0.2916314165019428</v>
      </c>
      <c r="F1213" s="7">
        <f t="shared" ca="1" si="94"/>
        <v>1.7637164611319346E-2</v>
      </c>
      <c r="G1213" s="7">
        <f t="shared" ca="1" si="90"/>
        <v>281.48725017931952</v>
      </c>
      <c r="H1213" s="7">
        <f ca="1">(G1213+DCF!$D$40+DCF!$D$41+DCF!$D$42-DCF!$D$43-DCF!$D$44)/DCF!$C$35</f>
        <v>2.2308062432516058</v>
      </c>
    </row>
    <row r="1214" spans="3:8" x14ac:dyDescent="0.35">
      <c r="C1214" s="8">
        <f t="shared" ca="1" si="91"/>
        <v>9.6482963107223596E-2</v>
      </c>
      <c r="D1214" s="7">
        <f t="shared" ca="1" si="92"/>
        <v>7.6833575502172805E-2</v>
      </c>
      <c r="E1214" s="7">
        <f t="shared" ca="1" si="93"/>
        <v>0.74444850333471335</v>
      </c>
      <c r="F1214" s="7">
        <f t="shared" ca="1" si="94"/>
        <v>2.2850853244403405E-2</v>
      </c>
      <c r="G1214" s="7">
        <f t="shared" ca="1" si="90"/>
        <v>310.33316353758619</v>
      </c>
      <c r="H1214" s="7">
        <f ca="1">(G1214+DCF!$D$40+DCF!$D$41+DCF!$D$42-DCF!$D$43-DCF!$D$44)/DCF!$C$35</f>
        <v>2.3936119400473315</v>
      </c>
    </row>
    <row r="1215" spans="3:8" x14ac:dyDescent="0.35">
      <c r="C1215" s="8">
        <f t="shared" ca="1" si="91"/>
        <v>0.59401751385322965</v>
      </c>
      <c r="D1215" s="7">
        <f t="shared" ca="1" si="92"/>
        <v>8.8714407348166324E-2</v>
      </c>
      <c r="E1215" s="7">
        <f t="shared" ca="1" si="93"/>
        <v>0.55038943678378771</v>
      </c>
      <c r="F1215" s="7">
        <f t="shared" ca="1" si="94"/>
        <v>2.0517272932154884E-2</v>
      </c>
      <c r="G1215" s="7">
        <f t="shared" ca="1" si="90"/>
        <v>245.59285906086089</v>
      </c>
      <c r="H1215" s="7">
        <f ca="1">(G1215+DCF!$D$40+DCF!$D$41+DCF!$D$42-DCF!$D$43-DCF!$D$44)/DCF!$C$35</f>
        <v>2.0282190939206504</v>
      </c>
    </row>
    <row r="1216" spans="3:8" x14ac:dyDescent="0.35">
      <c r="C1216" s="8">
        <f t="shared" ca="1" si="91"/>
        <v>0.30523956778306971</v>
      </c>
      <c r="D1216" s="7">
        <f t="shared" ca="1" si="92"/>
        <v>8.2154845262521994E-2</v>
      </c>
      <c r="E1216" s="7">
        <f t="shared" ca="1" si="93"/>
        <v>0.39185054900160532</v>
      </c>
      <c r="F1216" s="7">
        <f t="shared" ca="1" si="94"/>
        <v>1.8852689410587105E-2</v>
      </c>
      <c r="G1216" s="7">
        <f t="shared" ca="1" si="90"/>
        <v>267.87999853300221</v>
      </c>
      <c r="H1216" s="7">
        <f ca="1">(G1216+DCF!$D$40+DCF!$D$41+DCF!$D$42-DCF!$D$43-DCF!$D$44)/DCF!$C$35</f>
        <v>2.1540072160119776</v>
      </c>
    </row>
    <row r="1217" spans="3:8" x14ac:dyDescent="0.35">
      <c r="C1217" s="8">
        <f t="shared" ca="1" si="91"/>
        <v>0.39071308039946939</v>
      </c>
      <c r="D1217" s="7">
        <f t="shared" ca="1" si="92"/>
        <v>8.3923876778282558E-2</v>
      </c>
      <c r="E1217" s="7">
        <f t="shared" ca="1" si="93"/>
        <v>0.12682628792576767</v>
      </c>
      <c r="F1217" s="7">
        <f t="shared" ca="1" si="94"/>
        <v>1.5036393311205305E-2</v>
      </c>
      <c r="G1217" s="7">
        <f t="shared" ca="1" si="90"/>
        <v>249.62278324153877</v>
      </c>
      <c r="H1217" s="7">
        <f ca="1">(G1217+DCF!$D$40+DCF!$D$41+DCF!$D$42-DCF!$D$43-DCF!$D$44)/DCF!$C$35</f>
        <v>2.0509638968367692</v>
      </c>
    </row>
    <row r="1218" spans="3:8" x14ac:dyDescent="0.35">
      <c r="C1218" s="8">
        <f t="shared" ca="1" si="91"/>
        <v>0.5794433837543036</v>
      </c>
      <c r="D1218" s="7">
        <f t="shared" ca="1" si="92"/>
        <v>8.8335716403947329E-2</v>
      </c>
      <c r="E1218" s="7">
        <f t="shared" ca="1" si="93"/>
        <v>0.966135800643665</v>
      </c>
      <c r="F1218" s="7">
        <f t="shared" ca="1" si="94"/>
        <v>2.7397531965370755E-2</v>
      </c>
      <c r="G1218" s="7">
        <f t="shared" ca="1" si="90"/>
        <v>267.22671984718136</v>
      </c>
      <c r="H1218" s="7">
        <f ca="1">(G1218+DCF!$D$40+DCF!$D$41+DCF!$D$42-DCF!$D$43-DCF!$D$44)/DCF!$C$35</f>
        <v>2.1503201255625992</v>
      </c>
    </row>
    <row r="1219" spans="3:8" x14ac:dyDescent="0.35">
      <c r="C1219" s="8">
        <f t="shared" ca="1" si="91"/>
        <v>0.93216837240981498</v>
      </c>
      <c r="D1219" s="7">
        <f t="shared" ca="1" si="92"/>
        <v>0.10129941976701287</v>
      </c>
      <c r="E1219" s="7">
        <f t="shared" ca="1" si="93"/>
        <v>0.83598297672405808</v>
      </c>
      <c r="F1219" s="7">
        <f t="shared" ca="1" si="94"/>
        <v>2.4272574343111177E-2</v>
      </c>
      <c r="G1219" s="7">
        <f t="shared" ca="1" si="90"/>
        <v>212.02343264913867</v>
      </c>
      <c r="H1219" s="7">
        <f ca="1">(G1219+DCF!$D$40+DCF!$D$41+DCF!$D$42-DCF!$D$43-DCF!$D$44)/DCF!$C$35</f>
        <v>1.8387539939560822</v>
      </c>
    </row>
    <row r="1220" spans="3:8" x14ac:dyDescent="0.35">
      <c r="C1220" s="8">
        <f t="shared" ca="1" si="91"/>
        <v>0.28501413128467157</v>
      </c>
      <c r="D1220" s="7">
        <f t="shared" ca="1" si="92"/>
        <v>8.1745077247161096E-2</v>
      </c>
      <c r="E1220" s="7">
        <f t="shared" ca="1" si="93"/>
        <v>0.61918926170173127</v>
      </c>
      <c r="F1220" s="7">
        <f t="shared" ca="1" si="94"/>
        <v>2.1272907261885333E-2</v>
      </c>
      <c r="G1220" s="7">
        <f t="shared" ca="1" si="90"/>
        <v>277.72275671252885</v>
      </c>
      <c r="H1220" s="7">
        <f ca="1">(G1220+DCF!$D$40+DCF!$D$41+DCF!$D$42-DCF!$D$43-DCF!$D$44)/DCF!$C$35</f>
        <v>2.2095595254121729</v>
      </c>
    </row>
    <row r="1221" spans="3:8" x14ac:dyDescent="0.35">
      <c r="C1221" s="8">
        <f t="shared" ca="1" si="91"/>
        <v>0.21012519252960338</v>
      </c>
      <c r="D1221" s="7">
        <f t="shared" ca="1" si="92"/>
        <v>8.0084671198622601E-2</v>
      </c>
      <c r="E1221" s="7">
        <f t="shared" ca="1" si="93"/>
        <v>0.51333747389014184</v>
      </c>
      <c r="F1221" s="7">
        <f t="shared" ca="1" si="94"/>
        <v>2.0134276244391819E-2</v>
      </c>
      <c r="G1221" s="7">
        <f t="shared" ca="1" si="90"/>
        <v>281.8657156426068</v>
      </c>
      <c r="H1221" s="7">
        <f ca="1">(G1221+DCF!$D$40+DCF!$D$41+DCF!$D$42-DCF!$D$43-DCF!$D$44)/DCF!$C$35</f>
        <v>2.2329422939530805</v>
      </c>
    </row>
    <row r="1222" spans="3:8" x14ac:dyDescent="0.35">
      <c r="C1222" s="8">
        <f t="shared" ca="1" si="91"/>
        <v>0.67538255033717443</v>
      </c>
      <c r="D1222" s="7">
        <f t="shared" ca="1" si="92"/>
        <v>9.0966527541625167E-2</v>
      </c>
      <c r="E1222" s="7">
        <f t="shared" ca="1" si="93"/>
        <v>0.51171673652243754</v>
      </c>
      <c r="F1222" s="7">
        <f t="shared" ca="1" si="94"/>
        <v>2.0117861937034451E-2</v>
      </c>
      <c r="G1222" s="7">
        <f t="shared" ca="1" si="90"/>
        <v>236.34135132566391</v>
      </c>
      <c r="H1222" s="7">
        <f ca="1">(G1222+DCF!$D$40+DCF!$D$41+DCF!$D$42-DCF!$D$43-DCF!$D$44)/DCF!$C$35</f>
        <v>1.9760037889471944</v>
      </c>
    </row>
    <row r="1223" spans="3:8" x14ac:dyDescent="0.35">
      <c r="C1223" s="8">
        <f t="shared" ca="1" si="91"/>
        <v>0.44658490340488288</v>
      </c>
      <c r="D1223" s="7">
        <f t="shared" ca="1" si="92"/>
        <v>8.5148214394129534E-2</v>
      </c>
      <c r="E1223" s="7">
        <f t="shared" ca="1" si="93"/>
        <v>0.31624967353668132</v>
      </c>
      <c r="F1223" s="7">
        <f t="shared" ca="1" si="94"/>
        <v>1.7952982755377773E-2</v>
      </c>
      <c r="G1223" s="7">
        <f t="shared" ca="1" si="90"/>
        <v>252.6331787753125</v>
      </c>
      <c r="H1223" s="7">
        <f ca="1">(G1223+DCF!$D$40+DCF!$D$41+DCF!$D$42-DCF!$D$43-DCF!$D$44)/DCF!$C$35</f>
        <v>2.0679545026262134</v>
      </c>
    </row>
    <row r="1224" spans="3:8" x14ac:dyDescent="0.35">
      <c r="C1224" s="8">
        <f t="shared" ca="1" si="91"/>
        <v>0.4213081059989896</v>
      </c>
      <c r="D1224" s="7">
        <f t="shared" ca="1" si="92"/>
        <v>8.4587008170915273E-2</v>
      </c>
      <c r="E1224" s="7">
        <f t="shared" ca="1" si="93"/>
        <v>0.38501551922029353</v>
      </c>
      <c r="F1224" s="7">
        <f t="shared" ca="1" si="94"/>
        <v>1.8775141243538972E-2</v>
      </c>
      <c r="G1224" s="7">
        <f t="shared" ca="1" si="90"/>
        <v>257.20567943360913</v>
      </c>
      <c r="H1224" s="7">
        <f ca="1">(G1224+DCF!$D$40+DCF!$D$41+DCF!$D$42-DCF!$D$43-DCF!$D$44)/DCF!$C$35</f>
        <v>2.0937615951778366</v>
      </c>
    </row>
    <row r="1225" spans="3:8" x14ac:dyDescent="0.35">
      <c r="C1225" s="8">
        <f t="shared" ca="1" si="91"/>
        <v>0.47128802950328874</v>
      </c>
      <c r="D1225" s="7">
        <f t="shared" ca="1" si="92"/>
        <v>8.5709208348134697E-2</v>
      </c>
      <c r="E1225" s="7">
        <f t="shared" ca="1" si="93"/>
        <v>0.41172774463729445</v>
      </c>
      <c r="F1225" s="7">
        <f t="shared" ca="1" si="94"/>
        <v>1.9074444827506469E-2</v>
      </c>
      <c r="G1225" s="7">
        <f t="shared" ca="1" si="90"/>
        <v>253.47515453449441</v>
      </c>
      <c r="H1225" s="7">
        <f ca="1">(G1225+DCF!$D$40+DCF!$D$41+DCF!$D$42-DCF!$D$43-DCF!$D$44)/DCF!$C$35</f>
        <v>2.0727065951828334</v>
      </c>
    </row>
    <row r="1226" spans="3:8" x14ac:dyDescent="0.35">
      <c r="C1226" s="8">
        <f t="shared" ca="1" si="91"/>
        <v>0.49799683376145287</v>
      </c>
      <c r="D1226" s="7">
        <f t="shared" ca="1" si="92"/>
        <v>8.633070483680981E-2</v>
      </c>
      <c r="E1226" s="7">
        <f t="shared" ca="1" si="93"/>
        <v>0.58142803388358588</v>
      </c>
      <c r="F1226" s="7">
        <f t="shared" ca="1" si="94"/>
        <v>2.0850443003987418E-2</v>
      </c>
      <c r="G1226" s="7">
        <f t="shared" ca="1" si="90"/>
        <v>255.94332044035752</v>
      </c>
      <c r="H1226" s="7">
        <f ca="1">(G1226+DCF!$D$40+DCF!$D$41+DCF!$D$42-DCF!$D$43-DCF!$D$44)/DCF!$C$35</f>
        <v>2.0866368689488515</v>
      </c>
    </row>
    <row r="1227" spans="3:8" x14ac:dyDescent="0.35">
      <c r="C1227" s="8">
        <f t="shared" ca="1" si="91"/>
        <v>0.85807731989989933</v>
      </c>
      <c r="D1227" s="7">
        <f t="shared" ca="1" si="92"/>
        <v>9.7414861502879188E-2</v>
      </c>
      <c r="E1227" s="7">
        <f t="shared" ca="1" si="93"/>
        <v>0.50835941885190528</v>
      </c>
      <c r="F1227" s="7">
        <f t="shared" ca="1" si="94"/>
        <v>2.0083946539594548E-2</v>
      </c>
      <c r="G1227" s="7">
        <f t="shared" ca="1" si="90"/>
        <v>215.41166178396708</v>
      </c>
      <c r="H1227" s="7">
        <f ca="1">(G1227+DCF!$D$40+DCF!$D$41+DCF!$D$42-DCF!$D$43-DCF!$D$44)/DCF!$C$35</f>
        <v>1.8578770842305399</v>
      </c>
    </row>
    <row r="1228" spans="3:8" x14ac:dyDescent="0.35">
      <c r="C1228" s="8">
        <f t="shared" ca="1" si="91"/>
        <v>0.14542066924964792</v>
      </c>
      <c r="D1228" s="7">
        <f t="shared" ca="1" si="92"/>
        <v>7.8389493662720633E-2</v>
      </c>
      <c r="E1228" s="7">
        <f t="shared" ca="1" si="93"/>
        <v>0.69390833264836693</v>
      </c>
      <c r="F1228" s="7">
        <f t="shared" ca="1" si="94"/>
        <v>2.2175785440676707E-2</v>
      </c>
      <c r="G1228" s="7">
        <f t="shared" ca="1" si="90"/>
        <v>298.47737651610419</v>
      </c>
      <c r="H1228" s="7">
        <f ca="1">(G1228+DCF!$D$40+DCF!$D$41+DCF!$D$42-DCF!$D$43-DCF!$D$44)/DCF!$C$35</f>
        <v>2.3266981404001816</v>
      </c>
    </row>
    <row r="1229" spans="3:8" x14ac:dyDescent="0.35">
      <c r="C1229" s="8">
        <f t="shared" ca="1" si="91"/>
        <v>8.1794410894922898E-2</v>
      </c>
      <c r="D1229" s="7">
        <f t="shared" ca="1" si="92"/>
        <v>7.6291938880277105E-2</v>
      </c>
      <c r="E1229" s="7">
        <f t="shared" ca="1" si="93"/>
        <v>0.75653972404312697</v>
      </c>
      <c r="F1229" s="7">
        <f t="shared" ca="1" si="94"/>
        <v>2.3022030725821832E-2</v>
      </c>
      <c r="G1229" s="7">
        <f t="shared" ca="1" si="90"/>
        <v>314.40009614635153</v>
      </c>
      <c r="H1229" s="7">
        <f ca="1">(G1229+DCF!$D$40+DCF!$D$41+DCF!$D$42-DCF!$D$43-DCF!$D$44)/DCF!$C$35</f>
        <v>2.4165656177127866</v>
      </c>
    </row>
    <row r="1230" spans="3:8" x14ac:dyDescent="0.35">
      <c r="C1230" s="8">
        <f t="shared" ca="1" si="91"/>
        <v>0.12808250121032905</v>
      </c>
      <c r="D1230" s="7">
        <f t="shared" ca="1" si="92"/>
        <v>7.7873495449023861E-2</v>
      </c>
      <c r="E1230" s="7">
        <f t="shared" ca="1" si="93"/>
        <v>0.39085694672434046</v>
      </c>
      <c r="F1230" s="7">
        <f t="shared" ca="1" si="94"/>
        <v>1.884145855302552E-2</v>
      </c>
      <c r="G1230" s="7">
        <f t="shared" ca="1" si="90"/>
        <v>288.34452582092308</v>
      </c>
      <c r="H1230" s="7">
        <f ca="1">(G1230+DCF!$D$40+DCF!$D$41+DCF!$D$42-DCF!$D$43-DCF!$D$44)/DCF!$C$35</f>
        <v>2.2695085552597529</v>
      </c>
    </row>
    <row r="1231" spans="3:8" x14ac:dyDescent="0.35">
      <c r="C1231" s="8">
        <f t="shared" ca="1" si="91"/>
        <v>0.42036712725740422</v>
      </c>
      <c r="D1231" s="7">
        <f t="shared" ca="1" si="92"/>
        <v>8.4566355236011956E-2</v>
      </c>
      <c r="E1231" s="7">
        <f t="shared" ca="1" si="93"/>
        <v>0.46032226768658835</v>
      </c>
      <c r="F1231" s="7">
        <f t="shared" ca="1" si="94"/>
        <v>1.9595022331256852E-2</v>
      </c>
      <c r="G1231" s="7">
        <f t="shared" ca="1" si="90"/>
        <v>259.66539002247248</v>
      </c>
      <c r="H1231" s="7">
        <f ca="1">(G1231+DCF!$D$40+DCF!$D$41+DCF!$D$42-DCF!$D$43-DCF!$D$44)/DCF!$C$35</f>
        <v>2.1076441473217771</v>
      </c>
    </row>
    <row r="1232" spans="3:8" x14ac:dyDescent="0.35">
      <c r="C1232" s="8">
        <f t="shared" ca="1" si="91"/>
        <v>0.57421502781000711</v>
      </c>
      <c r="D1232" s="7">
        <f t="shared" ca="1" si="92"/>
        <v>8.8201467274973938E-2</v>
      </c>
      <c r="E1232" s="7">
        <f t="shared" ca="1" si="93"/>
        <v>0.33080726263959737</v>
      </c>
      <c r="F1232" s="7">
        <f t="shared" ca="1" si="94"/>
        <v>1.8133969051325402E-2</v>
      </c>
      <c r="G1232" s="7">
        <f t="shared" ref="G1232:G1295" ca="1" si="95">$C$11/(1+D1232)^1
 +$D$11/(1+D1232)^2
 +$E$11/(1+D1232)^3
 +$F$11/(1+D1232)^4
 +$G$11/(1+D1232)^5
 +$H$11/(1+D1232)^6
 +$I$11/(1+D1232)^7
 + ( $I$11*(1+F1232)/(D1232-F1232) )/(1+D1232)^7</f>
        <v>241.46244815155228</v>
      </c>
      <c r="H1232" s="7">
        <f ca="1">(G1232+DCF!$D$40+DCF!$D$41+DCF!$D$42-DCF!$D$43-DCF!$D$44)/DCF!$C$35</f>
        <v>2.0049071461313481</v>
      </c>
    </row>
    <row r="1233" spans="3:8" x14ac:dyDescent="0.35">
      <c r="C1233" s="8">
        <f t="shared" ref="C1233:C1296" ca="1" si="96">RAND()</f>
        <v>0.49957959804653818</v>
      </c>
      <c r="D1233" s="7">
        <f t="shared" ref="D1233:D1296" ca="1" si="97">IF(C1233&lt;($C$6-0.07)/(0.11-0.07),0.07+SQRT(C1233*(0.11-0.07)*($C$6-0.07)),0.11-SQRT((1-C1233)*(0.11-0.07)*(0.11-$C$6)))</f>
        <v>8.6368047719664304E-2</v>
      </c>
      <c r="E1233" s="7">
        <f t="shared" ref="E1233:E1296" ca="1" si="98">RAND()</f>
        <v>0.4300497664529116</v>
      </c>
      <c r="F1233" s="7">
        <f t="shared" ref="F1233:F1296" ca="1" si="99">MIN(
 IF(E1233&lt;(0.02-0.01)/(0.03-0.01),
   0.01+SQRT(E1233*(0.03-0.01)*(0.02-0.01)),
   0.03-SQRT((1-E1233)*(0.03-0.01)*(0.03-0.02))
 ),
 D1233-0.005
)</f>
        <v>1.9274155125432305E-2</v>
      </c>
      <c r="G1233" s="7">
        <f t="shared" ca="1" si="95"/>
        <v>251.39443842809868</v>
      </c>
      <c r="H1233" s="7">
        <f ca="1">(G1233+DCF!$D$40+DCF!$D$41+DCF!$D$42-DCF!$D$43-DCF!$D$44)/DCF!$C$35</f>
        <v>2.0609630795129172</v>
      </c>
    </row>
    <row r="1234" spans="3:8" x14ac:dyDescent="0.35">
      <c r="C1234" s="8">
        <f t="shared" ca="1" si="96"/>
        <v>0.66901733937188257</v>
      </c>
      <c r="D1234" s="7">
        <f t="shared" ca="1" si="97"/>
        <v>9.0780825999513426E-2</v>
      </c>
      <c r="E1234" s="7">
        <f t="shared" ca="1" si="98"/>
        <v>0.69450090979436929</v>
      </c>
      <c r="F1234" s="7">
        <f t="shared" ca="1" si="99"/>
        <v>2.2183362740850376E-2</v>
      </c>
      <c r="G1234" s="7">
        <f t="shared" ca="1" si="95"/>
        <v>242.09623229534967</v>
      </c>
      <c r="H1234" s="7">
        <f ca="1">(G1234+DCF!$D$40+DCF!$D$41+DCF!$D$42-DCF!$D$43-DCF!$D$44)/DCF!$C$35</f>
        <v>2.0084842098168507</v>
      </c>
    </row>
    <row r="1235" spans="3:8" x14ac:dyDescent="0.35">
      <c r="C1235" s="8">
        <f t="shared" ca="1" si="96"/>
        <v>0.25478210510425281</v>
      </c>
      <c r="D1235" s="7">
        <f t="shared" ca="1" si="97"/>
        <v>8.1104707959710531E-2</v>
      </c>
      <c r="E1235" s="7">
        <f t="shared" ca="1" si="98"/>
        <v>0.77727638195877957</v>
      </c>
      <c r="F1235" s="7">
        <f t="shared" ca="1" si="99"/>
        <v>2.3325816633606469E-2</v>
      </c>
      <c r="G1235" s="7">
        <f t="shared" ca="1" si="95"/>
        <v>288.34030829548942</v>
      </c>
      <c r="H1235" s="7">
        <f ca="1">(G1235+DCF!$D$40+DCF!$D$41+DCF!$D$42-DCF!$D$43-DCF!$D$44)/DCF!$C$35</f>
        <v>2.2694847516395158</v>
      </c>
    </row>
    <row r="1236" spans="3:8" x14ac:dyDescent="0.35">
      <c r="C1236" s="8">
        <f t="shared" ca="1" si="96"/>
        <v>0.82685434063678465</v>
      </c>
      <c r="D1236" s="7">
        <f t="shared" ca="1" si="97"/>
        <v>9.609926060062457E-2</v>
      </c>
      <c r="E1236" s="7">
        <f t="shared" ca="1" si="98"/>
        <v>0.51309948056947041</v>
      </c>
      <c r="F1236" s="7">
        <f t="shared" ca="1" si="99"/>
        <v>2.0131864214244621E-2</v>
      </c>
      <c r="G1236" s="7">
        <f t="shared" ca="1" si="95"/>
        <v>219.47225269223429</v>
      </c>
      <c r="H1236" s="7">
        <f ca="1">(G1236+DCF!$D$40+DCF!$D$41+DCF!$D$42-DCF!$D$43-DCF!$D$44)/DCF!$C$35</f>
        <v>1.8807949694786898</v>
      </c>
    </row>
    <row r="1237" spans="3:8" x14ac:dyDescent="0.35">
      <c r="C1237" s="8">
        <f t="shared" ca="1" si="96"/>
        <v>0.71017216485140255</v>
      </c>
      <c r="D1237" s="7">
        <f t="shared" ca="1" si="97"/>
        <v>9.2015343650048959E-2</v>
      </c>
      <c r="E1237" s="7">
        <f t="shared" ca="1" si="98"/>
        <v>9.0563632237694369E-2</v>
      </c>
      <c r="F1237" s="7">
        <f t="shared" ca="1" si="99"/>
        <v>1.4255904891740282E-2</v>
      </c>
      <c r="G1237" s="7">
        <f t="shared" ca="1" si="95"/>
        <v>220.2334067833394</v>
      </c>
      <c r="H1237" s="7">
        <f ca="1">(G1237+DCF!$D$40+DCF!$D$41+DCF!$D$42-DCF!$D$43-DCF!$D$44)/DCF!$C$35</f>
        <v>1.8850909063288148</v>
      </c>
    </row>
    <row r="1238" spans="3:8" x14ac:dyDescent="0.35">
      <c r="C1238" s="8">
        <f t="shared" ca="1" si="96"/>
        <v>0.5047344013841103</v>
      </c>
      <c r="D1238" s="7">
        <f t="shared" ca="1" si="97"/>
        <v>8.6490078518733152E-2</v>
      </c>
      <c r="E1238" s="7">
        <f t="shared" ca="1" si="98"/>
        <v>0.22934346575954123</v>
      </c>
      <c r="F1238" s="7">
        <f t="shared" ca="1" si="99"/>
        <v>1.6772642996047277E-2</v>
      </c>
      <c r="G1238" s="7">
        <f t="shared" ca="1" si="95"/>
        <v>244.37369491217362</v>
      </c>
      <c r="H1238" s="7">
        <f ca="1">(G1238+DCF!$D$40+DCF!$D$41+DCF!$D$42-DCF!$D$43-DCF!$D$44)/DCF!$C$35</f>
        <v>2.0213381584387267</v>
      </c>
    </row>
    <row r="1239" spans="3:8" x14ac:dyDescent="0.35">
      <c r="C1239" s="8">
        <f t="shared" ca="1" si="96"/>
        <v>0.88386109526688028</v>
      </c>
      <c r="D1239" s="7">
        <f t="shared" ca="1" si="97"/>
        <v>9.8615316531314473E-2</v>
      </c>
      <c r="E1239" s="7">
        <f t="shared" ca="1" si="98"/>
        <v>0.76704481416459269</v>
      </c>
      <c r="F1239" s="7">
        <f t="shared" ca="1" si="99"/>
        <v>2.3174237246499006E-2</v>
      </c>
      <c r="G1239" s="7">
        <f t="shared" ca="1" si="95"/>
        <v>217.88855765174304</v>
      </c>
      <c r="H1239" s="7">
        <f ca="1">(G1239+DCF!$D$40+DCF!$D$41+DCF!$D$42-DCF!$D$43-DCF!$D$44)/DCF!$C$35</f>
        <v>1.8718566297084491</v>
      </c>
    </row>
    <row r="1240" spans="3:8" x14ac:dyDescent="0.35">
      <c r="C1240" s="8">
        <f t="shared" ca="1" si="96"/>
        <v>4.2936850564862072E-2</v>
      </c>
      <c r="D1240" s="7">
        <f t="shared" ca="1" si="97"/>
        <v>7.4558665997130444E-2</v>
      </c>
      <c r="E1240" s="7">
        <f t="shared" ca="1" si="98"/>
        <v>0.37698771719456414</v>
      </c>
      <c r="F1240" s="7">
        <f t="shared" ca="1" si="99"/>
        <v>1.8683175884370466E-2</v>
      </c>
      <c r="G1240" s="7">
        <f t="shared" ca="1" si="95"/>
        <v>305.7276750446066</v>
      </c>
      <c r="H1240" s="7">
        <f ca="1">(G1240+DCF!$D$40+DCF!$D$41+DCF!$D$42-DCF!$D$43-DCF!$D$44)/DCF!$C$35</f>
        <v>2.3676186648865931</v>
      </c>
    </row>
    <row r="1241" spans="3:8" x14ac:dyDescent="0.35">
      <c r="C1241" s="8">
        <f t="shared" ca="1" si="96"/>
        <v>8.038284535402429E-2</v>
      </c>
      <c r="D1241" s="7">
        <f t="shared" ca="1" si="97"/>
        <v>7.6237411093662805E-2</v>
      </c>
      <c r="E1241" s="7">
        <f t="shared" ca="1" si="98"/>
        <v>0.78097213133577581</v>
      </c>
      <c r="F1241" s="7">
        <f t="shared" ca="1" si="99"/>
        <v>2.33814220762429E-2</v>
      </c>
      <c r="G1241" s="7">
        <f t="shared" ca="1" si="95"/>
        <v>316.39320342893103</v>
      </c>
      <c r="H1241" s="7">
        <f ca="1">(G1241+DCF!$D$40+DCF!$D$41+DCF!$D$42-DCF!$D$43-DCF!$D$44)/DCF!$C$35</f>
        <v>2.4278146711193758</v>
      </c>
    </row>
    <row r="1242" spans="3:8" x14ac:dyDescent="0.35">
      <c r="C1242" s="8">
        <f t="shared" ca="1" si="96"/>
        <v>9.0688130622190166E-2</v>
      </c>
      <c r="D1242" s="7">
        <f t="shared" ca="1" si="97"/>
        <v>7.6625183410377412E-2</v>
      </c>
      <c r="E1242" s="7">
        <f t="shared" ca="1" si="98"/>
        <v>0.49225416627421159</v>
      </c>
      <c r="F1242" s="7">
        <f t="shared" ca="1" si="99"/>
        <v>1.9922239326625936E-2</v>
      </c>
      <c r="G1242" s="7">
        <f t="shared" ca="1" si="95"/>
        <v>299.16441009082143</v>
      </c>
      <c r="H1242" s="7">
        <f ca="1">(G1242+DCF!$D$40+DCF!$D$41+DCF!$D$42-DCF!$D$43-DCF!$D$44)/DCF!$C$35</f>
        <v>2.3305757426956846</v>
      </c>
    </row>
    <row r="1243" spans="3:8" x14ac:dyDescent="0.35">
      <c r="C1243" s="8">
        <f t="shared" ca="1" si="96"/>
        <v>0.77020355748034275</v>
      </c>
      <c r="D1243" s="7">
        <f t="shared" ca="1" si="97"/>
        <v>9.3985855319376643E-2</v>
      </c>
      <c r="E1243" s="7">
        <f t="shared" ca="1" si="98"/>
        <v>0.25355953087748018</v>
      </c>
      <c r="F1243" s="7">
        <f t="shared" ca="1" si="99"/>
        <v>1.7121229260141542E-2</v>
      </c>
      <c r="G1243" s="7">
        <f t="shared" ca="1" si="95"/>
        <v>219.91184990099401</v>
      </c>
      <c r="H1243" s="7">
        <f ca="1">(G1243+DCF!$D$40+DCF!$D$41+DCF!$D$42-DCF!$D$43-DCF!$D$44)/DCF!$C$35</f>
        <v>1.8832760463991083</v>
      </c>
    </row>
    <row r="1244" spans="3:8" x14ac:dyDescent="0.35">
      <c r="C1244" s="8">
        <f t="shared" ca="1" si="96"/>
        <v>0.18734157215210823</v>
      </c>
      <c r="D1244" s="7">
        <f t="shared" ca="1" si="97"/>
        <v>7.9522253983255256E-2</v>
      </c>
      <c r="E1244" s="7">
        <f t="shared" ca="1" si="98"/>
        <v>0.67761104777983283</v>
      </c>
      <c r="F1244" s="7">
        <f t="shared" ca="1" si="99"/>
        <v>2.1970193623502901E-2</v>
      </c>
      <c r="G1244" s="7">
        <f t="shared" ca="1" si="95"/>
        <v>291.51055341209042</v>
      </c>
      <c r="H1244" s="7">
        <f ca="1">(G1244+DCF!$D$40+DCF!$D$41+DCF!$D$42-DCF!$D$43-DCF!$D$44)/DCF!$C$35</f>
        <v>2.2873775449378622</v>
      </c>
    </row>
    <row r="1245" spans="3:8" x14ac:dyDescent="0.35">
      <c r="C1245" s="8">
        <f t="shared" ca="1" si="96"/>
        <v>7.5489188324791123E-2</v>
      </c>
      <c r="D1245" s="7">
        <f t="shared" ca="1" si="97"/>
        <v>7.6044565091815869E-2</v>
      </c>
      <c r="E1245" s="7">
        <f t="shared" ca="1" si="98"/>
        <v>0.88559775961587039</v>
      </c>
      <c r="F1245" s="7">
        <f t="shared" ca="1" si="99"/>
        <v>2.5216648865405561E-2</v>
      </c>
      <c r="G1245" s="7">
        <f t="shared" ca="1" si="95"/>
        <v>326.5015398515028</v>
      </c>
      <c r="H1245" s="7">
        <f ca="1">(G1245+DCF!$D$40+DCF!$D$41+DCF!$D$42-DCF!$D$43-DCF!$D$44)/DCF!$C$35</f>
        <v>2.4848658982475604</v>
      </c>
    </row>
    <row r="1246" spans="3:8" x14ac:dyDescent="0.35">
      <c r="C1246" s="8">
        <f t="shared" ca="1" si="96"/>
        <v>0.80820363293067055</v>
      </c>
      <c r="D1246" s="7">
        <f t="shared" ca="1" si="97"/>
        <v>9.5369731866798493E-2</v>
      </c>
      <c r="E1246" s="7">
        <f t="shared" ca="1" si="98"/>
        <v>0.43002385511322216</v>
      </c>
      <c r="F1246" s="7">
        <f t="shared" ca="1" si="99"/>
        <v>1.9273875728229511E-2</v>
      </c>
      <c r="G1246" s="7">
        <f t="shared" ca="1" si="95"/>
        <v>219.98493448502228</v>
      </c>
      <c r="H1246" s="7">
        <f ca="1">(G1246+DCF!$D$40+DCF!$D$41+DCF!$D$42-DCF!$D$43-DCF!$D$44)/DCF!$C$35</f>
        <v>1.8836885341744116</v>
      </c>
    </row>
    <row r="1247" spans="3:8" x14ac:dyDescent="0.35">
      <c r="C1247" s="8">
        <f t="shared" ca="1" si="96"/>
        <v>0.58258642498474156</v>
      </c>
      <c r="D1247" s="7">
        <f t="shared" ca="1" si="97"/>
        <v>8.8416822529640629E-2</v>
      </c>
      <c r="E1247" s="7">
        <f t="shared" ca="1" si="98"/>
        <v>0.41123417733561718</v>
      </c>
      <c r="F1247" s="7">
        <f t="shared" ca="1" si="99"/>
        <v>1.9069004105585322E-2</v>
      </c>
      <c r="G1247" s="7">
        <f t="shared" ca="1" si="95"/>
        <v>243.002998162176</v>
      </c>
      <c r="H1247" s="7">
        <f ca="1">(G1247+DCF!$D$40+DCF!$D$41+DCF!$D$42-DCF!$D$43-DCF!$D$44)/DCF!$C$35</f>
        <v>2.0136019763075743</v>
      </c>
    </row>
    <row r="1248" spans="3:8" x14ac:dyDescent="0.35">
      <c r="C1248" s="8">
        <f t="shared" ca="1" si="96"/>
        <v>0.89983939436197946</v>
      </c>
      <c r="D1248" s="7">
        <f t="shared" ca="1" si="97"/>
        <v>9.9427430024254707E-2</v>
      </c>
      <c r="E1248" s="7">
        <f t="shared" ca="1" si="98"/>
        <v>0.83638272618222742</v>
      </c>
      <c r="F1248" s="7">
        <f t="shared" ca="1" si="99"/>
        <v>2.4279558167103303E-2</v>
      </c>
      <c r="G1248" s="7">
        <f t="shared" ca="1" si="95"/>
        <v>217.63164164936535</v>
      </c>
      <c r="H1248" s="7">
        <f ca="1">(G1248+DCF!$D$40+DCF!$D$41+DCF!$D$42-DCF!$D$43-DCF!$D$44)/DCF!$C$35</f>
        <v>1.8704066014751402</v>
      </c>
    </row>
    <row r="1249" spans="3:8" x14ac:dyDescent="0.35">
      <c r="C1249" s="8">
        <f t="shared" ca="1" si="96"/>
        <v>0.65296217514228805</v>
      </c>
      <c r="D1249" s="7">
        <f t="shared" ca="1" si="97"/>
        <v>9.0320208015804482E-2</v>
      </c>
      <c r="E1249" s="7">
        <f t="shared" ca="1" si="98"/>
        <v>4.5281450469942475E-2</v>
      </c>
      <c r="F1249" s="7">
        <f t="shared" ca="1" si="99"/>
        <v>1.3009367058699968E-2</v>
      </c>
      <c r="G1249" s="7">
        <f t="shared" ca="1" si="95"/>
        <v>222.93871171823605</v>
      </c>
      <c r="H1249" s="7">
        <f ca="1">(G1249+DCF!$D$40+DCF!$D$41+DCF!$D$42-DCF!$D$43-DCF!$D$44)/DCF!$C$35</f>
        <v>1.9003595875281412</v>
      </c>
    </row>
    <row r="1250" spans="3:8" x14ac:dyDescent="0.35">
      <c r="C1250" s="8">
        <f t="shared" ca="1" si="96"/>
        <v>0.107707657650148</v>
      </c>
      <c r="D1250" s="7">
        <f t="shared" ca="1" si="97"/>
        <v>7.7220145864362558E-2</v>
      </c>
      <c r="E1250" s="7">
        <f t="shared" ca="1" si="98"/>
        <v>0.41252963046258706</v>
      </c>
      <c r="F1250" s="7">
        <f t="shared" ca="1" si="99"/>
        <v>1.9083277277090985E-2</v>
      </c>
      <c r="G1250" s="7">
        <f t="shared" ca="1" si="95"/>
        <v>292.6575687782871</v>
      </c>
      <c r="H1250" s="7">
        <f ca="1">(G1250+DCF!$D$40+DCF!$D$41+DCF!$D$42-DCF!$D$43-DCF!$D$44)/DCF!$C$35</f>
        <v>2.2938512742876571</v>
      </c>
    </row>
    <row r="1251" spans="3:8" x14ac:dyDescent="0.35">
      <c r="C1251" s="8">
        <f t="shared" ca="1" si="96"/>
        <v>0.53477893675468136</v>
      </c>
      <c r="D1251" s="7">
        <f t="shared" ca="1" si="97"/>
        <v>8.7214331114014332E-2</v>
      </c>
      <c r="E1251" s="7">
        <f t="shared" ca="1" si="98"/>
        <v>0.14425477455794411</v>
      </c>
      <c r="F1251" s="7">
        <f t="shared" ca="1" si="99"/>
        <v>1.5371308491567842E-2</v>
      </c>
      <c r="G1251" s="7">
        <f t="shared" ca="1" si="95"/>
        <v>238.32985669726511</v>
      </c>
      <c r="H1251" s="7">
        <f ca="1">(G1251+DCF!$D$40+DCF!$D$41+DCF!$D$42-DCF!$D$43-DCF!$D$44)/DCF!$C$35</f>
        <v>1.9872268692700366</v>
      </c>
    </row>
    <row r="1252" spans="3:8" x14ac:dyDescent="0.35">
      <c r="C1252" s="8">
        <f t="shared" ca="1" si="96"/>
        <v>2.2033063828231891E-2</v>
      </c>
      <c r="D1252" s="7">
        <f t="shared" ca="1" si="97"/>
        <v>7.326557849283466E-2</v>
      </c>
      <c r="E1252" s="7">
        <f t="shared" ca="1" si="98"/>
        <v>0.73224939484692975</v>
      </c>
      <c r="F1252" s="7">
        <f t="shared" ca="1" si="99"/>
        <v>2.2682205179795349E-2</v>
      </c>
      <c r="G1252" s="7">
        <f t="shared" ca="1" si="95"/>
        <v>332.42374488435195</v>
      </c>
      <c r="H1252" s="7">
        <f ca="1">(G1252+DCF!$D$40+DCF!$D$41+DCF!$D$42-DCF!$D$43-DCF!$D$44)/DCF!$C$35</f>
        <v>2.5182906924277679</v>
      </c>
    </row>
    <row r="1253" spans="3:8" x14ac:dyDescent="0.35">
      <c r="C1253" s="8">
        <f t="shared" ca="1" si="96"/>
        <v>0.52613774009689829</v>
      </c>
      <c r="D1253" s="7">
        <f t="shared" ca="1" si="97"/>
        <v>8.7003689816584462E-2</v>
      </c>
      <c r="E1253" s="7">
        <f t="shared" ca="1" si="98"/>
        <v>0.61298512305655661</v>
      </c>
      <c r="F1253" s="7">
        <f t="shared" ca="1" si="99"/>
        <v>2.1202103922602366E-2</v>
      </c>
      <c r="G1253" s="7">
        <f t="shared" ca="1" si="95"/>
        <v>254.18402684521234</v>
      </c>
      <c r="H1253" s="7">
        <f ca="1">(G1253+DCF!$D$40+DCF!$D$41+DCF!$D$42-DCF!$D$43-DCF!$D$44)/DCF!$C$35</f>
        <v>2.0767074548211553</v>
      </c>
    </row>
    <row r="1254" spans="3:8" x14ac:dyDescent="0.35">
      <c r="C1254" s="8">
        <f t="shared" ca="1" si="96"/>
        <v>0.64108903423027341</v>
      </c>
      <c r="D1254" s="7">
        <f t="shared" ca="1" si="97"/>
        <v>8.9986388686720861E-2</v>
      </c>
      <c r="E1254" s="7">
        <f t="shared" ca="1" si="98"/>
        <v>0.19783248315149871</v>
      </c>
      <c r="F1254" s="7">
        <f t="shared" ca="1" si="99"/>
        <v>1.6290190508267594E-2</v>
      </c>
      <c r="G1254" s="7">
        <f t="shared" ca="1" si="95"/>
        <v>230.92132291903459</v>
      </c>
      <c r="H1254" s="7">
        <f ca="1">(G1254+DCF!$D$40+DCF!$D$41+DCF!$D$42-DCF!$D$43-DCF!$D$44)/DCF!$C$35</f>
        <v>1.9454132685350185</v>
      </c>
    </row>
    <row r="1255" spans="3:8" x14ac:dyDescent="0.35">
      <c r="C1255" s="8">
        <f t="shared" ca="1" si="96"/>
        <v>0.58223934273601052</v>
      </c>
      <c r="D1255" s="7">
        <f t="shared" ca="1" si="97"/>
        <v>8.840785111419866E-2</v>
      </c>
      <c r="E1255" s="7">
        <f t="shared" ca="1" si="98"/>
        <v>0.90184800458629821</v>
      </c>
      <c r="F1255" s="7">
        <f t="shared" ca="1" si="99"/>
        <v>2.5569379379506707E-2</v>
      </c>
      <c r="G1255" s="7">
        <f t="shared" ca="1" si="95"/>
        <v>261.11697227170515</v>
      </c>
      <c r="H1255" s="7">
        <f ca="1">(G1255+DCF!$D$40+DCF!$D$41+DCF!$D$42-DCF!$D$43-DCF!$D$44)/DCF!$C$35</f>
        <v>2.1158368454210699</v>
      </c>
    </row>
    <row r="1256" spans="3:8" x14ac:dyDescent="0.35">
      <c r="C1256" s="8">
        <f t="shared" ca="1" si="96"/>
        <v>0.54814544857658398</v>
      </c>
      <c r="D1256" s="7">
        <f t="shared" ca="1" si="97"/>
        <v>8.7544050245234956E-2</v>
      </c>
      <c r="E1256" s="7">
        <f t="shared" ca="1" si="98"/>
        <v>0.99146576437257727</v>
      </c>
      <c r="F1256" s="7">
        <f t="shared" ca="1" si="99"/>
        <v>2.8693536404837645E-2</v>
      </c>
      <c r="G1256" s="7">
        <f t="shared" ca="1" si="95"/>
        <v>275.36614195500141</v>
      </c>
      <c r="H1256" s="7">
        <f ca="1">(G1256+DCF!$D$40+DCF!$D$41+DCF!$D$42-DCF!$D$43-DCF!$D$44)/DCF!$C$35</f>
        <v>2.19625884385936</v>
      </c>
    </row>
    <row r="1257" spans="3:8" x14ac:dyDescent="0.35">
      <c r="C1257" s="8">
        <f t="shared" ca="1" si="96"/>
        <v>0.4692217257954111</v>
      </c>
      <c r="D1257" s="7">
        <f t="shared" ca="1" si="97"/>
        <v>8.5661788191974314E-2</v>
      </c>
      <c r="E1257" s="7">
        <f t="shared" ca="1" si="98"/>
        <v>0.28833754677651047</v>
      </c>
      <c r="F1257" s="7">
        <f t="shared" ca="1" si="99"/>
        <v>1.7593912651282084E-2</v>
      </c>
      <c r="G1257" s="7">
        <f t="shared" ca="1" si="95"/>
        <v>249.64669868911827</v>
      </c>
      <c r="H1257" s="7">
        <f ca="1">(G1257+DCF!$D$40+DCF!$D$41+DCF!$D$42-DCF!$D$43-DCF!$D$44)/DCF!$C$35</f>
        <v>2.0510988750937931</v>
      </c>
    </row>
    <row r="1258" spans="3:8" x14ac:dyDescent="0.35">
      <c r="C1258" s="8">
        <f t="shared" ca="1" si="96"/>
        <v>0.80628418308277061</v>
      </c>
      <c r="D1258" s="7">
        <f t="shared" ca="1" si="97"/>
        <v>9.5296706094224054E-2</v>
      </c>
      <c r="E1258" s="7">
        <f t="shared" ca="1" si="98"/>
        <v>0.9918348390205014</v>
      </c>
      <c r="F1258" s="7">
        <f t="shared" ca="1" si="99"/>
        <v>2.8722098518703526E-2</v>
      </c>
      <c r="G1258" s="7">
        <f t="shared" ca="1" si="95"/>
        <v>241.99347682705107</v>
      </c>
      <c r="H1258" s="7">
        <f ca="1">(G1258+DCF!$D$40+DCF!$D$41+DCF!$D$42-DCF!$D$43-DCF!$D$44)/DCF!$C$35</f>
        <v>2.0079042602271757</v>
      </c>
    </row>
    <row r="1259" spans="3:8" x14ac:dyDescent="0.35">
      <c r="C1259" s="8">
        <f t="shared" ca="1" si="96"/>
        <v>1.1513272394245933E-2</v>
      </c>
      <c r="D1259" s="7">
        <f t="shared" ca="1" si="97"/>
        <v>7.2360598195122389E-2</v>
      </c>
      <c r="E1259" s="7">
        <f t="shared" ca="1" si="98"/>
        <v>0.84033375294647383</v>
      </c>
      <c r="F1259" s="7">
        <f t="shared" ca="1" si="99"/>
        <v>2.4349048804784699E-2</v>
      </c>
      <c r="G1259" s="7">
        <f t="shared" ca="1" si="95"/>
        <v>347.99855188955473</v>
      </c>
      <c r="H1259" s="7">
        <f ca="1">(G1259+DCF!$D$40+DCF!$D$41+DCF!$D$42-DCF!$D$43-DCF!$D$44)/DCF!$C$35</f>
        <v>2.6061945585819775</v>
      </c>
    </row>
    <row r="1260" spans="3:8" x14ac:dyDescent="0.35">
      <c r="C1260" s="8">
        <f t="shared" ca="1" si="96"/>
        <v>0.42076404448348192</v>
      </c>
      <c r="D1260" s="7">
        <f t="shared" ca="1" si="97"/>
        <v>8.4575064870162725E-2</v>
      </c>
      <c r="E1260" s="7">
        <f t="shared" ca="1" si="98"/>
        <v>0.7042960772364224</v>
      </c>
      <c r="F1260" s="7">
        <f t="shared" ca="1" si="99"/>
        <v>2.2309695418729143E-2</v>
      </c>
      <c r="G1260" s="7">
        <f t="shared" ca="1" si="95"/>
        <v>267.93408418262482</v>
      </c>
      <c r="H1260" s="7">
        <f ca="1">(G1260+DCF!$D$40+DCF!$D$41+DCF!$D$42-DCF!$D$43-DCF!$D$44)/DCF!$C$35</f>
        <v>2.1543124742218356</v>
      </c>
    </row>
    <row r="1261" spans="3:8" x14ac:dyDescent="0.35">
      <c r="C1261" s="8">
        <f t="shared" ca="1" si="96"/>
        <v>0.25195725172276651</v>
      </c>
      <c r="D1261" s="7">
        <f t="shared" ca="1" si="97"/>
        <v>8.1042975587848551E-2</v>
      </c>
      <c r="E1261" s="7">
        <f t="shared" ca="1" si="98"/>
        <v>0.44356323541783327</v>
      </c>
      <c r="F1261" s="7">
        <f t="shared" ca="1" si="99"/>
        <v>1.9418739145106771E-2</v>
      </c>
      <c r="G1261" s="7">
        <f t="shared" ca="1" si="95"/>
        <v>274.79686786277773</v>
      </c>
      <c r="H1261" s="7">
        <f ca="1">(G1261+DCF!$D$40+DCF!$D$41+DCF!$D$42-DCF!$D$43-DCF!$D$44)/DCF!$C$35</f>
        <v>2.1930458734776934</v>
      </c>
    </row>
    <row r="1262" spans="3:8" x14ac:dyDescent="0.35">
      <c r="C1262" s="8">
        <f t="shared" ca="1" si="96"/>
        <v>6.5138794678049616E-2</v>
      </c>
      <c r="D1262" s="7">
        <f t="shared" ca="1" si="97"/>
        <v>7.5614906644297486E-2</v>
      </c>
      <c r="E1262" s="7">
        <f t="shared" ca="1" si="98"/>
        <v>0.98146858679772342</v>
      </c>
      <c r="F1262" s="7">
        <f t="shared" ca="1" si="99"/>
        <v>2.8074829191875351E-2</v>
      </c>
      <c r="G1262" s="7">
        <f t="shared" ca="1" si="95"/>
        <v>344.92055290677808</v>
      </c>
      <c r="H1262" s="7">
        <f ca="1">(G1262+DCF!$D$40+DCF!$D$41+DCF!$D$42-DCF!$D$43-DCF!$D$44)/DCF!$C$35</f>
        <v>2.5888224004220461</v>
      </c>
    </row>
    <row r="1263" spans="3:8" x14ac:dyDescent="0.35">
      <c r="C1263" s="8">
        <f t="shared" ca="1" si="96"/>
        <v>0.47391049103105387</v>
      </c>
      <c r="D1263" s="7">
        <f t="shared" ca="1" si="97"/>
        <v>8.5769525551295051E-2</v>
      </c>
      <c r="E1263" s="7">
        <f t="shared" ca="1" si="98"/>
        <v>2.2738283012395111E-2</v>
      </c>
      <c r="F1263" s="7">
        <f t="shared" ca="1" si="99"/>
        <v>1.21325235291736E-2</v>
      </c>
      <c r="G1263" s="7">
        <f t="shared" ca="1" si="95"/>
        <v>235.85114945329201</v>
      </c>
      <c r="H1263" s="7">
        <f ca="1">(G1263+DCF!$D$40+DCF!$D$41+DCF!$D$42-DCF!$D$43-DCF!$D$44)/DCF!$C$35</f>
        <v>1.9732371004249463</v>
      </c>
    </row>
    <row r="1264" spans="3:8" x14ac:dyDescent="0.35">
      <c r="C1264" s="8">
        <f t="shared" ca="1" si="96"/>
        <v>0.31816212478817663</v>
      </c>
      <c r="D1264" s="7">
        <f t="shared" ca="1" si="97"/>
        <v>8.2415020958202731E-2</v>
      </c>
      <c r="E1264" s="7">
        <f t="shared" ca="1" si="98"/>
        <v>0.90463229082956009</v>
      </c>
      <c r="F1264" s="7">
        <f t="shared" ca="1" si="99"/>
        <v>2.5632673376756898E-2</v>
      </c>
      <c r="G1264" s="7">
        <f t="shared" ca="1" si="95"/>
        <v>290.25663308579436</v>
      </c>
      <c r="H1264" s="7">
        <f ca="1">(G1264+DCF!$D$40+DCF!$D$41+DCF!$D$42-DCF!$D$43-DCF!$D$44)/DCF!$C$35</f>
        <v>2.2803004463584737</v>
      </c>
    </row>
    <row r="1265" spans="3:8" x14ac:dyDescent="0.35">
      <c r="C1265" s="8">
        <f t="shared" ca="1" si="96"/>
        <v>0.95179716649671731</v>
      </c>
      <c r="D1265" s="7">
        <f t="shared" ca="1" si="97"/>
        <v>0.10266553599847518</v>
      </c>
      <c r="E1265" s="7">
        <f t="shared" ca="1" si="98"/>
        <v>0.51135770738653863</v>
      </c>
      <c r="F1265" s="7">
        <f t="shared" ca="1" si="99"/>
        <v>2.0114229492715692E-2</v>
      </c>
      <c r="G1265" s="7">
        <f t="shared" ca="1" si="95"/>
        <v>200.90839438456624</v>
      </c>
      <c r="H1265" s="7">
        <f ca="1">(G1265+DCF!$D$40+DCF!$D$41+DCF!$D$42-DCF!$D$43-DCF!$D$44)/DCF!$C$35</f>
        <v>1.7760209639043132</v>
      </c>
    </row>
    <row r="1266" spans="3:8" x14ac:dyDescent="0.35">
      <c r="C1266" s="8">
        <f t="shared" ca="1" si="96"/>
        <v>0.65808493425580994</v>
      </c>
      <c r="D1266" s="7">
        <f t="shared" ca="1" si="97"/>
        <v>9.046599853152161E-2</v>
      </c>
      <c r="E1266" s="7">
        <f t="shared" ca="1" si="98"/>
        <v>0.23029743719060136</v>
      </c>
      <c r="F1266" s="7">
        <f t="shared" ca="1" si="99"/>
        <v>1.6786714038334035E-2</v>
      </c>
      <c r="G1266" s="7">
        <f t="shared" ca="1" si="95"/>
        <v>230.42101514761765</v>
      </c>
      <c r="H1266" s="7">
        <f ca="1">(G1266+DCF!$D$40+DCF!$D$41+DCF!$D$42-DCF!$D$43-DCF!$D$44)/DCF!$C$35</f>
        <v>1.9425895425421471</v>
      </c>
    </row>
    <row r="1267" spans="3:8" x14ac:dyDescent="0.35">
      <c r="C1267" s="8">
        <f t="shared" ca="1" si="96"/>
        <v>0.1469263304893299</v>
      </c>
      <c r="D1267" s="7">
        <f t="shared" ca="1" si="97"/>
        <v>7.8432813525558115E-2</v>
      </c>
      <c r="E1267" s="7">
        <f t="shared" ca="1" si="98"/>
        <v>0.1781232456644396</v>
      </c>
      <c r="F1267" s="7">
        <f t="shared" ca="1" si="99"/>
        <v>1.5968638800672053E-2</v>
      </c>
      <c r="G1267" s="7">
        <f t="shared" ca="1" si="95"/>
        <v>275.61346534762407</v>
      </c>
      <c r="H1267" s="7">
        <f ca="1">(G1267+DCF!$D$40+DCF!$D$41+DCF!$D$42-DCF!$D$43-DCF!$D$44)/DCF!$C$35</f>
        <v>2.197654731615442</v>
      </c>
    </row>
    <row r="1268" spans="3:8" x14ac:dyDescent="0.35">
      <c r="C1268" s="8">
        <f t="shared" ca="1" si="96"/>
        <v>4.5198975274667319E-2</v>
      </c>
      <c r="D1268" s="7">
        <f t="shared" ca="1" si="97"/>
        <v>7.4677211138374985E-2</v>
      </c>
      <c r="E1268" s="7">
        <f t="shared" ca="1" si="98"/>
        <v>0.85416598289296808</v>
      </c>
      <c r="F1268" s="7">
        <f t="shared" ca="1" si="99"/>
        <v>2.4599370090312947E-2</v>
      </c>
      <c r="G1268" s="7">
        <f t="shared" ca="1" si="95"/>
        <v>332.64238659848559</v>
      </c>
      <c r="H1268" s="7">
        <f ca="1">(G1268+DCF!$D$40+DCF!$D$41+DCF!$D$42-DCF!$D$43-DCF!$D$44)/DCF!$C$35</f>
        <v>2.519524701425023</v>
      </c>
    </row>
    <row r="1269" spans="3:8" x14ac:dyDescent="0.35">
      <c r="C1269" s="8">
        <f t="shared" ca="1" si="96"/>
        <v>0.21995807451598692</v>
      </c>
      <c r="D1269" s="7">
        <f t="shared" ca="1" si="97"/>
        <v>8.0317931385008229E-2</v>
      </c>
      <c r="E1269" s="7">
        <f t="shared" ca="1" si="98"/>
        <v>0.36899718890130173</v>
      </c>
      <c r="F1269" s="7">
        <f t="shared" ca="1" si="99"/>
        <v>1.8590659915295234E-2</v>
      </c>
      <c r="G1269" s="7">
        <f t="shared" ca="1" si="95"/>
        <v>275.45082310636548</v>
      </c>
      <c r="H1269" s="7">
        <f ca="1">(G1269+DCF!$D$40+DCF!$D$41+DCF!$D$42-DCF!$D$43-DCF!$D$44)/DCF!$C$35</f>
        <v>2.1967367824041397</v>
      </c>
    </row>
    <row r="1270" spans="3:8" x14ac:dyDescent="0.35">
      <c r="C1270" s="8">
        <f t="shared" ca="1" si="96"/>
        <v>7.1398547733891982E-2</v>
      </c>
      <c r="D1270" s="7">
        <f t="shared" ca="1" si="97"/>
        <v>7.5878511470024002E-2</v>
      </c>
      <c r="E1270" s="7">
        <f t="shared" ca="1" si="98"/>
        <v>0.35480042648758725</v>
      </c>
      <c r="F1270" s="7">
        <f t="shared" ca="1" si="99"/>
        <v>1.8423780938362385E-2</v>
      </c>
      <c r="G1270" s="7">
        <f t="shared" ca="1" si="95"/>
        <v>297.29830798962041</v>
      </c>
      <c r="H1270" s="7">
        <f ca="1">(G1270+DCF!$D$40+DCF!$D$41+DCF!$D$42-DCF!$D$43-DCF!$D$44)/DCF!$C$35</f>
        <v>2.320043503722883</v>
      </c>
    </row>
    <row r="1271" spans="3:8" x14ac:dyDescent="0.35">
      <c r="C1271" s="8">
        <f t="shared" ca="1" si="96"/>
        <v>0.68457763091276391</v>
      </c>
      <c r="D1271" s="7">
        <f t="shared" ca="1" si="97"/>
        <v>9.1238034114161828E-2</v>
      </c>
      <c r="E1271" s="7">
        <f t="shared" ca="1" si="98"/>
        <v>0.90439688540753205</v>
      </c>
      <c r="F1271" s="7">
        <f t="shared" ca="1" si="99"/>
        <v>2.5627286549693248E-2</v>
      </c>
      <c r="G1271" s="7">
        <f t="shared" ca="1" si="95"/>
        <v>249.4739918161543</v>
      </c>
      <c r="H1271" s="7">
        <f ca="1">(G1271+DCF!$D$40+DCF!$D$41+DCF!$D$42-DCF!$D$43-DCF!$D$44)/DCF!$C$35</f>
        <v>2.0501241213238193</v>
      </c>
    </row>
    <row r="1272" spans="3:8" x14ac:dyDescent="0.35">
      <c r="C1272" s="8">
        <f t="shared" ca="1" si="96"/>
        <v>0.23831478787098603</v>
      </c>
      <c r="D1272" s="7">
        <f t="shared" ca="1" si="97"/>
        <v>8.0739849036627911E-2</v>
      </c>
      <c r="E1272" s="7">
        <f t="shared" ca="1" si="98"/>
        <v>0.11641523233767159</v>
      </c>
      <c r="F1272" s="7">
        <f t="shared" ca="1" si="99"/>
        <v>1.4825250922753583E-2</v>
      </c>
      <c r="G1272" s="7">
        <f t="shared" ca="1" si="95"/>
        <v>261.85768490188457</v>
      </c>
      <c r="H1272" s="7">
        <f ca="1">(G1272+DCF!$D$40+DCF!$D$41+DCF!$D$42-DCF!$D$43-DCF!$D$44)/DCF!$C$35</f>
        <v>2.1200174111179848</v>
      </c>
    </row>
    <row r="1273" spans="3:8" x14ac:dyDescent="0.35">
      <c r="C1273" s="8">
        <f t="shared" ca="1" si="96"/>
        <v>0.18089787324282269</v>
      </c>
      <c r="D1273" s="7">
        <f t="shared" ca="1" si="97"/>
        <v>7.9357059936193963E-2</v>
      </c>
      <c r="E1273" s="7">
        <f t="shared" ca="1" si="98"/>
        <v>0.90695806450869876</v>
      </c>
      <c r="F1273" s="7">
        <f t="shared" ca="1" si="99"/>
        <v>2.5686256023097771E-2</v>
      </c>
      <c r="G1273" s="7">
        <f t="shared" ca="1" si="95"/>
        <v>307.76368944576734</v>
      </c>
      <c r="H1273" s="7">
        <f ca="1">(G1273+DCF!$D$40+DCF!$D$41+DCF!$D$42-DCF!$D$43-DCF!$D$44)/DCF!$C$35</f>
        <v>2.3791098851211609</v>
      </c>
    </row>
    <row r="1274" spans="3:8" x14ac:dyDescent="0.35">
      <c r="C1274" s="8">
        <f t="shared" ca="1" si="96"/>
        <v>0.77690157792951764</v>
      </c>
      <c r="D1274" s="7">
        <f t="shared" ca="1" si="97"/>
        <v>9.4220968374749414E-2</v>
      </c>
      <c r="E1274" s="7">
        <f t="shared" ca="1" si="98"/>
        <v>0.1001881105141873</v>
      </c>
      <c r="F1274" s="7">
        <f t="shared" ca="1" si="99"/>
        <v>1.4476340257714718E-2</v>
      </c>
      <c r="G1274" s="7">
        <f t="shared" ca="1" si="95"/>
        <v>214.14770658381133</v>
      </c>
      <c r="H1274" s="7">
        <f ca="1">(G1274+DCF!$D$40+DCF!$D$41+DCF!$D$42-DCF!$D$43-DCF!$D$44)/DCF!$C$35</f>
        <v>1.8507433490451028</v>
      </c>
    </row>
    <row r="1275" spans="3:8" x14ac:dyDescent="0.35">
      <c r="C1275" s="8">
        <f t="shared" ca="1" si="96"/>
        <v>3.5875045381849491E-2</v>
      </c>
      <c r="D1275" s="7">
        <f t="shared" ca="1" si="97"/>
        <v>7.4166955959068345E-2</v>
      </c>
      <c r="E1275" s="7">
        <f t="shared" ca="1" si="98"/>
        <v>0.1423364771005976</v>
      </c>
      <c r="F1275" s="7">
        <f t="shared" ca="1" si="99"/>
        <v>1.5335475182223184E-2</v>
      </c>
      <c r="G1275" s="7">
        <f t="shared" ca="1" si="95"/>
        <v>294.54173341929192</v>
      </c>
      <c r="H1275" s="7">
        <f ca="1">(G1275+DCF!$D$40+DCF!$D$41+DCF!$D$42-DCF!$D$43-DCF!$D$44)/DCF!$C$35</f>
        <v>2.3044854578354887</v>
      </c>
    </row>
    <row r="1276" spans="3:8" x14ac:dyDescent="0.35">
      <c r="C1276" s="8">
        <f t="shared" ca="1" si="96"/>
        <v>0.60205388386148795</v>
      </c>
      <c r="D1276" s="7">
        <f t="shared" ca="1" si="97"/>
        <v>8.8926133112060823E-2</v>
      </c>
      <c r="E1276" s="7">
        <f t="shared" ca="1" si="98"/>
        <v>0.26287614397443959</v>
      </c>
      <c r="F1276" s="7">
        <f t="shared" ca="1" si="99"/>
        <v>1.725087779478374E-2</v>
      </c>
      <c r="G1276" s="7">
        <f t="shared" ca="1" si="95"/>
        <v>236.73904061647985</v>
      </c>
      <c r="H1276" s="7">
        <f ca="1">(G1276+DCF!$D$40+DCF!$D$41+DCF!$D$42-DCF!$D$43-DCF!$D$44)/DCF!$C$35</f>
        <v>1.9782483385059255</v>
      </c>
    </row>
    <row r="1277" spans="3:8" x14ac:dyDescent="0.35">
      <c r="C1277" s="8">
        <f t="shared" ca="1" si="96"/>
        <v>0.9999049462671209</v>
      </c>
      <c r="D1277" s="7">
        <f t="shared" ca="1" si="97"/>
        <v>0.10967430080458639</v>
      </c>
      <c r="E1277" s="7">
        <f t="shared" ca="1" si="98"/>
        <v>0.54604927611433285</v>
      </c>
      <c r="F1277" s="7">
        <f t="shared" ca="1" si="99"/>
        <v>2.0471613736989174E-2</v>
      </c>
      <c r="G1277" s="7">
        <f t="shared" ca="1" si="95"/>
        <v>184.63760730508164</v>
      </c>
      <c r="H1277" s="7">
        <f ca="1">(G1277+DCF!$D$40+DCF!$D$41+DCF!$D$42-DCF!$D$43-DCF!$D$44)/DCF!$C$35</f>
        <v>1.6841890016089944</v>
      </c>
    </row>
    <row r="1278" spans="3:8" x14ac:dyDescent="0.35">
      <c r="C1278" s="8">
        <f t="shared" ca="1" si="96"/>
        <v>0.89938918912804988</v>
      </c>
      <c r="D1278" s="7">
        <f t="shared" ca="1" si="97"/>
        <v>9.9403695694578409E-2</v>
      </c>
      <c r="E1278" s="7">
        <f t="shared" ca="1" si="98"/>
        <v>0.73289729443989271</v>
      </c>
      <c r="F1278" s="7">
        <f t="shared" ca="1" si="99"/>
        <v>2.2691064296901944E-2</v>
      </c>
      <c r="G1278" s="7">
        <f t="shared" ca="1" si="95"/>
        <v>214.55935222307886</v>
      </c>
      <c r="H1278" s="7">
        <f ca="1">(G1278+DCF!$D$40+DCF!$D$41+DCF!$D$42-DCF!$D$43-DCF!$D$44)/DCF!$C$35</f>
        <v>1.8530666679257188</v>
      </c>
    </row>
    <row r="1279" spans="3:8" x14ac:dyDescent="0.35">
      <c r="C1279" s="8">
        <f t="shared" ca="1" si="96"/>
        <v>0.35607439164731658</v>
      </c>
      <c r="D1279" s="7">
        <f t="shared" ca="1" si="97"/>
        <v>8.3192893126605508E-2</v>
      </c>
      <c r="E1279" s="7">
        <f t="shared" ca="1" si="98"/>
        <v>0.4973674555450559</v>
      </c>
      <c r="F1279" s="7">
        <f t="shared" ca="1" si="99"/>
        <v>1.9973639812476244E-2</v>
      </c>
      <c r="G1279" s="7">
        <f t="shared" ca="1" si="95"/>
        <v>266.75915716347868</v>
      </c>
      <c r="H1279" s="7">
        <f ca="1">(G1279+DCF!$D$40+DCF!$D$41+DCF!$D$42-DCF!$D$43-DCF!$D$44)/DCF!$C$35</f>
        <v>2.1476812121203221</v>
      </c>
    </row>
    <row r="1280" spans="3:8" x14ac:dyDescent="0.35">
      <c r="C1280" s="8">
        <f t="shared" ca="1" si="96"/>
        <v>0.93859773927482015</v>
      </c>
      <c r="D1280" s="7">
        <f t="shared" ca="1" si="97"/>
        <v>0.10172202180666676</v>
      </c>
      <c r="E1280" s="7">
        <f t="shared" ca="1" si="98"/>
        <v>0.24149914163757824</v>
      </c>
      <c r="F1280" s="7">
        <f t="shared" ca="1" si="99"/>
        <v>1.6949807790688578E-2</v>
      </c>
      <c r="G1280" s="7">
        <f t="shared" ca="1" si="95"/>
        <v>198.23217854592616</v>
      </c>
      <c r="H1280" s="7">
        <f ca="1">(G1280+DCF!$D$40+DCF!$D$41+DCF!$D$42-DCF!$D$43-DCF!$D$44)/DCF!$C$35</f>
        <v>1.7609164609206804</v>
      </c>
    </row>
    <row r="1281" spans="3:8" x14ac:dyDescent="0.35">
      <c r="C1281" s="8">
        <f t="shared" ca="1" si="96"/>
        <v>0.95392113409683388</v>
      </c>
      <c r="D1281" s="7">
        <f t="shared" ca="1" si="97"/>
        <v>0.10282894607829969</v>
      </c>
      <c r="E1281" s="7">
        <f t="shared" ca="1" si="98"/>
        <v>0.28542708494798696</v>
      </c>
      <c r="F1281" s="7">
        <f t="shared" ca="1" si="99"/>
        <v>1.7555489195915604E-2</v>
      </c>
      <c r="G1281" s="7">
        <f t="shared" ca="1" si="95"/>
        <v>196.42248550559395</v>
      </c>
      <c r="H1281" s="7">
        <f ca="1">(G1281+DCF!$D$40+DCF!$D$41+DCF!$D$42-DCF!$D$43-DCF!$D$44)/DCF!$C$35</f>
        <v>1.7507025934394058</v>
      </c>
    </row>
    <row r="1282" spans="3:8" x14ac:dyDescent="0.35">
      <c r="C1282" s="8">
        <f t="shared" ca="1" si="96"/>
        <v>0.61189522267881513</v>
      </c>
      <c r="D1282" s="7">
        <f t="shared" ca="1" si="97"/>
        <v>8.9188346257674717E-2</v>
      </c>
      <c r="E1282" s="7">
        <f t="shared" ca="1" si="98"/>
        <v>0.76567178164908911</v>
      </c>
      <c r="F1282" s="7">
        <f t="shared" ca="1" si="99"/>
        <v>2.3154151355004832E-2</v>
      </c>
      <c r="G1282" s="7">
        <f t="shared" ca="1" si="95"/>
        <v>250.81878403746077</v>
      </c>
      <c r="H1282" s="7">
        <f ca="1">(G1282+DCF!$D$40+DCF!$D$41+DCF!$D$42-DCF!$D$43-DCF!$D$44)/DCF!$C$35</f>
        <v>2.057714098868161</v>
      </c>
    </row>
    <row r="1283" spans="3:8" x14ac:dyDescent="0.35">
      <c r="C1283" s="8">
        <f t="shared" ca="1" si="96"/>
        <v>0.88985090935664568</v>
      </c>
      <c r="D1283" s="7">
        <f t="shared" ca="1" si="97"/>
        <v>9.8912782803697613E-2</v>
      </c>
      <c r="E1283" s="7">
        <f t="shared" ca="1" si="98"/>
        <v>0.32114740889648263</v>
      </c>
      <c r="F1283" s="7">
        <f t="shared" ca="1" si="99"/>
        <v>1.8014329777298693E-2</v>
      </c>
      <c r="G1283" s="7">
        <f t="shared" ca="1" si="95"/>
        <v>207.34762843010591</v>
      </c>
      <c r="H1283" s="7">
        <f ca="1">(G1283+DCF!$D$40+DCF!$D$41+DCF!$D$42-DCF!$D$43-DCF!$D$44)/DCF!$C$35</f>
        <v>1.8123638583931929</v>
      </c>
    </row>
    <row r="1284" spans="3:8" x14ac:dyDescent="0.35">
      <c r="C1284" s="8">
        <f t="shared" ca="1" si="96"/>
        <v>0.56532304331118821</v>
      </c>
      <c r="D1284" s="7">
        <f t="shared" ca="1" si="97"/>
        <v>8.7975025910010385E-2</v>
      </c>
      <c r="E1284" s="7">
        <f t="shared" ca="1" si="98"/>
        <v>0.8698077989051457</v>
      </c>
      <c r="F1284" s="7">
        <f t="shared" ca="1" si="99"/>
        <v>2.4897212505015434E-2</v>
      </c>
      <c r="G1284" s="7">
        <f t="shared" ca="1" si="95"/>
        <v>260.9425877339412</v>
      </c>
      <c r="H1284" s="7">
        <f ca="1">(G1284+DCF!$D$40+DCF!$D$41+DCF!$D$42-DCF!$D$43-DCF!$D$44)/DCF!$C$35</f>
        <v>2.114852622948082</v>
      </c>
    </row>
    <row r="1285" spans="3:8" x14ac:dyDescent="0.35">
      <c r="C1285" s="8">
        <f t="shared" ca="1" si="96"/>
        <v>0.82039941543072004</v>
      </c>
      <c r="D1285" s="7">
        <f t="shared" ca="1" si="97"/>
        <v>9.5842519561047723E-2</v>
      </c>
      <c r="E1285" s="7">
        <f t="shared" ca="1" si="98"/>
        <v>0.47147521955234273</v>
      </c>
      <c r="F1285" s="7">
        <f t="shared" ca="1" si="99"/>
        <v>1.9710563521777122E-2</v>
      </c>
      <c r="G1285" s="7">
        <f t="shared" ca="1" si="95"/>
        <v>219.41247921686272</v>
      </c>
      <c r="H1285" s="7">
        <f ca="1">(G1285+DCF!$D$40+DCF!$D$41+DCF!$D$42-DCF!$D$43-DCF!$D$44)/DCF!$C$35</f>
        <v>1.8804576093061447</v>
      </c>
    </row>
    <row r="1286" spans="3:8" x14ac:dyDescent="0.35">
      <c r="C1286" s="8">
        <f t="shared" ca="1" si="96"/>
        <v>0.52573654885827947</v>
      </c>
      <c r="D1286" s="7">
        <f t="shared" ca="1" si="97"/>
        <v>8.6993957066149777E-2</v>
      </c>
      <c r="E1286" s="7">
        <f t="shared" ca="1" si="98"/>
        <v>0.86024751703729574</v>
      </c>
      <c r="F1286" s="7">
        <f t="shared" ca="1" si="99"/>
        <v>2.4713177079517333E-2</v>
      </c>
      <c r="G1286" s="7">
        <f t="shared" ca="1" si="95"/>
        <v>264.68965501832582</v>
      </c>
      <c r="H1286" s="7">
        <f ca="1">(G1286+DCF!$D$40+DCF!$D$41+DCF!$D$42-DCF!$D$43-DCF!$D$44)/DCF!$C$35</f>
        <v>2.1360009877995587</v>
      </c>
    </row>
    <row r="1287" spans="3:8" x14ac:dyDescent="0.35">
      <c r="C1287" s="8">
        <f t="shared" ca="1" si="96"/>
        <v>0.15603608706006766</v>
      </c>
      <c r="D1287" s="7">
        <f t="shared" ca="1" si="97"/>
        <v>7.8690308748086732E-2</v>
      </c>
      <c r="E1287" s="7">
        <f t="shared" ca="1" si="98"/>
        <v>4.1688943407525492E-2</v>
      </c>
      <c r="F1287" s="7">
        <f t="shared" ca="1" si="99"/>
        <v>1.2887522931771296E-2</v>
      </c>
      <c r="G1287" s="7">
        <f t="shared" ca="1" si="95"/>
        <v>264.8704337348243</v>
      </c>
      <c r="H1287" s="7">
        <f ca="1">(G1287+DCF!$D$40+DCF!$D$41+DCF!$D$42-DCF!$D$43-DCF!$D$44)/DCF!$C$35</f>
        <v>2.1370212988758568</v>
      </c>
    </row>
    <row r="1288" spans="3:8" x14ac:dyDescent="0.35">
      <c r="C1288" s="8">
        <f t="shared" ca="1" si="96"/>
        <v>3.4171505906807065E-2</v>
      </c>
      <c r="D1288" s="7">
        <f t="shared" ca="1" si="97"/>
        <v>7.4066818026282302E-2</v>
      </c>
      <c r="E1288" s="7">
        <f t="shared" ca="1" si="98"/>
        <v>0.78302184544796483</v>
      </c>
      <c r="F1288" s="7">
        <f t="shared" ca="1" si="99"/>
        <v>2.3412463972743144E-2</v>
      </c>
      <c r="G1288" s="7">
        <f t="shared" ca="1" si="95"/>
        <v>330.70020821908014</v>
      </c>
      <c r="H1288" s="7">
        <f ca="1">(G1288+DCF!$D$40+DCF!$D$41+DCF!$D$42-DCF!$D$43-DCF!$D$44)/DCF!$C$35</f>
        <v>2.5085630896211768</v>
      </c>
    </row>
    <row r="1289" spans="3:8" x14ac:dyDescent="0.35">
      <c r="C1289" s="8">
        <f t="shared" ca="1" si="96"/>
        <v>0.77204858291718925</v>
      </c>
      <c r="D1289" s="7">
        <f t="shared" ca="1" si="97"/>
        <v>9.4050273310667148E-2</v>
      </c>
      <c r="E1289" s="7">
        <f t="shared" ca="1" si="98"/>
        <v>0.73912184167848261</v>
      </c>
      <c r="F1289" s="7">
        <f t="shared" ca="1" si="99"/>
        <v>2.2776729849693873E-2</v>
      </c>
      <c r="G1289" s="7">
        <f t="shared" ca="1" si="95"/>
        <v>231.83435465918365</v>
      </c>
      <c r="H1289" s="7">
        <f ca="1">(G1289+DCF!$D$40+DCF!$D$41+DCF!$D$42-DCF!$D$43-DCF!$D$44)/DCF!$C$35</f>
        <v>1.9505663994761464</v>
      </c>
    </row>
    <row r="1290" spans="3:8" x14ac:dyDescent="0.35">
      <c r="C1290" s="8">
        <f t="shared" ca="1" si="96"/>
        <v>0.88830558007177074</v>
      </c>
      <c r="D1290" s="7">
        <f t="shared" ca="1" si="97"/>
        <v>9.8835280001724007E-2</v>
      </c>
      <c r="E1290" s="7">
        <f t="shared" ca="1" si="98"/>
        <v>0.20983250799882502</v>
      </c>
      <c r="F1290" s="7">
        <f t="shared" ca="1" si="99"/>
        <v>1.6478155725186374E-2</v>
      </c>
      <c r="G1290" s="7">
        <f t="shared" ca="1" si="95"/>
        <v>204.91838258283497</v>
      </c>
      <c r="H1290" s="7">
        <f ca="1">(G1290+DCF!$D$40+DCF!$D$41+DCF!$D$42-DCF!$D$43-DCF!$D$44)/DCF!$C$35</f>
        <v>1.7986532485767861</v>
      </c>
    </row>
    <row r="1291" spans="3:8" x14ac:dyDescent="0.35">
      <c r="C1291" s="8">
        <f t="shared" ca="1" si="96"/>
        <v>0.47303546187740919</v>
      </c>
      <c r="D1291" s="7">
        <f t="shared" ca="1" si="97"/>
        <v>8.5749383006925139E-2</v>
      </c>
      <c r="E1291" s="7">
        <f t="shared" ca="1" si="98"/>
        <v>0.77758792921332154</v>
      </c>
      <c r="F1291" s="7">
        <f t="shared" ca="1" si="99"/>
        <v>2.3330486212823631E-2</v>
      </c>
      <c r="G1291" s="7">
        <f t="shared" ca="1" si="95"/>
        <v>265.89075783788439</v>
      </c>
      <c r="H1291" s="7">
        <f ca="1">(G1291+DCF!$D$40+DCF!$D$41+DCF!$D$42-DCF!$D$43-DCF!$D$44)/DCF!$C$35</f>
        <v>2.1427799855394762</v>
      </c>
    </row>
    <row r="1292" spans="3:8" x14ac:dyDescent="0.35">
      <c r="C1292" s="8">
        <f t="shared" ca="1" si="96"/>
        <v>0.44251691972438023</v>
      </c>
      <c r="D1292" s="7">
        <f t="shared" ca="1" si="97"/>
        <v>8.5057042725699278E-2</v>
      </c>
      <c r="E1292" s="7">
        <f t="shared" ca="1" si="98"/>
        <v>0.85306473727740395</v>
      </c>
      <c r="F1292" s="7">
        <f t="shared" ca="1" si="99"/>
        <v>2.4579017382012812E-2</v>
      </c>
      <c r="G1292" s="7">
        <f t="shared" ca="1" si="95"/>
        <v>273.15318747588287</v>
      </c>
      <c r="H1292" s="7">
        <f ca="1">(G1292+DCF!$D$40+DCF!$D$41+DCF!$D$42-DCF!$D$43-DCF!$D$44)/DCF!$C$35</f>
        <v>2.18376897773949</v>
      </c>
    </row>
    <row r="1293" spans="3:8" x14ac:dyDescent="0.35">
      <c r="C1293" s="8">
        <f t="shared" ca="1" si="96"/>
        <v>0.22993157215963034</v>
      </c>
      <c r="D1293" s="7">
        <f t="shared" ca="1" si="97"/>
        <v>8.0549259733519757E-2</v>
      </c>
      <c r="E1293" s="7">
        <f t="shared" ca="1" si="98"/>
        <v>0.8810256186009201</v>
      </c>
      <c r="F1293" s="7">
        <f t="shared" ca="1" si="99"/>
        <v>2.5122000791326839E-2</v>
      </c>
      <c r="G1293" s="7">
        <f t="shared" ca="1" si="95"/>
        <v>298.44044266201547</v>
      </c>
      <c r="H1293" s="7">
        <f ca="1">(G1293+DCF!$D$40+DCF!$D$41+DCF!$D$42-DCF!$D$43-DCF!$D$44)/DCF!$C$35</f>
        <v>2.3264896865448441</v>
      </c>
    </row>
    <row r="1294" spans="3:8" x14ac:dyDescent="0.35">
      <c r="C1294" s="8">
        <f t="shared" ca="1" si="96"/>
        <v>0.89788811393109647</v>
      </c>
      <c r="D1294" s="7">
        <f t="shared" ca="1" si="97"/>
        <v>9.9324941927422777E-2</v>
      </c>
      <c r="E1294" s="7">
        <f t="shared" ca="1" si="98"/>
        <v>0.74867454645878639</v>
      </c>
      <c r="F1294" s="7">
        <f t="shared" ca="1" si="99"/>
        <v>2.291021222403359E-2</v>
      </c>
      <c r="G1294" s="7">
        <f t="shared" ca="1" si="95"/>
        <v>215.22033396203878</v>
      </c>
      <c r="H1294" s="7">
        <f ca="1">(G1294+DCF!$D$40+DCF!$D$41+DCF!$D$42-DCF!$D$43-DCF!$D$44)/DCF!$C$35</f>
        <v>1.8567972342365888</v>
      </c>
    </row>
    <row r="1295" spans="3:8" x14ac:dyDescent="0.35">
      <c r="C1295" s="8">
        <f t="shared" ca="1" si="96"/>
        <v>0.27695178590103242</v>
      </c>
      <c r="D1295" s="7">
        <f t="shared" ca="1" si="97"/>
        <v>8.1577765949271033E-2</v>
      </c>
      <c r="E1295" s="7">
        <f t="shared" ca="1" si="98"/>
        <v>0.75785080533795213</v>
      </c>
      <c r="F1295" s="7">
        <f t="shared" ca="1" si="99"/>
        <v>2.3040844955570426E-2</v>
      </c>
      <c r="G1295" s="7">
        <f t="shared" ca="1" si="95"/>
        <v>284.83580818611762</v>
      </c>
      <c r="H1295" s="7">
        <f ca="1">(G1295+DCF!$D$40+DCF!$D$41+DCF!$D$42-DCF!$D$43-DCF!$D$44)/DCF!$C$35</f>
        <v>2.2497054305571598</v>
      </c>
    </row>
    <row r="1296" spans="3:8" x14ac:dyDescent="0.35">
      <c r="C1296" s="8">
        <f t="shared" ca="1" si="96"/>
        <v>0.30915565995576133</v>
      </c>
      <c r="D1296" s="7">
        <f t="shared" ca="1" si="97"/>
        <v>8.2233432270275644E-2</v>
      </c>
      <c r="E1296" s="7">
        <f t="shared" ca="1" si="98"/>
        <v>0.3886312961439522</v>
      </c>
      <c r="F1296" s="7">
        <f t="shared" ca="1" si="99"/>
        <v>1.8816249725863626E-2</v>
      </c>
      <c r="G1296" s="7">
        <f t="shared" ref="G1296:G1359" ca="1" si="100">$C$11/(1+D1296)^1
 +$D$11/(1+D1296)^2
 +$E$11/(1+D1296)^3
 +$F$11/(1+D1296)^4
 +$G$11/(1+D1296)^5
 +$H$11/(1+D1296)^6
 +$I$11/(1+D1296)^7
 + ( $I$11*(1+F1296)/(D1296-F1296) )/(1+D1296)^7</f>
        <v>267.41595416562649</v>
      </c>
      <c r="H1296" s="7">
        <f ca="1">(G1296+DCF!$D$40+DCF!$D$41+DCF!$D$42-DCF!$D$43-DCF!$D$44)/DCF!$C$35</f>
        <v>2.1513881598692093</v>
      </c>
    </row>
    <row r="1297" spans="3:8" x14ac:dyDescent="0.35">
      <c r="C1297" s="8">
        <f t="shared" ref="C1297:C1360" ca="1" si="101">RAND()</f>
        <v>0.16433573806707369</v>
      </c>
      <c r="D1297" s="7">
        <f t="shared" ref="D1297:D1360" ca="1" si="102">IF(C1297&lt;($C$6-0.07)/(0.11-0.07),0.07+SQRT(C1297*(0.11-0.07)*($C$6-0.07)),0.11-SQRT((1-C1297)*(0.11-0.07)*(0.11-$C$6)))</f>
        <v>7.8918435805928291E-2</v>
      </c>
      <c r="E1297" s="7">
        <f t="shared" ref="E1297:E1360" ca="1" si="103">RAND()</f>
        <v>0.38388866481203443</v>
      </c>
      <c r="F1297" s="7">
        <f t="shared" ref="F1297:F1360" ca="1" si="104">MIN(
 IF(E1297&lt;(0.02-0.01)/(0.03-0.01),
   0.01+SQRT(E1297*(0.03-0.01)*(0.02-0.01)),
   0.03-SQRT((1-E1297)*(0.03-0.01)*(0.03-0.02))
 ),
 D1297-0.005
)</f>
        <v>1.8762290394777319E-2</v>
      </c>
      <c r="G1297" s="7">
        <f t="shared" ca="1" si="100"/>
        <v>282.79028682567798</v>
      </c>
      <c r="H1297" s="7">
        <f ca="1">(G1297+DCF!$D$40+DCF!$D$41+DCF!$D$42-DCF!$D$43-DCF!$D$44)/DCF!$C$35</f>
        <v>2.2381605532547577</v>
      </c>
    </row>
    <row r="1298" spans="3:8" x14ac:dyDescent="0.35">
      <c r="C1298" s="8">
        <f t="shared" ca="1" si="101"/>
        <v>0.60197656472987993</v>
      </c>
      <c r="D1298" s="7">
        <f t="shared" ca="1" si="102"/>
        <v>8.8924085932955282E-2</v>
      </c>
      <c r="E1298" s="7">
        <f t="shared" ca="1" si="103"/>
        <v>0.87106917276693141</v>
      </c>
      <c r="F1298" s="7">
        <f t="shared" ca="1" si="104"/>
        <v>2.4921991980450038E-2</v>
      </c>
      <c r="G1298" s="7">
        <f t="shared" ca="1" si="100"/>
        <v>256.95548288284726</v>
      </c>
      <c r="H1298" s="7">
        <f ca="1">(G1298+DCF!$D$40+DCF!$D$41+DCF!$D$42-DCF!$D$43-DCF!$D$44)/DCF!$C$35</f>
        <v>2.0923494913807836</v>
      </c>
    </row>
    <row r="1299" spans="3:8" x14ac:dyDescent="0.35">
      <c r="C1299" s="8">
        <f t="shared" ca="1" si="101"/>
        <v>0.92784115785713739</v>
      </c>
      <c r="D1299" s="7">
        <f t="shared" ca="1" si="102"/>
        <v>0.10102618989328196</v>
      </c>
      <c r="E1299" s="7">
        <f t="shared" ca="1" si="103"/>
        <v>0.97130813686367778</v>
      </c>
      <c r="F1299" s="7">
        <f t="shared" ca="1" si="104"/>
        <v>2.7604509940061441E-2</v>
      </c>
      <c r="G1299" s="7">
        <f t="shared" ca="1" si="100"/>
        <v>219.50956262223514</v>
      </c>
      <c r="H1299" s="7">
        <f ca="1">(G1299+DCF!$D$40+DCF!$D$41+DCF!$D$42-DCF!$D$43-DCF!$D$44)/DCF!$C$35</f>
        <v>1.8810055458981552</v>
      </c>
    </row>
    <row r="1300" spans="3:8" x14ac:dyDescent="0.35">
      <c r="C1300" s="8">
        <f t="shared" ca="1" si="101"/>
        <v>0.96914622516127036</v>
      </c>
      <c r="D1300" s="7">
        <f t="shared" ca="1" si="102"/>
        <v>0.10413205208611884</v>
      </c>
      <c r="E1300" s="7">
        <f t="shared" ca="1" si="103"/>
        <v>0.91489632900913853</v>
      </c>
      <c r="F1300" s="7">
        <f t="shared" ca="1" si="104"/>
        <v>2.5874380749733163E-2</v>
      </c>
      <c r="G1300" s="7">
        <f t="shared" ca="1" si="100"/>
        <v>206.91110408061985</v>
      </c>
      <c r="H1300" s="7">
        <f ca="1">(G1300+DCF!$D$40+DCF!$D$41+DCF!$D$42-DCF!$D$43-DCF!$D$44)/DCF!$C$35</f>
        <v>1.8099001246225299</v>
      </c>
    </row>
    <row r="1301" spans="3:8" x14ac:dyDescent="0.35">
      <c r="C1301" s="8">
        <f t="shared" ca="1" si="101"/>
        <v>0.66646790192491634</v>
      </c>
      <c r="D1301" s="7">
        <f t="shared" ca="1" si="102"/>
        <v>9.070694888174001E-2</v>
      </c>
      <c r="E1301" s="7">
        <f t="shared" ca="1" si="103"/>
        <v>0.11144678125847085</v>
      </c>
      <c r="F1301" s="7">
        <f t="shared" ca="1" si="104"/>
        <v>1.4721160477223176E-2</v>
      </c>
      <c r="G1301" s="7">
        <f t="shared" ca="1" si="100"/>
        <v>225.22135040354385</v>
      </c>
      <c r="H1301" s="7">
        <f ca="1">(G1301+DCF!$D$40+DCF!$D$41+DCF!$D$42-DCF!$D$43-DCF!$D$44)/DCF!$C$35</f>
        <v>1.9132427497660223</v>
      </c>
    </row>
    <row r="1302" spans="3:8" x14ac:dyDescent="0.35">
      <c r="C1302" s="8">
        <f t="shared" ca="1" si="101"/>
        <v>0.23993398323194848</v>
      </c>
      <c r="D1302" s="7">
        <f t="shared" ca="1" si="102"/>
        <v>8.0776272448498276E-2</v>
      </c>
      <c r="E1302" s="7">
        <f t="shared" ca="1" si="103"/>
        <v>0.66855602441587159</v>
      </c>
      <c r="F1302" s="7">
        <f t="shared" ca="1" si="104"/>
        <v>2.1858206885653157E-2</v>
      </c>
      <c r="G1302" s="7">
        <f t="shared" ca="1" si="100"/>
        <v>284.58574198405438</v>
      </c>
      <c r="H1302" s="7">
        <f ca="1">(G1302+DCF!$D$40+DCF!$D$41+DCF!$D$42-DCF!$D$43-DCF!$D$44)/DCF!$C$35</f>
        <v>2.2482940624452779</v>
      </c>
    </row>
    <row r="1303" spans="3:8" x14ac:dyDescent="0.35">
      <c r="C1303" s="8">
        <f t="shared" ca="1" si="101"/>
        <v>0.36567300037467476</v>
      </c>
      <c r="D1303" s="7">
        <f t="shared" ca="1" si="102"/>
        <v>8.3393441944102156E-2</v>
      </c>
      <c r="E1303" s="7">
        <f t="shared" ca="1" si="103"/>
        <v>0.36096522966370248</v>
      </c>
      <c r="F1303" s="7">
        <f t="shared" ca="1" si="104"/>
        <v>1.8496649100247724E-2</v>
      </c>
      <c r="G1303" s="7">
        <f t="shared" ca="1" si="100"/>
        <v>261.39880771841598</v>
      </c>
      <c r="H1303" s="7">
        <f ca="1">(G1303+DCF!$D$40+DCF!$D$41+DCF!$D$42-DCF!$D$43-DCF!$D$44)/DCF!$C$35</f>
        <v>2.1174275184468674</v>
      </c>
    </row>
    <row r="1304" spans="3:8" x14ac:dyDescent="0.35">
      <c r="C1304" s="8">
        <f t="shared" ca="1" si="101"/>
        <v>0.62621198621960328</v>
      </c>
      <c r="D1304" s="7">
        <f t="shared" ca="1" si="102"/>
        <v>8.9575812785353676E-2</v>
      </c>
      <c r="E1304" s="7">
        <f t="shared" ca="1" si="103"/>
        <v>0.48609374728090482</v>
      </c>
      <c r="F1304" s="7">
        <f t="shared" ca="1" si="104"/>
        <v>1.9859956868880358E-2</v>
      </c>
      <c r="G1304" s="7">
        <f t="shared" ca="1" si="100"/>
        <v>240.71166697286418</v>
      </c>
      <c r="H1304" s="7">
        <f ca="1">(G1304+DCF!$D$40+DCF!$D$41+DCF!$D$42-DCF!$D$43-DCF!$D$44)/DCF!$C$35</f>
        <v>2.0006697537694107</v>
      </c>
    </row>
    <row r="1305" spans="3:8" x14ac:dyDescent="0.35">
      <c r="C1305" s="8">
        <f t="shared" ca="1" si="101"/>
        <v>0.44379783326373079</v>
      </c>
      <c r="D1305" s="7">
        <f t="shared" ca="1" si="102"/>
        <v>8.5085714578224877E-2</v>
      </c>
      <c r="E1305" s="7">
        <f t="shared" ca="1" si="103"/>
        <v>0.56747306965426469</v>
      </c>
      <c r="F1305" s="7">
        <f t="shared" ca="1" si="104"/>
        <v>2.0699172828766946E-2</v>
      </c>
      <c r="G1305" s="7">
        <f t="shared" ca="1" si="100"/>
        <v>260.72442937330254</v>
      </c>
      <c r="H1305" s="7">
        <f ca="1">(G1305+DCF!$D$40+DCF!$D$41+DCF!$D$42-DCF!$D$43-DCF!$D$44)/DCF!$C$35</f>
        <v>2.1136213419872587</v>
      </c>
    </row>
    <row r="1306" spans="3:8" x14ac:dyDescent="0.35">
      <c r="C1306" s="8">
        <f t="shared" ca="1" si="101"/>
        <v>0.31753030073856792</v>
      </c>
      <c r="D1306" s="7">
        <f t="shared" ca="1" si="102"/>
        <v>8.2402243127823627E-2</v>
      </c>
      <c r="E1306" s="7">
        <f t="shared" ca="1" si="103"/>
        <v>0.25266142791020973</v>
      </c>
      <c r="F1306" s="7">
        <f t="shared" ca="1" si="104"/>
        <v>1.7108606444447599E-2</v>
      </c>
      <c r="G1306" s="7">
        <f t="shared" ca="1" si="100"/>
        <v>261.51400360934792</v>
      </c>
      <c r="H1306" s="7">
        <f ca="1">(G1306+DCF!$D$40+DCF!$D$41+DCF!$D$42-DCF!$D$43-DCF!$D$44)/DCF!$C$35</f>
        <v>2.118077681506648</v>
      </c>
    </row>
    <row r="1307" spans="3:8" x14ac:dyDescent="0.35">
      <c r="C1307" s="8">
        <f t="shared" ca="1" si="101"/>
        <v>0.67566558203424998</v>
      </c>
      <c r="D1307" s="7">
        <f t="shared" ca="1" si="102"/>
        <v>9.097482692720571E-2</v>
      </c>
      <c r="E1307" s="7">
        <f t="shared" ca="1" si="103"/>
        <v>0.88773625216129959</v>
      </c>
      <c r="F1307" s="7">
        <f t="shared" ca="1" si="104"/>
        <v>2.5261566760231807E-2</v>
      </c>
      <c r="G1307" s="7">
        <f t="shared" ca="1" si="100"/>
        <v>249.51224480445575</v>
      </c>
      <c r="H1307" s="7">
        <f ca="1">(G1307+DCF!$D$40+DCF!$D$41+DCF!$D$42-DCF!$D$43-DCF!$D$44)/DCF!$C$35</f>
        <v>2.0503400203434685</v>
      </c>
    </row>
    <row r="1308" spans="3:8" x14ac:dyDescent="0.35">
      <c r="C1308" s="8">
        <f t="shared" ca="1" si="101"/>
        <v>0.90218646715306205</v>
      </c>
      <c r="D1308" s="7">
        <f t="shared" ca="1" si="102"/>
        <v>9.9552038349171521E-2</v>
      </c>
      <c r="E1308" s="7">
        <f t="shared" ca="1" si="103"/>
        <v>0.20398812993994175</v>
      </c>
      <c r="F1308" s="7">
        <f t="shared" ca="1" si="104"/>
        <v>1.6387301933366571E-2</v>
      </c>
      <c r="G1308" s="7">
        <f t="shared" ca="1" si="100"/>
        <v>202.87710336995093</v>
      </c>
      <c r="H1308" s="7">
        <f ca="1">(G1308+DCF!$D$40+DCF!$D$41+DCF!$D$42-DCF!$D$43-DCF!$D$44)/DCF!$C$35</f>
        <v>1.7871323138613326</v>
      </c>
    </row>
    <row r="1309" spans="3:8" x14ac:dyDescent="0.35">
      <c r="C1309" s="8">
        <f t="shared" ca="1" si="101"/>
        <v>0.60223311046386285</v>
      </c>
      <c r="D1309" s="7">
        <f t="shared" ca="1" si="102"/>
        <v>8.8930879260815637E-2</v>
      </c>
      <c r="E1309" s="7">
        <f t="shared" ca="1" si="103"/>
        <v>0.21238296509269816</v>
      </c>
      <c r="F1309" s="7">
        <f t="shared" ca="1" si="104"/>
        <v>1.6517406924424747E-2</v>
      </c>
      <c r="G1309" s="7">
        <f t="shared" ca="1" si="100"/>
        <v>235.01476940451522</v>
      </c>
      <c r="H1309" s="7">
        <f ca="1">(G1309+DCF!$D$40+DCF!$D$41+DCF!$D$42-DCF!$D$43-DCF!$D$44)/DCF!$C$35</f>
        <v>1.9685165899340513</v>
      </c>
    </row>
    <row r="1310" spans="3:8" x14ac:dyDescent="0.35">
      <c r="C1310" s="8">
        <f t="shared" ca="1" si="101"/>
        <v>0.8423385494980824</v>
      </c>
      <c r="D1310" s="7">
        <f t="shared" ca="1" si="102"/>
        <v>9.6735378680107759E-2</v>
      </c>
      <c r="E1310" s="7">
        <f t="shared" ca="1" si="103"/>
        <v>0.45413938409903132</v>
      </c>
      <c r="F1310" s="7">
        <f t="shared" ca="1" si="104"/>
        <v>1.9530366038080921E-2</v>
      </c>
      <c r="G1310" s="7">
        <f t="shared" ca="1" si="100"/>
        <v>216.35894609876857</v>
      </c>
      <c r="H1310" s="7">
        <f ca="1">(G1310+DCF!$D$40+DCF!$D$41+DCF!$D$42-DCF!$D$43-DCF!$D$44)/DCF!$C$35</f>
        <v>1.8632235359451887</v>
      </c>
    </row>
    <row r="1311" spans="3:8" x14ac:dyDescent="0.35">
      <c r="C1311" s="8">
        <f t="shared" ca="1" si="101"/>
        <v>0.33781750218765649</v>
      </c>
      <c r="D1311" s="7">
        <f t="shared" ca="1" si="102"/>
        <v>8.2815525247697447E-2</v>
      </c>
      <c r="E1311" s="7">
        <f t="shared" ca="1" si="103"/>
        <v>0.79829938505967235</v>
      </c>
      <c r="F1311" s="7">
        <f t="shared" ca="1" si="104"/>
        <v>2.3648612514728336E-2</v>
      </c>
      <c r="G1311" s="7">
        <f t="shared" ca="1" si="100"/>
        <v>280.80197080451643</v>
      </c>
      <c r="H1311" s="7">
        <f ca="1">(G1311+DCF!$D$40+DCF!$D$41+DCF!$D$42-DCF!$D$43-DCF!$D$44)/DCF!$C$35</f>
        <v>2.2269385416216076</v>
      </c>
    </row>
    <row r="1312" spans="3:8" x14ac:dyDescent="0.35">
      <c r="C1312" s="8">
        <f t="shared" ca="1" si="101"/>
        <v>0.78372719354292641</v>
      </c>
      <c r="D1312" s="7">
        <f t="shared" ca="1" si="102"/>
        <v>9.4464220263981144E-2</v>
      </c>
      <c r="E1312" s="7">
        <f t="shared" ca="1" si="103"/>
        <v>9.2455415530567242E-2</v>
      </c>
      <c r="F1312" s="7">
        <f t="shared" ca="1" si="104"/>
        <v>1.4300125940727021E-2</v>
      </c>
      <c r="G1312" s="7">
        <f t="shared" ca="1" si="100"/>
        <v>213.12870520990907</v>
      </c>
      <c r="H1312" s="7">
        <f ca="1">(G1312+DCF!$D$40+DCF!$D$41+DCF!$D$42-DCF!$D$43-DCF!$D$44)/DCF!$C$35</f>
        <v>1.8449921278355856</v>
      </c>
    </row>
    <row r="1313" spans="3:8" x14ac:dyDescent="0.35">
      <c r="C1313" s="8">
        <f t="shared" ca="1" si="101"/>
        <v>0.81385154272663129</v>
      </c>
      <c r="D1313" s="7">
        <f t="shared" ca="1" si="102"/>
        <v>9.5586753373473443E-2</v>
      </c>
      <c r="E1313" s="7">
        <f t="shared" ca="1" si="103"/>
        <v>3.6390184313453644E-2</v>
      </c>
      <c r="F1313" s="7">
        <f t="shared" ca="1" si="104"/>
        <v>1.2697783694570551E-2</v>
      </c>
      <c r="G1313" s="7">
        <f t="shared" ca="1" si="100"/>
        <v>207.20770685245748</v>
      </c>
      <c r="H1313" s="7">
        <f ca="1">(G1313+DCF!$D$40+DCF!$D$41+DCF!$D$42-DCF!$D$43-DCF!$D$44)/DCF!$C$35</f>
        <v>1.8115741441046249</v>
      </c>
    </row>
    <row r="1314" spans="3:8" x14ac:dyDescent="0.35">
      <c r="C1314" s="8">
        <f t="shared" ca="1" si="101"/>
        <v>0.62488574544638786</v>
      </c>
      <c r="D1314" s="7">
        <f t="shared" ca="1" si="102"/>
        <v>8.9539611243140291E-2</v>
      </c>
      <c r="E1314" s="7">
        <f t="shared" ca="1" si="103"/>
        <v>0.72342504258323259</v>
      </c>
      <c r="F1314" s="7">
        <f t="shared" ca="1" si="104"/>
        <v>2.2562595110970932E-2</v>
      </c>
      <c r="G1314" s="7">
        <f t="shared" ca="1" si="100"/>
        <v>247.81874742679236</v>
      </c>
      <c r="H1314" s="7">
        <f ca="1">(G1314+DCF!$D$40+DCF!$D$41+DCF!$D$42-DCF!$D$43-DCF!$D$44)/DCF!$C$35</f>
        <v>2.0407819586115381</v>
      </c>
    </row>
    <row r="1315" spans="3:8" x14ac:dyDescent="0.35">
      <c r="C1315" s="8">
        <f t="shared" ca="1" si="101"/>
        <v>0.53587207563430672</v>
      </c>
      <c r="D1315" s="7">
        <f t="shared" ca="1" si="102"/>
        <v>8.7241116820192754E-2</v>
      </c>
      <c r="E1315" s="7">
        <f t="shared" ca="1" si="103"/>
        <v>0.18482884520878107</v>
      </c>
      <c r="F1315" s="7">
        <f t="shared" ca="1" si="104"/>
        <v>1.6079948111765118E-2</v>
      </c>
      <c r="G1315" s="7">
        <f t="shared" ca="1" si="100"/>
        <v>239.92545331526208</v>
      </c>
      <c r="H1315" s="7">
        <f ca="1">(G1315+DCF!$D$40+DCF!$D$41+DCF!$D$42-DCF!$D$43-DCF!$D$44)/DCF!$C$35</f>
        <v>1.9962323812804044</v>
      </c>
    </row>
    <row r="1316" spans="3:8" x14ac:dyDescent="0.35">
      <c r="C1316" s="8">
        <f t="shared" ca="1" si="101"/>
        <v>0.12563917080894782</v>
      </c>
      <c r="D1316" s="7">
        <f t="shared" ca="1" si="102"/>
        <v>7.7798035564905485E-2</v>
      </c>
      <c r="E1316" s="7">
        <f t="shared" ca="1" si="103"/>
        <v>0.68677675470494337</v>
      </c>
      <c r="F1316" s="7">
        <f t="shared" ca="1" si="104"/>
        <v>2.2085162726940541E-2</v>
      </c>
      <c r="G1316" s="7">
        <f t="shared" ca="1" si="100"/>
        <v>301.42550421799746</v>
      </c>
      <c r="H1316" s="7">
        <f ca="1">(G1316+DCF!$D$40+DCF!$D$41+DCF!$D$42-DCF!$D$43-DCF!$D$44)/DCF!$C$35</f>
        <v>2.3433373079241306</v>
      </c>
    </row>
    <row r="1317" spans="3:8" x14ac:dyDescent="0.35">
      <c r="C1317" s="8">
        <f t="shared" ca="1" si="101"/>
        <v>0.24398637003765167</v>
      </c>
      <c r="D1317" s="7">
        <f t="shared" ca="1" si="102"/>
        <v>8.0866894823187693E-2</v>
      </c>
      <c r="E1317" s="7">
        <f t="shared" ca="1" si="103"/>
        <v>0.43204123393877414</v>
      </c>
      <c r="F1317" s="7">
        <f t="shared" ca="1" si="104"/>
        <v>1.9295603626863337E-2</v>
      </c>
      <c r="G1317" s="7">
        <f t="shared" ca="1" si="100"/>
        <v>275.21495971688751</v>
      </c>
      <c r="H1317" s="7">
        <f ca="1">(G1317+DCF!$D$40+DCF!$D$41+DCF!$D$42-DCF!$D$43-DCF!$D$44)/DCF!$C$35</f>
        <v>2.1954055746522605</v>
      </c>
    </row>
    <row r="1318" spans="3:8" x14ac:dyDescent="0.35">
      <c r="C1318" s="8">
        <f t="shared" ca="1" si="101"/>
        <v>0.80432232499528256</v>
      </c>
      <c r="D1318" s="7">
        <f t="shared" ca="1" si="102"/>
        <v>9.522243980539194E-2</v>
      </c>
      <c r="E1318" s="7">
        <f t="shared" ca="1" si="103"/>
        <v>0.21606730927441309</v>
      </c>
      <c r="F1318" s="7">
        <f t="shared" ca="1" si="104"/>
        <v>1.6573694688292315E-2</v>
      </c>
      <c r="G1318" s="7">
        <f t="shared" ca="1" si="100"/>
        <v>215.16139318538541</v>
      </c>
      <c r="H1318" s="7">
        <f ca="1">(G1318+DCF!$D$40+DCF!$D$41+DCF!$D$42-DCF!$D$43-DCF!$D$44)/DCF!$C$35</f>
        <v>1.8564645737971859</v>
      </c>
    </row>
    <row r="1319" spans="3:8" x14ac:dyDescent="0.35">
      <c r="C1319" s="8">
        <f t="shared" ca="1" si="101"/>
        <v>8.9805584525109894E-2</v>
      </c>
      <c r="D1319" s="7">
        <f t="shared" ca="1" si="102"/>
        <v>7.6592867578690868E-2</v>
      </c>
      <c r="E1319" s="7">
        <f t="shared" ca="1" si="103"/>
        <v>5.6871479920493351E-2</v>
      </c>
      <c r="F1319" s="7">
        <f t="shared" ca="1" si="104"/>
        <v>1.3372580018931896E-2</v>
      </c>
      <c r="G1319" s="7">
        <f t="shared" ca="1" si="100"/>
        <v>275.68836161629724</v>
      </c>
      <c r="H1319" s="7">
        <f ca="1">(G1319+DCF!$D$40+DCF!$D$41+DCF!$D$42-DCF!$D$43-DCF!$D$44)/DCF!$C$35</f>
        <v>2.1980774444987992</v>
      </c>
    </row>
    <row r="1320" spans="3:8" x14ac:dyDescent="0.35">
      <c r="C1320" s="8">
        <f t="shared" ca="1" si="101"/>
        <v>0.56670055981061673</v>
      </c>
      <c r="D1320" s="7">
        <f t="shared" ca="1" si="102"/>
        <v>8.8009952813798892E-2</v>
      </c>
      <c r="E1320" s="7">
        <f t="shared" ca="1" si="103"/>
        <v>0.73609227540165989</v>
      </c>
      <c r="F1320" s="7">
        <f t="shared" ca="1" si="104"/>
        <v>2.2734909159572193E-2</v>
      </c>
      <c r="G1320" s="7">
        <f t="shared" ca="1" si="100"/>
        <v>254.41593695143405</v>
      </c>
      <c r="H1320" s="7">
        <f ca="1">(G1320+DCF!$D$40+DCF!$D$41+DCF!$D$42-DCF!$D$43-DCF!$D$44)/DCF!$C$35</f>
        <v>2.0780163503298006</v>
      </c>
    </row>
    <row r="1321" spans="3:8" x14ac:dyDescent="0.35">
      <c r="C1321" s="8">
        <f t="shared" ca="1" si="101"/>
        <v>0.96877902539488314</v>
      </c>
      <c r="D1321" s="7">
        <f t="shared" ca="1" si="102"/>
        <v>0.1040972372858711</v>
      </c>
      <c r="E1321" s="7">
        <f t="shared" ca="1" si="103"/>
        <v>0.49333321628665439</v>
      </c>
      <c r="F1321" s="7">
        <f t="shared" ca="1" si="104"/>
        <v>1.9933108438818681E-2</v>
      </c>
      <c r="G1321" s="7">
        <f t="shared" ca="1" si="100"/>
        <v>196.97157288549118</v>
      </c>
      <c r="H1321" s="7">
        <f ca="1">(G1321+DCF!$D$40+DCF!$D$41+DCF!$D$42-DCF!$D$43-DCF!$D$44)/DCF!$C$35</f>
        <v>1.7538016304633208</v>
      </c>
    </row>
    <row r="1322" spans="3:8" x14ac:dyDescent="0.35">
      <c r="C1322" s="8">
        <f t="shared" ca="1" si="101"/>
        <v>0.41476711527382626</v>
      </c>
      <c r="D1322" s="7">
        <f t="shared" ca="1" si="102"/>
        <v>8.4443789417161047E-2</v>
      </c>
      <c r="E1322" s="7">
        <f t="shared" ca="1" si="103"/>
        <v>0.47638377860322045</v>
      </c>
      <c r="F1322" s="7">
        <f t="shared" ca="1" si="104"/>
        <v>1.9760981288817436E-2</v>
      </c>
      <c r="G1322" s="7">
        <f t="shared" ca="1" si="100"/>
        <v>260.67346554596168</v>
      </c>
      <c r="H1322" s="7">
        <f ca="1">(G1322+DCF!$D$40+DCF!$D$41+DCF!$D$42-DCF!$D$43-DCF!$D$44)/DCF!$C$35</f>
        <v>2.1133337032732906</v>
      </c>
    </row>
    <row r="1323" spans="3:8" x14ac:dyDescent="0.35">
      <c r="C1323" s="8">
        <f t="shared" ca="1" si="101"/>
        <v>0.79373825019190847</v>
      </c>
      <c r="D1323" s="7">
        <f t="shared" ca="1" si="102"/>
        <v>9.4828048484594016E-2</v>
      </c>
      <c r="E1323" s="7">
        <f t="shared" ca="1" si="103"/>
        <v>0.3251100078226844</v>
      </c>
      <c r="F1323" s="7">
        <f t="shared" ca="1" si="104"/>
        <v>1.8063622111962892E-2</v>
      </c>
      <c r="G1323" s="7">
        <f t="shared" ca="1" si="100"/>
        <v>219.22052206088512</v>
      </c>
      <c r="H1323" s="7">
        <f ca="1">(G1323+DCF!$D$40+DCF!$D$41+DCF!$D$42-DCF!$D$43-DCF!$D$44)/DCF!$C$35</f>
        <v>1.8793742073647426</v>
      </c>
    </row>
    <row r="1324" spans="3:8" x14ac:dyDescent="0.35">
      <c r="C1324" s="8">
        <f t="shared" ca="1" si="101"/>
        <v>0.40443164635175521</v>
      </c>
      <c r="D1324" s="7">
        <f t="shared" ca="1" si="102"/>
        <v>8.4219110126463034E-2</v>
      </c>
      <c r="E1324" s="7">
        <f t="shared" ca="1" si="103"/>
        <v>0.60460072963577671</v>
      </c>
      <c r="F1324" s="7">
        <f t="shared" ca="1" si="104"/>
        <v>2.1107314574728024E-2</v>
      </c>
      <c r="G1324" s="7">
        <f t="shared" ca="1" si="100"/>
        <v>265.73691245952614</v>
      </c>
      <c r="H1324" s="7">
        <f ca="1">(G1324+DCF!$D$40+DCF!$D$41+DCF!$D$42-DCF!$D$43-DCF!$D$44)/DCF!$C$35</f>
        <v>2.1419116856277576</v>
      </c>
    </row>
    <row r="1325" spans="3:8" x14ac:dyDescent="0.35">
      <c r="C1325" s="8">
        <f t="shared" ca="1" si="101"/>
        <v>0.70248916378531934</v>
      </c>
      <c r="D1325" s="7">
        <f t="shared" ca="1" si="102"/>
        <v>9.1778526590432286E-2</v>
      </c>
      <c r="E1325" s="7">
        <f t="shared" ca="1" si="103"/>
        <v>2.4535522059115578E-2</v>
      </c>
      <c r="F1325" s="7">
        <f t="shared" ca="1" si="104"/>
        <v>1.2215198503932123E-2</v>
      </c>
      <c r="G1325" s="7">
        <f t="shared" ca="1" si="100"/>
        <v>217.01651817063086</v>
      </c>
      <c r="H1325" s="7">
        <f ca="1">(G1325+DCF!$D$40+DCF!$D$41+DCF!$D$42-DCF!$D$43-DCF!$D$44)/DCF!$C$35</f>
        <v>1.8669348581703966</v>
      </c>
    </row>
    <row r="1326" spans="3:8" x14ac:dyDescent="0.35">
      <c r="C1326" s="8">
        <f t="shared" ca="1" si="101"/>
        <v>0.77994792091659704</v>
      </c>
      <c r="D1326" s="7">
        <f t="shared" ca="1" si="102"/>
        <v>9.4329067664715105E-2</v>
      </c>
      <c r="E1326" s="7">
        <f t="shared" ca="1" si="103"/>
        <v>0.22517817421519093</v>
      </c>
      <c r="F1326" s="7">
        <f t="shared" ca="1" si="104"/>
        <v>1.6710859471262843E-2</v>
      </c>
      <c r="G1326" s="7">
        <f t="shared" ca="1" si="100"/>
        <v>218.0668329759429</v>
      </c>
      <c r="H1326" s="7">
        <f ca="1">(G1326+DCF!$D$40+DCF!$D$41+DCF!$D$42-DCF!$D$43-DCF!$D$44)/DCF!$C$35</f>
        <v>1.872862811694</v>
      </c>
    </row>
    <row r="1327" spans="3:8" x14ac:dyDescent="0.35">
      <c r="C1327" s="8">
        <f t="shared" ca="1" si="101"/>
        <v>0.335396582137093</v>
      </c>
      <c r="D1327" s="7">
        <f t="shared" ca="1" si="102"/>
        <v>8.276587775721414E-2</v>
      </c>
      <c r="E1327" s="7">
        <f t="shared" ca="1" si="103"/>
        <v>7.3145120329422331E-2</v>
      </c>
      <c r="F1327" s="7">
        <f t="shared" ca="1" si="104"/>
        <v>1.3824790721841453E-2</v>
      </c>
      <c r="G1327" s="7">
        <f t="shared" ca="1" si="100"/>
        <v>250.91151321153762</v>
      </c>
      <c r="H1327" s="7">
        <f ca="1">(G1327+DCF!$D$40+DCF!$D$41+DCF!$D$42-DCF!$D$43-DCF!$D$44)/DCF!$C$35</f>
        <v>2.0582374602750741</v>
      </c>
    </row>
    <row r="1328" spans="3:8" x14ac:dyDescent="0.35">
      <c r="C1328" s="8">
        <f t="shared" ca="1" si="101"/>
        <v>0.38441033299430938</v>
      </c>
      <c r="D1328" s="7">
        <f t="shared" ca="1" si="102"/>
        <v>8.378935200384488E-2</v>
      </c>
      <c r="E1328" s="7">
        <f t="shared" ca="1" si="103"/>
        <v>0.74835681500482532</v>
      </c>
      <c r="F1328" s="7">
        <f t="shared" ca="1" si="104"/>
        <v>2.290573210267367E-2</v>
      </c>
      <c r="G1328" s="7">
        <f t="shared" ca="1" si="100"/>
        <v>273.51402165109454</v>
      </c>
      <c r="H1328" s="7">
        <f ca="1">(G1328+DCF!$D$40+DCF!$D$41+DCF!$D$42-DCF!$D$43-DCF!$D$44)/DCF!$C$35</f>
        <v>2.1858055178411475</v>
      </c>
    </row>
    <row r="1329" spans="3:8" x14ac:dyDescent="0.35">
      <c r="C1329" s="8">
        <f t="shared" ca="1" si="101"/>
        <v>0.38035658341345258</v>
      </c>
      <c r="D1329" s="7">
        <f t="shared" ca="1" si="102"/>
        <v>8.3703193104283813E-2</v>
      </c>
      <c r="E1329" s="7">
        <f t="shared" ca="1" si="103"/>
        <v>0.55173253791275889</v>
      </c>
      <c r="F1329" s="7">
        <f t="shared" ca="1" si="104"/>
        <v>2.0531447184630153E-2</v>
      </c>
      <c r="G1329" s="7">
        <f t="shared" ca="1" si="100"/>
        <v>266.23161016419601</v>
      </c>
      <c r="H1329" s="7">
        <f ca="1">(G1329+DCF!$D$40+DCF!$D$41+DCF!$D$42-DCF!$D$43-DCF!$D$44)/DCF!$C$35</f>
        <v>2.1447037485280278</v>
      </c>
    </row>
    <row r="1330" spans="3:8" x14ac:dyDescent="0.35">
      <c r="C1330" s="8">
        <f t="shared" ca="1" si="101"/>
        <v>0.78798863455310508</v>
      </c>
      <c r="D1330" s="7">
        <f t="shared" ca="1" si="102"/>
        <v>9.4618040312147003E-2</v>
      </c>
      <c r="E1330" s="7">
        <f t="shared" ca="1" si="103"/>
        <v>0.17396370358385116</v>
      </c>
      <c r="F1330" s="7">
        <f t="shared" ca="1" si="104"/>
        <v>1.5898537167533169E-2</v>
      </c>
      <c r="G1330" s="7">
        <f t="shared" ca="1" si="100"/>
        <v>215.65281778902931</v>
      </c>
      <c r="H1330" s="7">
        <f ca="1">(G1330+DCF!$D$40+DCF!$D$41+DCF!$D$42-DCF!$D$43-DCF!$D$44)/DCF!$C$35</f>
        <v>1.8592381633876809</v>
      </c>
    </row>
    <row r="1331" spans="3:8" x14ac:dyDescent="0.35">
      <c r="C1331" s="8">
        <f t="shared" ca="1" si="101"/>
        <v>0.60623100586375889</v>
      </c>
      <c r="D1331" s="7">
        <f t="shared" ca="1" si="102"/>
        <v>8.9037027943155461E-2</v>
      </c>
      <c r="E1331" s="7">
        <f t="shared" ca="1" si="103"/>
        <v>0.47948023876913237</v>
      </c>
      <c r="F1331" s="7">
        <f t="shared" ca="1" si="104"/>
        <v>1.9792652743451412E-2</v>
      </c>
      <c r="G1331" s="7">
        <f t="shared" ca="1" si="100"/>
        <v>242.52633311442014</v>
      </c>
      <c r="H1331" s="7">
        <f ca="1">(G1331+DCF!$D$40+DCF!$D$41+DCF!$D$42-DCF!$D$43-DCF!$D$44)/DCF!$C$35</f>
        <v>2.0109116893239651</v>
      </c>
    </row>
    <row r="1332" spans="3:8" x14ac:dyDescent="0.35">
      <c r="C1332" s="8">
        <f t="shared" ca="1" si="101"/>
        <v>0.21796687538921122</v>
      </c>
      <c r="D1332" s="7">
        <f t="shared" ca="1" si="102"/>
        <v>8.0271123000352898E-2</v>
      </c>
      <c r="E1332" s="7">
        <f t="shared" ca="1" si="103"/>
        <v>0.24289079748969888</v>
      </c>
      <c r="F1332" s="7">
        <f t="shared" ca="1" si="104"/>
        <v>1.6969803404540171E-2</v>
      </c>
      <c r="G1332" s="7">
        <f t="shared" ca="1" si="100"/>
        <v>270.40833736015765</v>
      </c>
      <c r="H1332" s="7">
        <f ca="1">(G1332+DCF!$D$40+DCF!$D$41+DCF!$D$42-DCF!$D$43-DCF!$D$44)/DCF!$C$35</f>
        <v>2.1682771044144804</v>
      </c>
    </row>
    <row r="1333" spans="3:8" x14ac:dyDescent="0.35">
      <c r="C1333" s="8">
        <f t="shared" ca="1" si="101"/>
        <v>0.86069964670509247</v>
      </c>
      <c r="D1333" s="7">
        <f t="shared" ca="1" si="102"/>
        <v>9.7531672354436758E-2</v>
      </c>
      <c r="E1333" s="7">
        <f t="shared" ca="1" si="103"/>
        <v>0.6796863116293318</v>
      </c>
      <c r="F1333" s="7">
        <f t="shared" ca="1" si="104"/>
        <v>2.1996079855837288E-2</v>
      </c>
      <c r="G1333" s="7">
        <f t="shared" ca="1" si="100"/>
        <v>218.83401736930671</v>
      </c>
      <c r="H1333" s="7">
        <f ca="1">(G1333+DCF!$D$40+DCF!$D$41+DCF!$D$42-DCF!$D$43-DCF!$D$44)/DCF!$C$35</f>
        <v>1.877192783436656</v>
      </c>
    </row>
    <row r="1334" spans="3:8" x14ac:dyDescent="0.35">
      <c r="C1334" s="8">
        <f t="shared" ca="1" si="101"/>
        <v>0.66894139625397397</v>
      </c>
      <c r="D1334" s="7">
        <f t="shared" ca="1" si="102"/>
        <v>9.077862123102079E-2</v>
      </c>
      <c r="E1334" s="7">
        <f t="shared" ca="1" si="103"/>
        <v>0.84868005658054646</v>
      </c>
      <c r="F1334" s="7">
        <f t="shared" ca="1" si="104"/>
        <v>2.449872844845024E-2</v>
      </c>
      <c r="G1334" s="7">
        <f t="shared" ca="1" si="100"/>
        <v>248.19634487064354</v>
      </c>
      <c r="H1334" s="7">
        <f ca="1">(G1334+DCF!$D$40+DCF!$D$41+DCF!$D$42-DCF!$D$43-DCF!$D$44)/DCF!$C$35</f>
        <v>2.0429131102305198</v>
      </c>
    </row>
    <row r="1335" spans="3:8" x14ac:dyDescent="0.35">
      <c r="C1335" s="8">
        <f t="shared" ca="1" si="101"/>
        <v>0.24054630953647926</v>
      </c>
      <c r="D1335" s="7">
        <f t="shared" ca="1" si="102"/>
        <v>8.0790014541957583E-2</v>
      </c>
      <c r="E1335" s="7">
        <f t="shared" ca="1" si="103"/>
        <v>0.73701523981858108</v>
      </c>
      <c r="F1335" s="7">
        <f t="shared" ca="1" si="104"/>
        <v>2.2747624386707223E-2</v>
      </c>
      <c r="G1335" s="7">
        <f t="shared" ca="1" si="100"/>
        <v>287.80303976334704</v>
      </c>
      <c r="H1335" s="7">
        <f ca="1">(G1335+DCF!$D$40+DCF!$D$41+DCF!$D$42-DCF!$D$43-DCF!$D$44)/DCF!$C$35</f>
        <v>2.2664524199308445</v>
      </c>
    </row>
    <row r="1336" spans="3:8" x14ac:dyDescent="0.35">
      <c r="C1336" s="8">
        <f t="shared" ca="1" si="101"/>
        <v>7.4971918967503881E-2</v>
      </c>
      <c r="D1336" s="7">
        <f t="shared" ca="1" si="102"/>
        <v>7.6023820115198662E-2</v>
      </c>
      <c r="E1336" s="7">
        <f t="shared" ca="1" si="103"/>
        <v>0.57573114042966211</v>
      </c>
      <c r="F1336" s="7">
        <f t="shared" ca="1" si="104"/>
        <v>2.0788389287748447E-2</v>
      </c>
      <c r="G1336" s="7">
        <f t="shared" ca="1" si="100"/>
        <v>306.15764285042002</v>
      </c>
      <c r="H1336" s="7">
        <f ca="1">(G1336+DCF!$D$40+DCF!$D$41+DCF!$D$42-DCF!$D$43-DCF!$D$44)/DCF!$C$35</f>
        <v>2.3700453936698271</v>
      </c>
    </row>
    <row r="1337" spans="3:8" x14ac:dyDescent="0.35">
      <c r="C1337" s="8">
        <f t="shared" ca="1" si="101"/>
        <v>0.81720056069884006</v>
      </c>
      <c r="D1337" s="7">
        <f t="shared" ca="1" si="102"/>
        <v>9.5716997015329916E-2</v>
      </c>
      <c r="E1337" s="7">
        <f t="shared" ca="1" si="103"/>
        <v>0.55318995198088206</v>
      </c>
      <c r="F1337" s="7">
        <f t="shared" ca="1" si="104"/>
        <v>2.0546851868090528E-2</v>
      </c>
      <c r="G1337" s="7">
        <f t="shared" ca="1" si="100"/>
        <v>221.50168646694385</v>
      </c>
      <c r="H1337" s="7">
        <f ca="1">(G1337+DCF!$D$40+DCF!$D$41+DCF!$D$42-DCF!$D$43-DCF!$D$44)/DCF!$C$35</f>
        <v>1.8922490488031598</v>
      </c>
    </row>
    <row r="1338" spans="3:8" x14ac:dyDescent="0.35">
      <c r="C1338" s="8">
        <f t="shared" ca="1" si="101"/>
        <v>0.68865574949546793</v>
      </c>
      <c r="D1338" s="7">
        <f t="shared" ca="1" si="102"/>
        <v>9.1359716108303027E-2</v>
      </c>
      <c r="E1338" s="7">
        <f t="shared" ca="1" si="103"/>
        <v>0.65594869350486817</v>
      </c>
      <c r="F1338" s="7">
        <f t="shared" ca="1" si="104"/>
        <v>2.1704804927005855E-2</v>
      </c>
      <c r="G1338" s="7">
        <f t="shared" ca="1" si="100"/>
        <v>238.77342049343727</v>
      </c>
      <c r="H1338" s="7">
        <f ca="1">(G1338+DCF!$D$40+DCF!$D$41+DCF!$D$42-DCF!$D$43-DCF!$D$44)/DCF!$C$35</f>
        <v>1.9897303335220522</v>
      </c>
    </row>
    <row r="1339" spans="3:8" x14ac:dyDescent="0.35">
      <c r="C1339" s="8">
        <f t="shared" ca="1" si="101"/>
        <v>0.57878694325601066</v>
      </c>
      <c r="D1339" s="7">
        <f t="shared" ca="1" si="102"/>
        <v>8.8318815269310305E-2</v>
      </c>
      <c r="E1339" s="7">
        <f t="shared" ca="1" si="103"/>
        <v>2.932321207748112E-3</v>
      </c>
      <c r="F1339" s="7">
        <f t="shared" ca="1" si="104"/>
        <v>1.0765809533467443E-2</v>
      </c>
      <c r="G1339" s="7">
        <f t="shared" ca="1" si="100"/>
        <v>224.62066634761356</v>
      </c>
      <c r="H1339" s="7">
        <f ca="1">(G1339+DCF!$D$40+DCF!$D$41+DCF!$D$42-DCF!$D$43-DCF!$D$44)/DCF!$C$35</f>
        <v>1.9098525022441222</v>
      </c>
    </row>
    <row r="1340" spans="3:8" x14ac:dyDescent="0.35">
      <c r="C1340" s="8">
        <f t="shared" ca="1" si="101"/>
        <v>0.99836118152377007</v>
      </c>
      <c r="D1340" s="7">
        <f t="shared" ca="1" si="102"/>
        <v>0.10864762378774522</v>
      </c>
      <c r="E1340" s="7">
        <f t="shared" ca="1" si="103"/>
        <v>0.31481141703321014</v>
      </c>
      <c r="F1340" s="7">
        <f t="shared" ca="1" si="104"/>
        <v>1.7934877655429983E-2</v>
      </c>
      <c r="G1340" s="7">
        <f t="shared" ca="1" si="100"/>
        <v>183.49699502502716</v>
      </c>
      <c r="H1340" s="7">
        <f ca="1">(G1340+DCF!$D$40+DCF!$D$41+DCF!$D$42-DCF!$D$43-DCF!$D$44)/DCF!$C$35</f>
        <v>1.6777514111357215</v>
      </c>
    </row>
    <row r="1341" spans="3:8" x14ac:dyDescent="0.35">
      <c r="C1341" s="8">
        <f t="shared" ca="1" si="101"/>
        <v>0.65720727481925989</v>
      </c>
      <c r="D1341" s="7">
        <f t="shared" ca="1" si="102"/>
        <v>9.04409437522741E-2</v>
      </c>
      <c r="E1341" s="7">
        <f t="shared" ca="1" si="103"/>
        <v>1.1784897292202001E-2</v>
      </c>
      <c r="F1341" s="7">
        <f t="shared" ca="1" si="104"/>
        <v>1.1535245732265815E-2</v>
      </c>
      <c r="G1341" s="7">
        <f t="shared" ca="1" si="100"/>
        <v>219.67534572550886</v>
      </c>
      <c r="H1341" s="7">
        <f ca="1">(G1341+DCF!$D$40+DCF!$D$41+DCF!$D$42-DCF!$D$43-DCF!$D$44)/DCF!$C$35</f>
        <v>1.8819412220651814</v>
      </c>
    </row>
    <row r="1342" spans="3:8" x14ac:dyDescent="0.35">
      <c r="C1342" s="8">
        <f t="shared" ca="1" si="101"/>
        <v>9.6868786494797243E-2</v>
      </c>
      <c r="D1342" s="7">
        <f t="shared" ca="1" si="102"/>
        <v>7.6847225179843437E-2</v>
      </c>
      <c r="E1342" s="7">
        <f t="shared" ca="1" si="103"/>
        <v>0.70642028392501055</v>
      </c>
      <c r="F1342" s="7">
        <f t="shared" ca="1" si="104"/>
        <v>2.2337367083371546E-2</v>
      </c>
      <c r="G1342" s="7">
        <f t="shared" ca="1" si="100"/>
        <v>307.99696584850278</v>
      </c>
      <c r="H1342" s="7">
        <f ca="1">(G1342+DCF!$D$40+DCF!$D$41+DCF!$D$42-DCF!$D$43-DCF!$D$44)/DCF!$C$35</f>
        <v>2.3804264919771012</v>
      </c>
    </row>
    <row r="1343" spans="3:8" x14ac:dyDescent="0.35">
      <c r="C1343" s="8">
        <f t="shared" ca="1" si="101"/>
        <v>6.6205657191183986E-3</v>
      </c>
      <c r="D1343" s="7">
        <f t="shared" ca="1" si="102"/>
        <v>7.1790070894700353E-2</v>
      </c>
      <c r="E1343" s="7">
        <f t="shared" ca="1" si="103"/>
        <v>0.46899125952837106</v>
      </c>
      <c r="F1343" s="7">
        <f t="shared" ca="1" si="104"/>
        <v>1.9684949762682001E-2</v>
      </c>
      <c r="G1343" s="7">
        <f t="shared" ca="1" si="100"/>
        <v>327.27222136622282</v>
      </c>
      <c r="H1343" s="7">
        <f ca="1">(G1343+DCF!$D$40+DCF!$D$41+DCF!$D$42-DCF!$D$43-DCF!$D$44)/DCF!$C$35</f>
        <v>2.4892156076657797</v>
      </c>
    </row>
    <row r="1344" spans="3:8" x14ac:dyDescent="0.35">
      <c r="C1344" s="8">
        <f t="shared" ca="1" si="101"/>
        <v>0.1430632179636433</v>
      </c>
      <c r="D1344" s="7">
        <f t="shared" ca="1" si="102"/>
        <v>7.8321213703204801E-2</v>
      </c>
      <c r="E1344" s="7">
        <f t="shared" ca="1" si="103"/>
        <v>0.86416268183159162</v>
      </c>
      <c r="F1344" s="7">
        <f t="shared" ca="1" si="104"/>
        <v>2.4787758290938371E-2</v>
      </c>
      <c r="G1344" s="7">
        <f t="shared" ca="1" si="100"/>
        <v>309.99453073351276</v>
      </c>
      <c r="H1344" s="7">
        <f ca="1">(G1344+DCF!$D$40+DCF!$D$41+DCF!$D$42-DCF!$D$43-DCF!$D$44)/DCF!$C$35</f>
        <v>2.3917007039931861</v>
      </c>
    </row>
    <row r="1345" spans="3:8" x14ac:dyDescent="0.35">
      <c r="C1345" s="8">
        <f t="shared" ca="1" si="101"/>
        <v>0.6731550823973188</v>
      </c>
      <c r="D1345" s="7">
        <f t="shared" ca="1" si="102"/>
        <v>9.090133700897908E-2</v>
      </c>
      <c r="E1345" s="7">
        <f t="shared" ca="1" si="103"/>
        <v>0.2821010479989029</v>
      </c>
      <c r="F1345" s="7">
        <f t="shared" ca="1" si="104"/>
        <v>1.751133873552382E-2</v>
      </c>
      <c r="G1345" s="7">
        <f t="shared" ca="1" si="100"/>
        <v>230.57381480972521</v>
      </c>
      <c r="H1345" s="7">
        <f ca="1">(G1345+DCF!$D$40+DCF!$D$41+DCF!$D$42-DCF!$D$43-DCF!$D$44)/DCF!$C$35</f>
        <v>1.9434519404544823</v>
      </c>
    </row>
    <row r="1346" spans="3:8" x14ac:dyDescent="0.35">
      <c r="C1346" s="8">
        <f t="shared" ca="1" si="101"/>
        <v>0.39776506515632926</v>
      </c>
      <c r="D1346" s="7">
        <f t="shared" ca="1" si="102"/>
        <v>8.4075220593310032E-2</v>
      </c>
      <c r="E1346" s="7">
        <f t="shared" ca="1" si="103"/>
        <v>1.4440750200219732E-2</v>
      </c>
      <c r="F1346" s="7">
        <f t="shared" ca="1" si="104"/>
        <v>1.1699455807028811E-2</v>
      </c>
      <c r="G1346" s="7">
        <f t="shared" ca="1" si="100"/>
        <v>240.75205789987501</v>
      </c>
      <c r="H1346" s="7">
        <f ca="1">(G1346+DCF!$D$40+DCF!$D$41+DCF!$D$42-DCF!$D$43-DCF!$D$44)/DCF!$C$35</f>
        <v>2.0008977192678348</v>
      </c>
    </row>
    <row r="1347" spans="3:8" x14ac:dyDescent="0.35">
      <c r="C1347" s="8">
        <f t="shared" ca="1" si="101"/>
        <v>0.84223718149713145</v>
      </c>
      <c r="D1347" s="7">
        <f t="shared" ca="1" si="102"/>
        <v>9.6731115139198728E-2</v>
      </c>
      <c r="E1347" s="7">
        <f t="shared" ca="1" si="103"/>
        <v>0.69073649103627799</v>
      </c>
      <c r="F1347" s="7">
        <f t="shared" ca="1" si="104"/>
        <v>2.2135351133537848E-2</v>
      </c>
      <c r="G1347" s="7">
        <f t="shared" ca="1" si="100"/>
        <v>221.60883133680278</v>
      </c>
      <c r="H1347" s="7">
        <f ca="1">(G1347+DCF!$D$40+DCF!$D$41+DCF!$D$42-DCF!$D$43-DCF!$D$44)/DCF!$C$35</f>
        <v>1.8928537720781282</v>
      </c>
    </row>
    <row r="1348" spans="3:8" x14ac:dyDescent="0.35">
      <c r="C1348" s="8">
        <f t="shared" ca="1" si="101"/>
        <v>0.61012873850920935</v>
      </c>
      <c r="D1348" s="7">
        <f t="shared" ca="1" si="102"/>
        <v>8.9141037230396084E-2</v>
      </c>
      <c r="E1348" s="7">
        <f t="shared" ca="1" si="103"/>
        <v>0.34274264053151415</v>
      </c>
      <c r="F1348" s="7">
        <f t="shared" ca="1" si="104"/>
        <v>1.827940384969249E-2</v>
      </c>
      <c r="G1348" s="7">
        <f t="shared" ca="1" si="100"/>
        <v>238.42449818709281</v>
      </c>
      <c r="H1348" s="7">
        <f ca="1">(G1348+DCF!$D$40+DCF!$D$41+DCF!$D$42-DCF!$D$43-DCF!$D$44)/DCF!$C$35</f>
        <v>1.9877610237447387</v>
      </c>
    </row>
    <row r="1349" spans="3:8" x14ac:dyDescent="0.35">
      <c r="C1349" s="8">
        <f t="shared" ca="1" si="101"/>
        <v>0.19213347045552975</v>
      </c>
      <c r="D1349" s="7">
        <f t="shared" ca="1" si="102"/>
        <v>7.9643267065703224E-2</v>
      </c>
      <c r="E1349" s="7">
        <f t="shared" ca="1" si="103"/>
        <v>0.52799893352888805</v>
      </c>
      <c r="F1349" s="7">
        <f t="shared" ca="1" si="104"/>
        <v>2.0284022782333093E-2</v>
      </c>
      <c r="G1349" s="7">
        <f t="shared" ca="1" si="100"/>
        <v>284.60337084001628</v>
      </c>
      <c r="H1349" s="7">
        <f ca="1">(G1349+DCF!$D$40+DCF!$D$41+DCF!$D$42-DCF!$D$43-DCF!$D$44)/DCF!$C$35</f>
        <v>2.2483935593182993</v>
      </c>
    </row>
    <row r="1350" spans="3:8" x14ac:dyDescent="0.35">
      <c r="C1350" s="8">
        <f t="shared" ca="1" si="101"/>
        <v>0.71870312239759115</v>
      </c>
      <c r="D1350" s="7">
        <f t="shared" ca="1" si="102"/>
        <v>9.228200588654889E-2</v>
      </c>
      <c r="E1350" s="7">
        <f t="shared" ca="1" si="103"/>
        <v>0.46540255206260772</v>
      </c>
      <c r="F1350" s="7">
        <f t="shared" ca="1" si="104"/>
        <v>1.9647824128399188E-2</v>
      </c>
      <c r="G1350" s="7">
        <f t="shared" ca="1" si="100"/>
        <v>230.71598880878489</v>
      </c>
      <c r="H1350" s="7">
        <f ca="1">(G1350+DCF!$D$40+DCF!$D$41+DCF!$D$42-DCF!$D$43-DCF!$D$44)/DCF!$C$35</f>
        <v>1.944254367359662</v>
      </c>
    </row>
    <row r="1351" spans="3:8" x14ac:dyDescent="0.35">
      <c r="C1351" s="8">
        <f t="shared" ca="1" si="101"/>
        <v>0.55509902510527021</v>
      </c>
      <c r="D1351" s="7">
        <f t="shared" ca="1" si="102"/>
        <v>8.7717507141647777E-2</v>
      </c>
      <c r="E1351" s="7">
        <f t="shared" ca="1" si="103"/>
        <v>0.36538794426091958</v>
      </c>
      <c r="F1351" s="7">
        <f t="shared" ca="1" si="104"/>
        <v>1.8548543083601085E-2</v>
      </c>
      <c r="G1351" s="7">
        <f t="shared" ca="1" si="100"/>
        <v>244.29081113324526</v>
      </c>
      <c r="H1351" s="7">
        <f ca="1">(G1351+DCF!$D$40+DCF!$D$41+DCF!$D$42-DCF!$D$43-DCF!$D$44)/DCF!$C$35</f>
        <v>2.0208703642242085</v>
      </c>
    </row>
    <row r="1352" spans="3:8" x14ac:dyDescent="0.35">
      <c r="C1352" s="8">
        <f t="shared" ca="1" si="101"/>
        <v>0.87606942684486133</v>
      </c>
      <c r="D1352" s="7">
        <f t="shared" ca="1" si="102"/>
        <v>9.8239620769671812E-2</v>
      </c>
      <c r="E1352" s="7">
        <f t="shared" ca="1" si="103"/>
        <v>0.20121819197902491</v>
      </c>
      <c r="F1352" s="7">
        <f t="shared" ca="1" si="104"/>
        <v>1.6343787385766091E-2</v>
      </c>
      <c r="G1352" s="7">
        <f t="shared" ca="1" si="100"/>
        <v>206.28524389831139</v>
      </c>
      <c r="H1352" s="7">
        <f ca="1">(G1352+DCF!$D$40+DCF!$D$41+DCF!$D$42-DCF!$D$43-DCF!$D$44)/DCF!$C$35</f>
        <v>1.8063677836003575</v>
      </c>
    </row>
    <row r="1353" spans="3:8" x14ac:dyDescent="0.35">
      <c r="C1353" s="8">
        <f t="shared" ca="1" si="101"/>
        <v>8.8122517044106341E-2</v>
      </c>
      <c r="D1353" s="7">
        <f t="shared" ca="1" si="102"/>
        <v>7.6530796142075447E-2</v>
      </c>
      <c r="E1353" s="7">
        <f t="shared" ca="1" si="103"/>
        <v>0.82574071328551724</v>
      </c>
      <c r="F1353" s="7">
        <f t="shared" ca="1" si="104"/>
        <v>2.409645383325441E-2</v>
      </c>
      <c r="G1353" s="7">
        <f t="shared" ca="1" si="100"/>
        <v>317.89096671492746</v>
      </c>
      <c r="H1353" s="7">
        <f ca="1">(G1353+DCF!$D$40+DCF!$D$41+DCF!$D$42-DCF!$D$43-DCF!$D$44)/DCF!$C$35</f>
        <v>2.4362680139684358</v>
      </c>
    </row>
    <row r="1354" spans="3:8" x14ac:dyDescent="0.35">
      <c r="C1354" s="8">
        <f t="shared" ca="1" si="101"/>
        <v>0.12437792866008912</v>
      </c>
      <c r="D1354" s="7">
        <f t="shared" ca="1" si="102"/>
        <v>7.77587961354506E-2</v>
      </c>
      <c r="E1354" s="7">
        <f t="shared" ca="1" si="103"/>
        <v>0.6383787927474861</v>
      </c>
      <c r="F1354" s="7">
        <f t="shared" ca="1" si="104"/>
        <v>2.149563397715604E-2</v>
      </c>
      <c r="G1354" s="7">
        <f t="shared" ca="1" si="100"/>
        <v>299.22840436484228</v>
      </c>
      <c r="H1354" s="7">
        <f ca="1">(G1354+DCF!$D$40+DCF!$D$41+DCF!$D$42-DCF!$D$43-DCF!$D$44)/DCF!$C$35</f>
        <v>2.3309369249624239</v>
      </c>
    </row>
    <row r="1355" spans="3:8" x14ac:dyDescent="0.35">
      <c r="C1355" s="8">
        <f t="shared" ca="1" si="101"/>
        <v>7.4599612434389506E-4</v>
      </c>
      <c r="D1355" s="7">
        <f t="shared" ca="1" si="102"/>
        <v>7.0600884451606505E-2</v>
      </c>
      <c r="E1355" s="7">
        <f t="shared" ca="1" si="103"/>
        <v>0.25759682051813526</v>
      </c>
      <c r="F1355" s="7">
        <f t="shared" ca="1" si="104"/>
        <v>1.7177699081434596E-2</v>
      </c>
      <c r="G1355" s="7">
        <f t="shared" ca="1" si="100"/>
        <v>322.93552407324432</v>
      </c>
      <c r="H1355" s="7">
        <f ca="1">(G1355+DCF!$D$40+DCF!$D$41+DCF!$D$42-DCF!$D$43-DCF!$D$44)/DCF!$C$35</f>
        <v>2.464739384091005</v>
      </c>
    </row>
    <row r="1356" spans="3:8" x14ac:dyDescent="0.35">
      <c r="C1356" s="8">
        <f t="shared" ca="1" si="101"/>
        <v>0.66428563991759271</v>
      </c>
      <c r="D1356" s="7">
        <f t="shared" ca="1" si="102"/>
        <v>9.0643935682790097E-2</v>
      </c>
      <c r="E1356" s="7">
        <f t="shared" ca="1" si="103"/>
        <v>0.84541101562843457</v>
      </c>
      <c r="F1356" s="7">
        <f t="shared" ca="1" si="104"/>
        <v>2.4439622596054013E-2</v>
      </c>
      <c r="G1356" s="7">
        <f t="shared" ca="1" si="100"/>
        <v>248.56652871730074</v>
      </c>
      <c r="H1356" s="7">
        <f ca="1">(G1356+DCF!$D$40+DCF!$D$41+DCF!$D$42-DCF!$D$43-DCF!$D$44)/DCF!$C$35</f>
        <v>2.04500241967096</v>
      </c>
    </row>
    <row r="1357" spans="3:8" x14ac:dyDescent="0.35">
      <c r="C1357" s="8">
        <f t="shared" ca="1" si="101"/>
        <v>0.5144782037602581</v>
      </c>
      <c r="D1357" s="7">
        <f t="shared" ca="1" si="102"/>
        <v>8.6722493161776285E-2</v>
      </c>
      <c r="E1357" s="7">
        <f t="shared" ca="1" si="103"/>
        <v>0.58634291940335581</v>
      </c>
      <c r="F1357" s="7">
        <f t="shared" ca="1" si="104"/>
        <v>2.0904318820487999E-2</v>
      </c>
      <c r="G1357" s="7">
        <f t="shared" ca="1" si="100"/>
        <v>254.48984633893645</v>
      </c>
      <c r="H1357" s="7">
        <f ca="1">(G1357+DCF!$D$40+DCF!$D$41+DCF!$D$42-DCF!$D$43-DCF!$D$44)/DCF!$C$35</f>
        <v>2.0784334932776636</v>
      </c>
    </row>
    <row r="1358" spans="3:8" x14ac:dyDescent="0.35">
      <c r="C1358" s="8">
        <f t="shared" ca="1" si="101"/>
        <v>5.8928519499717336E-2</v>
      </c>
      <c r="D1358" s="7">
        <f t="shared" ca="1" si="102"/>
        <v>7.5340543365413598E-2</v>
      </c>
      <c r="E1358" s="7">
        <f t="shared" ca="1" si="103"/>
        <v>0.32753623921646358</v>
      </c>
      <c r="F1358" s="7">
        <f t="shared" ca="1" si="104"/>
        <v>1.8093654788987029E-2</v>
      </c>
      <c r="G1358" s="7">
        <f t="shared" ca="1" si="100"/>
        <v>298.93140529930906</v>
      </c>
      <c r="H1358" s="7">
        <f ca="1">(G1358+DCF!$D$40+DCF!$D$41+DCF!$D$42-DCF!$D$43-DCF!$D$44)/DCF!$C$35</f>
        <v>2.3292606688074784</v>
      </c>
    </row>
    <row r="1359" spans="3:8" x14ac:dyDescent="0.35">
      <c r="C1359" s="8">
        <f t="shared" ca="1" si="101"/>
        <v>0.95770353577552148</v>
      </c>
      <c r="D1359" s="7">
        <f t="shared" ca="1" si="102"/>
        <v>0.10312956667490922</v>
      </c>
      <c r="E1359" s="7">
        <f t="shared" ca="1" si="103"/>
        <v>0.57072154272170805</v>
      </c>
      <c r="F1359" s="7">
        <f t="shared" ca="1" si="104"/>
        <v>2.0734165366484335E-2</v>
      </c>
      <c r="G1359" s="7">
        <f t="shared" ca="1" si="100"/>
        <v>200.72420739449524</v>
      </c>
      <c r="H1359" s="7">
        <f ca="1">(G1359+DCF!$D$40+DCF!$D$41+DCF!$D$42-DCF!$D$43-DCF!$D$44)/DCF!$C$35</f>
        <v>1.7749814166073778</v>
      </c>
    </row>
    <row r="1360" spans="3:8" x14ac:dyDescent="0.35">
      <c r="C1360" s="8">
        <f t="shared" ca="1" si="101"/>
        <v>0.6695667070514838</v>
      </c>
      <c r="D1360" s="7">
        <f t="shared" ca="1" si="102"/>
        <v>9.0796782693242678E-2</v>
      </c>
      <c r="E1360" s="7">
        <f t="shared" ca="1" si="103"/>
        <v>0.83803279289265276</v>
      </c>
      <c r="F1360" s="7">
        <f t="shared" ca="1" si="104"/>
        <v>2.4308476353253949E-2</v>
      </c>
      <c r="G1360" s="7">
        <f t="shared" ref="G1360:G1423" ca="1" si="105">$C$11/(1+D1360)^1
 +$D$11/(1+D1360)^2
 +$E$11/(1+D1360)^3
 +$F$11/(1+D1360)^4
 +$G$11/(1+D1360)^5
 +$H$11/(1+D1360)^6
 +$I$11/(1+D1360)^7
 + ( $I$11*(1+F1360)/(D1360-F1360) )/(1+D1360)^7</f>
        <v>247.60857007098883</v>
      </c>
      <c r="H1360" s="7">
        <f ca="1">(G1360+DCF!$D$40+DCF!$D$41+DCF!$D$42-DCF!$D$43-DCF!$D$44)/DCF!$C$35</f>
        <v>2.0395957222654295</v>
      </c>
    </row>
    <row r="1361" spans="3:8" x14ac:dyDescent="0.35">
      <c r="C1361" s="8">
        <f t="shared" ref="C1361:C1424" ca="1" si="106">RAND()</f>
        <v>3.3627279168506385E-2</v>
      </c>
      <c r="D1361" s="7">
        <f t="shared" ref="D1361:D1424" ca="1" si="107">IF(C1361&lt;($C$6-0.07)/(0.11-0.07),0.07+SQRT(C1361*(0.11-0.07)*($C$6-0.07)),0.11-SQRT((1-C1361)*(0.11-0.07)*(0.11-$C$6)))</f>
        <v>7.4034303300144544E-2</v>
      </c>
      <c r="E1361" s="7">
        <f t="shared" ref="E1361:E1424" ca="1" si="108">RAND()</f>
        <v>0.83481933000793496</v>
      </c>
      <c r="F1361" s="7">
        <f t="shared" ref="F1361:F1424" ca="1" si="109">MIN(
 IF(E1361&lt;(0.02-0.01)/(0.03-0.01),
   0.01+SQRT(E1361*(0.03-0.01)*(0.02-0.01)),
   0.03-SQRT((1-E1361)*(0.03-0.01)*(0.03-0.02))
 ),
 D1361-0.005
)</f>
        <v>2.4252293153055472E-2</v>
      </c>
      <c r="G1361" s="7">
        <f t="shared" ca="1" si="105"/>
        <v>335.29585005594129</v>
      </c>
      <c r="H1361" s="7">
        <f ca="1">(G1361+DCF!$D$40+DCF!$D$41+DCF!$D$42-DCF!$D$43-DCF!$D$44)/DCF!$C$35</f>
        <v>2.534500790472634</v>
      </c>
    </row>
    <row r="1362" spans="3:8" x14ac:dyDescent="0.35">
      <c r="C1362" s="8">
        <f t="shared" ca="1" si="106"/>
        <v>0.79549493281306605</v>
      </c>
      <c r="D1362" s="7">
        <f t="shared" ca="1" si="107"/>
        <v>9.4892794600568306E-2</v>
      </c>
      <c r="E1362" s="7">
        <f t="shared" ca="1" si="108"/>
        <v>0.35676979799236641</v>
      </c>
      <c r="F1362" s="7">
        <f t="shared" ca="1" si="109"/>
        <v>1.8447127298583423E-2</v>
      </c>
      <c r="G1362" s="7">
        <f t="shared" ca="1" si="105"/>
        <v>219.78747477937691</v>
      </c>
      <c r="H1362" s="7">
        <f ca="1">(G1362+DCF!$D$40+DCF!$D$41+DCF!$D$42-DCF!$D$43-DCF!$D$44)/DCF!$C$35</f>
        <v>1.8825740759644254</v>
      </c>
    </row>
    <row r="1363" spans="3:8" x14ac:dyDescent="0.35">
      <c r="C1363" s="8">
        <f t="shared" ca="1" si="106"/>
        <v>0.95238666613286871</v>
      </c>
      <c r="D1363" s="7">
        <f t="shared" ca="1" si="107"/>
        <v>0.10271052261161896</v>
      </c>
      <c r="E1363" s="7">
        <f t="shared" ca="1" si="108"/>
        <v>0.99589631724013727</v>
      </c>
      <c r="F1363" s="7">
        <f t="shared" ca="1" si="109"/>
        <v>2.9094054884679792E-2</v>
      </c>
      <c r="G1363" s="7">
        <f t="shared" ca="1" si="105"/>
        <v>217.34146970979094</v>
      </c>
      <c r="H1363" s="7">
        <f ca="1">(G1363+DCF!$D$40+DCF!$D$41+DCF!$D$42-DCF!$D$43-DCF!$D$44)/DCF!$C$35</f>
        <v>1.8687688774680604</v>
      </c>
    </row>
    <row r="1364" spans="3:8" x14ac:dyDescent="0.35">
      <c r="C1364" s="8">
        <f t="shared" ca="1" si="106"/>
        <v>0.88606413969660258</v>
      </c>
      <c r="D1364" s="7">
        <f t="shared" ca="1" si="107"/>
        <v>9.8723811809898199E-2</v>
      </c>
      <c r="E1364" s="7">
        <f t="shared" ca="1" si="108"/>
        <v>0.13642772780944112</v>
      </c>
      <c r="F1364" s="7">
        <f t="shared" ca="1" si="109"/>
        <v>1.5223556792252596E-2</v>
      </c>
      <c r="G1364" s="7">
        <f t="shared" ca="1" si="105"/>
        <v>203.12332037404821</v>
      </c>
      <c r="H1364" s="7">
        <f ca="1">(G1364+DCF!$D$40+DCF!$D$41+DCF!$D$42-DCF!$D$43-DCF!$D$44)/DCF!$C$35</f>
        <v>1.7885219571850559</v>
      </c>
    </row>
    <row r="1365" spans="3:8" x14ac:dyDescent="0.35">
      <c r="C1365" s="8">
        <f t="shared" ca="1" si="106"/>
        <v>0.23158041725349632</v>
      </c>
      <c r="D1365" s="7">
        <f t="shared" ca="1" si="107"/>
        <v>8.0587016669047634E-2</v>
      </c>
      <c r="E1365" s="7">
        <f t="shared" ca="1" si="108"/>
        <v>0.5134727175966477</v>
      </c>
      <c r="F1365" s="7">
        <f t="shared" ca="1" si="109"/>
        <v>2.013564718389136E-2</v>
      </c>
      <c r="G1365" s="7">
        <f t="shared" ca="1" si="105"/>
        <v>279.40787231554151</v>
      </c>
      <c r="H1365" s="7">
        <f ca="1">(G1365+DCF!$D$40+DCF!$D$41+DCF!$D$42-DCF!$D$43-DCF!$D$44)/DCF!$C$35</f>
        <v>2.2190702805934164</v>
      </c>
    </row>
    <row r="1366" spans="3:8" x14ac:dyDescent="0.35">
      <c r="C1366" s="8">
        <f t="shared" ca="1" si="106"/>
        <v>0.48788052646211866</v>
      </c>
      <c r="D1366" s="7">
        <f t="shared" ca="1" si="107"/>
        <v>8.6093403996631485E-2</v>
      </c>
      <c r="E1366" s="7">
        <f t="shared" ca="1" si="108"/>
        <v>0.698052091698107</v>
      </c>
      <c r="F1366" s="7">
        <f t="shared" ca="1" si="109"/>
        <v>2.2228926608223377E-2</v>
      </c>
      <c r="G1366" s="7">
        <f t="shared" ca="1" si="105"/>
        <v>260.98618511344858</v>
      </c>
      <c r="H1366" s="7">
        <f ca="1">(G1366+DCF!$D$40+DCF!$D$41+DCF!$D$42-DCF!$D$43-DCF!$D$44)/DCF!$C$35</f>
        <v>2.1150986855934564</v>
      </c>
    </row>
    <row r="1367" spans="3:8" x14ac:dyDescent="0.35">
      <c r="C1367" s="8">
        <f t="shared" ca="1" si="106"/>
        <v>0.30331073343077131</v>
      </c>
      <c r="D1367" s="7">
        <f t="shared" ca="1" si="107"/>
        <v>8.2116219383102679E-2</v>
      </c>
      <c r="E1367" s="7">
        <f t="shared" ca="1" si="108"/>
        <v>0.97960006620744822</v>
      </c>
      <c r="F1367" s="7">
        <f t="shared" ca="1" si="109"/>
        <v>2.7980102290087353E-2</v>
      </c>
      <c r="G1367" s="7">
        <f t="shared" ca="1" si="105"/>
        <v>301.49453146262624</v>
      </c>
      <c r="H1367" s="7">
        <f ca="1">(G1367+DCF!$D$40+DCF!$D$41+DCF!$D$42-DCF!$D$43-DCF!$D$44)/DCF!$C$35</f>
        <v>2.3437268961656295</v>
      </c>
    </row>
    <row r="1368" spans="3:8" x14ac:dyDescent="0.35">
      <c r="C1368" s="8">
        <f t="shared" ca="1" si="106"/>
        <v>0.78458690665468456</v>
      </c>
      <c r="D1368" s="7">
        <f t="shared" ca="1" si="107"/>
        <v>9.4495129404816955E-2</v>
      </c>
      <c r="E1368" s="7">
        <f t="shared" ca="1" si="108"/>
        <v>0.27437268215526078</v>
      </c>
      <c r="F1368" s="7">
        <f t="shared" ca="1" si="109"/>
        <v>1.740773490556001E-2</v>
      </c>
      <c r="G1368" s="7">
        <f t="shared" ca="1" si="105"/>
        <v>218.93247764876747</v>
      </c>
      <c r="H1368" s="7">
        <f ca="1">(G1368+DCF!$D$40+DCF!$D$41+DCF!$D$42-DCF!$D$43-DCF!$D$44)/DCF!$C$35</f>
        <v>1.8777484910755584</v>
      </c>
    </row>
    <row r="1369" spans="3:8" x14ac:dyDescent="0.35">
      <c r="C1369" s="8">
        <f t="shared" ca="1" si="106"/>
        <v>0.32829332741855421</v>
      </c>
      <c r="D1369" s="7">
        <f t="shared" ca="1" si="107"/>
        <v>8.262072596651085E-2</v>
      </c>
      <c r="E1369" s="7">
        <f t="shared" ca="1" si="108"/>
        <v>0.4824255417587584</v>
      </c>
      <c r="F1369" s="7">
        <f t="shared" ca="1" si="109"/>
        <v>1.9822683358011274E-2</v>
      </c>
      <c r="G1369" s="7">
        <f t="shared" ca="1" si="105"/>
        <v>268.8467331744057</v>
      </c>
      <c r="H1369" s="7">
        <f ca="1">(G1369+DCF!$D$40+DCF!$D$41+DCF!$D$42-DCF!$D$43-DCF!$D$44)/DCF!$C$35</f>
        <v>2.1594634449396417</v>
      </c>
    </row>
    <row r="1370" spans="3:8" x14ac:dyDescent="0.35">
      <c r="C1370" s="8">
        <f t="shared" ca="1" si="106"/>
        <v>0.78160101291333861</v>
      </c>
      <c r="D1370" s="7">
        <f t="shared" ca="1" si="107"/>
        <v>9.4388040815172686E-2</v>
      </c>
      <c r="E1370" s="7">
        <f t="shared" ca="1" si="108"/>
        <v>5.9936798411200587E-2</v>
      </c>
      <c r="F1370" s="7">
        <f t="shared" ca="1" si="109"/>
        <v>1.3462276661712654E-2</v>
      </c>
      <c r="G1370" s="7">
        <f t="shared" ca="1" si="105"/>
        <v>211.82968270725414</v>
      </c>
      <c r="H1370" s="7">
        <f ca="1">(G1370+DCF!$D$40+DCF!$D$41+DCF!$D$42-DCF!$D$43-DCF!$D$44)/DCF!$C$35</f>
        <v>1.8376604735706861</v>
      </c>
    </row>
    <row r="1371" spans="3:8" x14ac:dyDescent="0.35">
      <c r="C1371" s="8">
        <f t="shared" ca="1" si="106"/>
        <v>0.26688458512947022</v>
      </c>
      <c r="D1371" s="7">
        <f t="shared" ca="1" si="107"/>
        <v>8.1365392171089554E-2</v>
      </c>
      <c r="E1371" s="7">
        <f t="shared" ca="1" si="108"/>
        <v>0.37264069360799978</v>
      </c>
      <c r="F1371" s="7">
        <f t="shared" ca="1" si="109"/>
        <v>1.8632968129305236E-2</v>
      </c>
      <c r="G1371" s="7">
        <f t="shared" ca="1" si="105"/>
        <v>270.74271395026574</v>
      </c>
      <c r="H1371" s="7">
        <f ca="1">(G1371+DCF!$D$40+DCF!$D$41+DCF!$D$42-DCF!$D$43-DCF!$D$44)/DCF!$C$35</f>
        <v>2.1701643184911714</v>
      </c>
    </row>
    <row r="1372" spans="3:8" x14ac:dyDescent="0.35">
      <c r="C1372" s="8">
        <f t="shared" ca="1" si="106"/>
        <v>0.72067455653873624</v>
      </c>
      <c r="D1372" s="7">
        <f t="shared" ca="1" si="107"/>
        <v>9.2344202229783831E-2</v>
      </c>
      <c r="E1372" s="7">
        <f t="shared" ca="1" si="108"/>
        <v>0.40027081732947778</v>
      </c>
      <c r="F1372" s="7">
        <f t="shared" ca="1" si="109"/>
        <v>1.8947299227470574E-2</v>
      </c>
      <c r="G1372" s="7">
        <f t="shared" ca="1" si="105"/>
        <v>228.94959480870151</v>
      </c>
      <c r="H1372" s="7">
        <f ca="1">(G1372+DCF!$D$40+DCF!$D$41+DCF!$D$42-DCF!$D$43-DCF!$D$44)/DCF!$C$35</f>
        <v>1.9342848787035865</v>
      </c>
    </row>
    <row r="1373" spans="3:8" x14ac:dyDescent="0.35">
      <c r="C1373" s="8">
        <f t="shared" ca="1" si="106"/>
        <v>0.40347461862811951</v>
      </c>
      <c r="D1373" s="7">
        <f t="shared" ca="1" si="107"/>
        <v>8.4198404591750181E-2</v>
      </c>
      <c r="E1373" s="7">
        <f t="shared" ca="1" si="108"/>
        <v>0.56301955498306044</v>
      </c>
      <c r="F1373" s="7">
        <f t="shared" ca="1" si="109"/>
        <v>2.0651412459446725E-2</v>
      </c>
      <c r="G1373" s="7">
        <f t="shared" ca="1" si="105"/>
        <v>264.41819694880417</v>
      </c>
      <c r="H1373" s="7">
        <f ca="1">(G1373+DCF!$D$40+DCF!$D$41+DCF!$D$42-DCF!$D$43-DCF!$D$44)/DCF!$C$35</f>
        <v>2.1344688844610236</v>
      </c>
    </row>
    <row r="1374" spans="3:8" x14ac:dyDescent="0.35">
      <c r="C1374" s="8">
        <f t="shared" ca="1" si="106"/>
        <v>0.13310421878103695</v>
      </c>
      <c r="D1374" s="7">
        <f t="shared" ca="1" si="107"/>
        <v>7.8026359192686426E-2</v>
      </c>
      <c r="E1374" s="7">
        <f t="shared" ca="1" si="108"/>
        <v>0.11964786456538357</v>
      </c>
      <c r="F1374" s="7">
        <f t="shared" ca="1" si="109"/>
        <v>1.4891786270175417E-2</v>
      </c>
      <c r="G1374" s="7">
        <f t="shared" ca="1" si="105"/>
        <v>273.9926303772308</v>
      </c>
      <c r="H1374" s="7">
        <f ca="1">(G1374+DCF!$D$40+DCF!$D$41+DCF!$D$42-DCF!$D$43-DCF!$D$44)/DCF!$C$35</f>
        <v>2.1885067749025331</v>
      </c>
    </row>
    <row r="1375" spans="3:8" x14ac:dyDescent="0.35">
      <c r="C1375" s="8">
        <f t="shared" ca="1" si="106"/>
        <v>0.7724003714753197</v>
      </c>
      <c r="D1375" s="7">
        <f t="shared" ca="1" si="107"/>
        <v>9.4062585359176248E-2</v>
      </c>
      <c r="E1375" s="7">
        <f t="shared" ca="1" si="108"/>
        <v>0.58234572556544917</v>
      </c>
      <c r="F1375" s="7">
        <f t="shared" ca="1" si="109"/>
        <v>2.0860478410392031E-2</v>
      </c>
      <c r="G1375" s="7">
        <f t="shared" ca="1" si="105"/>
        <v>227.4778281796161</v>
      </c>
      <c r="H1375" s="7">
        <f ca="1">(G1375+DCF!$D$40+DCF!$D$41+DCF!$D$42-DCF!$D$43-DCF!$D$44)/DCF!$C$35</f>
        <v>1.9259782604109723</v>
      </c>
    </row>
    <row r="1376" spans="3:8" x14ac:dyDescent="0.35">
      <c r="C1376" s="8">
        <f t="shared" ca="1" si="106"/>
        <v>0.55359993194506141</v>
      </c>
      <c r="D1376" s="7">
        <f t="shared" ca="1" si="107"/>
        <v>8.7679998298626605E-2</v>
      </c>
      <c r="E1376" s="7">
        <f t="shared" ca="1" si="108"/>
        <v>0.44356802541559515</v>
      </c>
      <c r="F1376" s="7">
        <f t="shared" ca="1" si="109"/>
        <v>1.9418790001009632E-2</v>
      </c>
      <c r="G1376" s="7">
        <f t="shared" ca="1" si="105"/>
        <v>246.67515568651095</v>
      </c>
      <c r="H1376" s="7">
        <f ca="1">(G1376+DCF!$D$40+DCF!$D$41+DCF!$D$42-DCF!$D$43-DCF!$D$44)/DCF!$C$35</f>
        <v>2.0343275521306632</v>
      </c>
    </row>
    <row r="1377" spans="3:8" x14ac:dyDescent="0.35">
      <c r="C1377" s="8">
        <f t="shared" ca="1" si="106"/>
        <v>0.71951032221828581</v>
      </c>
      <c r="D1377" s="7">
        <f t="shared" ca="1" si="107"/>
        <v>9.2307445622398301E-2</v>
      </c>
      <c r="E1377" s="7">
        <f t="shared" ca="1" si="108"/>
        <v>0.32888547514122368</v>
      </c>
      <c r="F1377" s="7">
        <f t="shared" ca="1" si="109"/>
        <v>1.8110307949038972E-2</v>
      </c>
      <c r="G1377" s="7">
        <f t="shared" ca="1" si="105"/>
        <v>227.24734752360638</v>
      </c>
      <c r="H1377" s="7">
        <f ca="1">(G1377+DCF!$D$40+DCF!$D$41+DCF!$D$42-DCF!$D$43-DCF!$D$44)/DCF!$C$35</f>
        <v>1.9246774326876981</v>
      </c>
    </row>
    <row r="1378" spans="3:8" x14ac:dyDescent="0.35">
      <c r="C1378" s="8">
        <f t="shared" ca="1" si="106"/>
        <v>0.98793260329836186</v>
      </c>
      <c r="D1378" s="7">
        <f t="shared" ca="1" si="107"/>
        <v>0.10633022960949487</v>
      </c>
      <c r="E1378" s="7">
        <f t="shared" ca="1" si="108"/>
        <v>0.12927457242393758</v>
      </c>
      <c r="F1378" s="7">
        <f t="shared" ca="1" si="109"/>
        <v>1.5084772805621458E-2</v>
      </c>
      <c r="G1378" s="7">
        <f t="shared" ca="1" si="105"/>
        <v>184.78034735819659</v>
      </c>
      <c r="H1378" s="7">
        <f ca="1">(G1378+DCF!$D$40+DCF!$D$41+DCF!$D$42-DCF!$D$43-DCF!$D$44)/DCF!$C$35</f>
        <v>1.684994623310738</v>
      </c>
    </row>
    <row r="1379" spans="3:8" x14ac:dyDescent="0.35">
      <c r="C1379" s="8">
        <f t="shared" ca="1" si="106"/>
        <v>0.84567537421489714</v>
      </c>
      <c r="D1379" s="7">
        <f t="shared" ca="1" si="107"/>
        <v>9.6876498852205076E-2</v>
      </c>
      <c r="E1379" s="7">
        <f t="shared" ca="1" si="108"/>
        <v>0.1226917595970286</v>
      </c>
      <c r="F1379" s="7">
        <f t="shared" ca="1" si="109"/>
        <v>1.4953620082263648E-2</v>
      </c>
      <c r="G1379" s="7">
        <f t="shared" ca="1" si="105"/>
        <v>207.58315475276794</v>
      </c>
      <c r="H1379" s="7">
        <f ca="1">(G1379+DCF!$D$40+DCF!$D$41+DCF!$D$42-DCF!$D$43-DCF!$D$44)/DCF!$C$35</f>
        <v>1.8136931637474203</v>
      </c>
    </row>
    <row r="1380" spans="3:8" x14ac:dyDescent="0.35">
      <c r="C1380" s="8">
        <f t="shared" ca="1" si="106"/>
        <v>0.8657551110622479</v>
      </c>
      <c r="D1380" s="7">
        <f t="shared" ca="1" si="107"/>
        <v>9.7760012416079373E-2</v>
      </c>
      <c r="E1380" s="7">
        <f t="shared" ca="1" si="108"/>
        <v>0.7592775453415902</v>
      </c>
      <c r="F1380" s="7">
        <f t="shared" ca="1" si="109"/>
        <v>2.3061376870611723E-2</v>
      </c>
      <c r="G1380" s="7">
        <f t="shared" ca="1" si="105"/>
        <v>220.30187049745876</v>
      </c>
      <c r="H1380" s="7">
        <f ca="1">(G1380+DCF!$D$40+DCF!$D$41+DCF!$D$42-DCF!$D$43-DCF!$D$44)/DCF!$C$35</f>
        <v>1.8854773140165861</v>
      </c>
    </row>
    <row r="1381" spans="3:8" x14ac:dyDescent="0.35">
      <c r="C1381" s="8">
        <f t="shared" ca="1" si="106"/>
        <v>0.40681331996929848</v>
      </c>
      <c r="D1381" s="7">
        <f t="shared" ca="1" si="107"/>
        <v>8.4270710563362564E-2</v>
      </c>
      <c r="E1381" s="7">
        <f t="shared" ca="1" si="108"/>
        <v>0.41540805252255686</v>
      </c>
      <c r="F1381" s="7">
        <f t="shared" ca="1" si="109"/>
        <v>1.9114911437008664E-2</v>
      </c>
      <c r="G1381" s="7">
        <f t="shared" ca="1" si="105"/>
        <v>259.50544783091482</v>
      </c>
      <c r="H1381" s="7">
        <f ca="1">(G1381+DCF!$D$40+DCF!$D$41+DCF!$D$42-DCF!$D$43-DCF!$D$44)/DCF!$C$35</f>
        <v>2.1067414371312494</v>
      </c>
    </row>
    <row r="1382" spans="3:8" x14ac:dyDescent="0.35">
      <c r="C1382" s="8">
        <f t="shared" ca="1" si="106"/>
        <v>0.64247654016093159</v>
      </c>
      <c r="D1382" s="7">
        <f t="shared" ca="1" si="107"/>
        <v>9.0025111234842886E-2</v>
      </c>
      <c r="E1382" s="7">
        <f t="shared" ca="1" si="108"/>
        <v>0.30063786171086027</v>
      </c>
      <c r="F1382" s="7">
        <f t="shared" ca="1" si="109"/>
        <v>1.7754197079141852E-2</v>
      </c>
      <c r="G1382" s="7">
        <f t="shared" ca="1" si="105"/>
        <v>234.09227551265144</v>
      </c>
      <c r="H1382" s="7">
        <f ca="1">(G1382+DCF!$D$40+DCF!$D$41+DCF!$D$42-DCF!$D$43-DCF!$D$44)/DCF!$C$35</f>
        <v>1.9633100548179898</v>
      </c>
    </row>
    <row r="1383" spans="3:8" x14ac:dyDescent="0.35">
      <c r="C1383" s="8">
        <f t="shared" ca="1" si="106"/>
        <v>0.22111193295599307</v>
      </c>
      <c r="D1383" s="7">
        <f t="shared" ca="1" si="107"/>
        <v>8.0344958943886671E-2</v>
      </c>
      <c r="E1383" s="7">
        <f t="shared" ca="1" si="108"/>
        <v>0.28638727364043892</v>
      </c>
      <c r="F1383" s="7">
        <f t="shared" ca="1" si="109"/>
        <v>1.7568187017251078E-2</v>
      </c>
      <c r="G1383" s="7">
        <f t="shared" ca="1" si="105"/>
        <v>271.98151442933624</v>
      </c>
      <c r="H1383" s="7">
        <f ca="1">(G1383+DCF!$D$40+DCF!$D$41+DCF!$D$42-DCF!$D$43-DCF!$D$44)/DCF!$C$35</f>
        <v>2.177156080987336</v>
      </c>
    </row>
    <row r="1384" spans="3:8" x14ac:dyDescent="0.35">
      <c r="C1384" s="8">
        <f t="shared" ca="1" si="106"/>
        <v>0.53113940495979339</v>
      </c>
      <c r="D1384" s="7">
        <f t="shared" ca="1" si="107"/>
        <v>8.7125375979813999E-2</v>
      </c>
      <c r="E1384" s="7">
        <f t="shared" ca="1" si="108"/>
        <v>0.37147962785005306</v>
      </c>
      <c r="F1384" s="7">
        <f t="shared" ca="1" si="109"/>
        <v>1.8619508429719794E-2</v>
      </c>
      <c r="G1384" s="7">
        <f t="shared" ca="1" si="105"/>
        <v>246.70944917976462</v>
      </c>
      <c r="H1384" s="7">
        <f ca="1">(G1384+DCF!$D$40+DCF!$D$41+DCF!$D$42-DCF!$D$43-DCF!$D$44)/DCF!$C$35</f>
        <v>2.0345211038478643</v>
      </c>
    </row>
    <row r="1385" spans="3:8" x14ac:dyDescent="0.35">
      <c r="C1385" s="8">
        <f t="shared" ca="1" si="106"/>
        <v>0.23670709255668143</v>
      </c>
      <c r="D1385" s="7">
        <f t="shared" ca="1" si="107"/>
        <v>8.0703561687468048E-2</v>
      </c>
      <c r="E1385" s="7">
        <f t="shared" ca="1" si="108"/>
        <v>0.5704772021581388</v>
      </c>
      <c r="F1385" s="7">
        <f t="shared" ca="1" si="109"/>
        <v>2.0731528736173788E-2</v>
      </c>
      <c r="G1385" s="7">
        <f t="shared" ca="1" si="105"/>
        <v>280.91710720800057</v>
      </c>
      <c r="H1385" s="7">
        <f ca="1">(G1385+DCF!$D$40+DCF!$D$41+DCF!$D$42-DCF!$D$43-DCF!$D$44)/DCF!$C$35</f>
        <v>2.2275883689355487</v>
      </c>
    </row>
    <row r="1386" spans="3:8" x14ac:dyDescent="0.35">
      <c r="C1386" s="8">
        <f t="shared" ca="1" si="106"/>
        <v>0.68096710608279476</v>
      </c>
      <c r="D1386" s="7">
        <f t="shared" ca="1" si="107"/>
        <v>9.1130958964176237E-2</v>
      </c>
      <c r="E1386" s="7">
        <f t="shared" ca="1" si="108"/>
        <v>0.95424190766025141</v>
      </c>
      <c r="F1386" s="7">
        <f t="shared" ca="1" si="109"/>
        <v>2.697483579487828E-2</v>
      </c>
      <c r="G1386" s="7">
        <f t="shared" ca="1" si="105"/>
        <v>253.73084119223847</v>
      </c>
      <c r="H1386" s="7">
        <f ca="1">(G1386+DCF!$D$40+DCF!$D$41+DCF!$D$42-DCF!$D$43-DCF!$D$44)/DCF!$C$35</f>
        <v>2.0741496850222285</v>
      </c>
    </row>
    <row r="1387" spans="3:8" x14ac:dyDescent="0.35">
      <c r="C1387" s="8">
        <f t="shared" ca="1" si="106"/>
        <v>0.72674837245628088</v>
      </c>
      <c r="D1387" s="7">
        <f t="shared" ca="1" si="107"/>
        <v>9.2537216248868265E-2</v>
      </c>
      <c r="E1387" s="7">
        <f t="shared" ca="1" si="108"/>
        <v>0.36127295506103574</v>
      </c>
      <c r="F1387" s="7">
        <f t="shared" ca="1" si="109"/>
        <v>1.8500270055251608E-2</v>
      </c>
      <c r="G1387" s="7">
        <f t="shared" ca="1" si="105"/>
        <v>227.34005861628071</v>
      </c>
      <c r="H1387" s="7">
        <f ca="1">(G1387+DCF!$D$40+DCF!$D$41+DCF!$D$42-DCF!$D$43-DCF!$D$44)/DCF!$C$35</f>
        <v>1.9252006920435754</v>
      </c>
    </row>
    <row r="1388" spans="3:8" x14ac:dyDescent="0.35">
      <c r="C1388" s="8">
        <f t="shared" ca="1" si="106"/>
        <v>0.57069306860815749</v>
      </c>
      <c r="D1388" s="7">
        <f t="shared" ca="1" si="107"/>
        <v>8.8111497642979403E-2</v>
      </c>
      <c r="E1388" s="7">
        <f t="shared" ca="1" si="108"/>
        <v>0.72435877825770323</v>
      </c>
      <c r="F1388" s="7">
        <f t="shared" ca="1" si="109"/>
        <v>2.2575160314965759E-2</v>
      </c>
      <c r="G1388" s="7">
        <f t="shared" ca="1" si="105"/>
        <v>253.54722400654154</v>
      </c>
      <c r="H1388" s="7">
        <f ca="1">(G1388+DCF!$D$40+DCF!$D$41+DCF!$D$42-DCF!$D$43-DCF!$D$44)/DCF!$C$35</f>
        <v>2.0731133536885742</v>
      </c>
    </row>
    <row r="1389" spans="3:8" x14ac:dyDescent="0.35">
      <c r="C1389" s="8">
        <f t="shared" ca="1" si="106"/>
        <v>0.49658123129740583</v>
      </c>
      <c r="D1389" s="7">
        <f t="shared" ca="1" si="107"/>
        <v>8.629735571983381E-2</v>
      </c>
      <c r="E1389" s="7">
        <f t="shared" ca="1" si="108"/>
        <v>0.14569515936439759</v>
      </c>
      <c r="F1389" s="7">
        <f t="shared" ca="1" si="109"/>
        <v>1.539805815760441E-2</v>
      </c>
      <c r="G1389" s="7">
        <f t="shared" ca="1" si="105"/>
        <v>241.67327052082805</v>
      </c>
      <c r="H1389" s="7">
        <f ca="1">(G1389+DCF!$D$40+DCF!$D$41+DCF!$D$42-DCF!$D$43-DCF!$D$44)/DCF!$C$35</f>
        <v>2.0060970229192234</v>
      </c>
    </row>
    <row r="1390" spans="3:8" x14ac:dyDescent="0.35">
      <c r="C1390" s="8">
        <f t="shared" ca="1" si="106"/>
        <v>0.19606913998360775</v>
      </c>
      <c r="D1390" s="7">
        <f t="shared" ca="1" si="107"/>
        <v>7.9741532926191142E-2</v>
      </c>
      <c r="E1390" s="7">
        <f t="shared" ca="1" si="108"/>
        <v>0.20853907281715212</v>
      </c>
      <c r="F1390" s="7">
        <f t="shared" ca="1" si="109"/>
        <v>1.6458158759540556E-2</v>
      </c>
      <c r="G1390" s="7">
        <f t="shared" ca="1" si="105"/>
        <v>271.18071977996044</v>
      </c>
      <c r="H1390" s="7">
        <f ca="1">(G1390+DCF!$D$40+DCF!$D$41+DCF!$D$42-DCF!$D$43-DCF!$D$44)/DCF!$C$35</f>
        <v>2.1726364137033549</v>
      </c>
    </row>
    <row r="1391" spans="3:8" x14ac:dyDescent="0.35">
      <c r="C1391" s="8">
        <f t="shared" ca="1" si="106"/>
        <v>0.88638795807833859</v>
      </c>
      <c r="D1391" s="7">
        <f t="shared" ca="1" si="107"/>
        <v>9.8739847301897984E-2</v>
      </c>
      <c r="E1391" s="7">
        <f t="shared" ca="1" si="108"/>
        <v>0.50734873078600085</v>
      </c>
      <c r="F1391" s="7">
        <f t="shared" ca="1" si="109"/>
        <v>2.007375932979661E-2</v>
      </c>
      <c r="G1391" s="7">
        <f t="shared" ca="1" si="105"/>
        <v>211.53548494473711</v>
      </c>
      <c r="H1391" s="7">
        <f ca="1">(G1391+DCF!$D$40+DCF!$D$41+DCF!$D$42-DCF!$D$43-DCF!$D$44)/DCF!$C$35</f>
        <v>1.8360000279079867</v>
      </c>
    </row>
    <row r="1392" spans="3:8" x14ac:dyDescent="0.35">
      <c r="C1392" s="8">
        <f t="shared" ca="1" si="106"/>
        <v>0.73484776952164865</v>
      </c>
      <c r="D1392" s="7">
        <f t="shared" ca="1" si="107"/>
        <v>9.2797968456782787E-2</v>
      </c>
      <c r="E1392" s="7">
        <f t="shared" ca="1" si="108"/>
        <v>0.70510971687374124</v>
      </c>
      <c r="F1392" s="7">
        <f t="shared" ca="1" si="109"/>
        <v>2.232028277699942E-2</v>
      </c>
      <c r="G1392" s="7">
        <f t="shared" ca="1" si="105"/>
        <v>235.1226933863245</v>
      </c>
      <c r="H1392" s="7">
        <f ca="1">(G1392+DCF!$D$40+DCF!$D$41+DCF!$D$42-DCF!$D$43-DCF!$D$44)/DCF!$C$35</f>
        <v>1.9691257104996303</v>
      </c>
    </row>
    <row r="1393" spans="3:8" x14ac:dyDescent="0.35">
      <c r="C1393" s="8">
        <f t="shared" ca="1" si="106"/>
        <v>0.90589008377664193</v>
      </c>
      <c r="D1393" s="7">
        <f t="shared" ca="1" si="107"/>
        <v>9.9751748124423001E-2</v>
      </c>
      <c r="E1393" s="7">
        <f t="shared" ca="1" si="108"/>
        <v>0.75127915667805567</v>
      </c>
      <c r="F1393" s="7">
        <f t="shared" ca="1" si="109"/>
        <v>2.2947045394702381E-2</v>
      </c>
      <c r="G1393" s="7">
        <f t="shared" ca="1" si="105"/>
        <v>214.02438322789851</v>
      </c>
      <c r="H1393" s="7">
        <f ca="1">(G1393+DCF!$D$40+DCF!$D$41+DCF!$D$42-DCF!$D$43-DCF!$D$44)/DCF!$C$35</f>
        <v>1.8500473147527852</v>
      </c>
    </row>
    <row r="1394" spans="3:8" x14ac:dyDescent="0.35">
      <c r="C1394" s="8">
        <f t="shared" ca="1" si="106"/>
        <v>0.73044941521244622</v>
      </c>
      <c r="D1394" s="7">
        <f t="shared" ca="1" si="107"/>
        <v>9.265588132469943E-2</v>
      </c>
      <c r="E1394" s="7">
        <f t="shared" ca="1" si="108"/>
        <v>0.75211354906723349</v>
      </c>
      <c r="F1394" s="7">
        <f t="shared" ca="1" si="109"/>
        <v>2.2958885728341479E-2</v>
      </c>
      <c r="G1394" s="7">
        <f t="shared" ca="1" si="105"/>
        <v>237.16693553247882</v>
      </c>
      <c r="H1394" s="7">
        <f ca="1">(G1394+DCF!$D$40+DCF!$D$41+DCF!$D$42-DCF!$D$43-DCF!$D$44)/DCF!$C$35</f>
        <v>1.9806633679449079</v>
      </c>
    </row>
    <row r="1395" spans="3:8" x14ac:dyDescent="0.35">
      <c r="C1395" s="8">
        <f t="shared" ca="1" si="106"/>
        <v>0.52905852184587887</v>
      </c>
      <c r="D1395" s="7">
        <f t="shared" ca="1" si="107"/>
        <v>8.707467143921381E-2</v>
      </c>
      <c r="E1395" s="7">
        <f t="shared" ca="1" si="108"/>
        <v>0.19216261988399186</v>
      </c>
      <c r="F1395" s="7">
        <f t="shared" ca="1" si="109"/>
        <v>1.6199397065586166E-2</v>
      </c>
      <c r="G1395" s="7">
        <f t="shared" ca="1" si="105"/>
        <v>240.81305086767372</v>
      </c>
      <c r="H1395" s="7">
        <f ca="1">(G1395+DCF!$D$40+DCF!$D$41+DCF!$D$42-DCF!$D$43-DCF!$D$44)/DCF!$C$35</f>
        <v>2.0012419622286584</v>
      </c>
    </row>
    <row r="1396" spans="3:8" x14ac:dyDescent="0.35">
      <c r="C1396" s="8">
        <f t="shared" ca="1" si="106"/>
        <v>0.37878284649525162</v>
      </c>
      <c r="D1396" s="7">
        <f t="shared" ca="1" si="107"/>
        <v>8.3669820674532075E-2</v>
      </c>
      <c r="E1396" s="7">
        <f t="shared" ca="1" si="108"/>
        <v>0.51358742807132352</v>
      </c>
      <c r="F1396" s="7">
        <f t="shared" ca="1" si="109"/>
        <v>2.0136810131314756E-2</v>
      </c>
      <c r="G1396" s="7">
        <f t="shared" ca="1" si="105"/>
        <v>265.15592477773782</v>
      </c>
      <c r="H1396" s="7">
        <f ca="1">(G1396+DCF!$D$40+DCF!$D$41+DCF!$D$42-DCF!$D$43-DCF!$D$44)/DCF!$C$35</f>
        <v>2.1386326040057444</v>
      </c>
    </row>
    <row r="1397" spans="3:8" x14ac:dyDescent="0.35">
      <c r="C1397" s="8">
        <f t="shared" ca="1" si="106"/>
        <v>0.64724915688928863</v>
      </c>
      <c r="D1397" s="7">
        <f t="shared" ca="1" si="107"/>
        <v>9.015888256897929E-2</v>
      </c>
      <c r="E1397" s="7">
        <f t="shared" ca="1" si="108"/>
        <v>0.1609632733538513</v>
      </c>
      <c r="F1397" s="7">
        <f t="shared" ca="1" si="109"/>
        <v>1.5673857124634902E-2</v>
      </c>
      <c r="G1397" s="7">
        <f t="shared" ca="1" si="105"/>
        <v>229.00290361381826</v>
      </c>
      <c r="H1397" s="7">
        <f ca="1">(G1397+DCF!$D$40+DCF!$D$41+DCF!$D$42-DCF!$D$43-DCF!$D$44)/DCF!$C$35</f>
        <v>1.9345857524202408</v>
      </c>
    </row>
    <row r="1398" spans="3:8" x14ac:dyDescent="0.35">
      <c r="C1398" s="8">
        <f t="shared" ca="1" si="106"/>
        <v>0.87013459709234453</v>
      </c>
      <c r="D1398" s="7">
        <f t="shared" ca="1" si="107"/>
        <v>9.7961321100513421E-2</v>
      </c>
      <c r="E1398" s="7">
        <f t="shared" ca="1" si="108"/>
        <v>0.39320381245687563</v>
      </c>
      <c r="F1398" s="7">
        <f t="shared" ca="1" si="109"/>
        <v>1.8867962702412269E-2</v>
      </c>
      <c r="G1398" s="7">
        <f t="shared" ca="1" si="105"/>
        <v>211.5344610422064</v>
      </c>
      <c r="H1398" s="7">
        <f ca="1">(G1398+DCF!$D$40+DCF!$D$41+DCF!$D$42-DCF!$D$43-DCF!$D$44)/DCF!$C$35</f>
        <v>1.8359942490247567</v>
      </c>
    </row>
    <row r="1399" spans="3:8" x14ac:dyDescent="0.35">
      <c r="C1399" s="8">
        <f t="shared" ca="1" si="106"/>
        <v>0.14882402654097404</v>
      </c>
      <c r="D1399" s="7">
        <f t="shared" ca="1" si="107"/>
        <v>7.8487097786984164E-2</v>
      </c>
      <c r="E1399" s="7">
        <f t="shared" ca="1" si="108"/>
        <v>0.26667711543570005</v>
      </c>
      <c r="F1399" s="7">
        <f t="shared" ca="1" si="109"/>
        <v>1.7303110507663158E-2</v>
      </c>
      <c r="G1399" s="7">
        <f t="shared" ca="1" si="105"/>
        <v>279.82748263917</v>
      </c>
      <c r="H1399" s="7">
        <f ca="1">(G1399+DCF!$D$40+DCF!$D$41+DCF!$D$42-DCF!$D$43-DCF!$D$44)/DCF!$C$35</f>
        <v>2.2214385519763518</v>
      </c>
    </row>
    <row r="1400" spans="3:8" x14ac:dyDescent="0.35">
      <c r="C1400" s="8">
        <f t="shared" ca="1" si="106"/>
        <v>5.7378908485533731E-2</v>
      </c>
      <c r="D1400" s="7">
        <f t="shared" ca="1" si="107"/>
        <v>7.5269856896254247E-2</v>
      </c>
      <c r="E1400" s="7">
        <f t="shared" ca="1" si="108"/>
        <v>0.55254792271312003</v>
      </c>
      <c r="F1400" s="7">
        <f t="shared" ca="1" si="109"/>
        <v>2.0540062608168277E-2</v>
      </c>
      <c r="G1400" s="7">
        <f t="shared" ca="1" si="105"/>
        <v>309.51075737154355</v>
      </c>
      <c r="H1400" s="7">
        <f ca="1">(G1400+DCF!$D$40+DCF!$D$41+DCF!$D$42-DCF!$D$43-DCF!$D$44)/DCF!$C$35</f>
        <v>2.388970297841424</v>
      </c>
    </row>
    <row r="1401" spans="3:8" x14ac:dyDescent="0.35">
      <c r="C1401" s="8">
        <f t="shared" ca="1" si="106"/>
        <v>0.75466765195846885</v>
      </c>
      <c r="D1401" s="7">
        <f t="shared" ca="1" si="107"/>
        <v>9.3453371932192691E-2</v>
      </c>
      <c r="E1401" s="7">
        <f t="shared" ca="1" si="108"/>
        <v>0.71818391595534192</v>
      </c>
      <c r="F1401" s="7">
        <f t="shared" ca="1" si="109"/>
        <v>2.2492456006860059E-2</v>
      </c>
      <c r="G1401" s="7">
        <f t="shared" ca="1" si="105"/>
        <v>233.2356138072422</v>
      </c>
      <c r="H1401" s="7">
        <f ca="1">(G1401+DCF!$D$40+DCF!$D$41+DCF!$D$42-DCF!$D$43-DCF!$D$44)/DCF!$C$35</f>
        <v>1.9584750751057804</v>
      </c>
    </row>
    <row r="1402" spans="3:8" x14ac:dyDescent="0.35">
      <c r="C1402" s="8">
        <f t="shared" ca="1" si="106"/>
        <v>0.51105039336012681</v>
      </c>
      <c r="D1402" s="7">
        <f t="shared" ca="1" si="107"/>
        <v>8.6640467448810154E-2</v>
      </c>
      <c r="E1402" s="7">
        <f t="shared" ca="1" si="108"/>
        <v>0.69521475022228907</v>
      </c>
      <c r="F1402" s="7">
        <f t="shared" ca="1" si="109"/>
        <v>2.2192500403103298E-2</v>
      </c>
      <c r="G1402" s="7">
        <f t="shared" ca="1" si="105"/>
        <v>258.54597789170748</v>
      </c>
      <c r="H1402" s="7">
        <f ca="1">(G1402+DCF!$D$40+DCF!$D$41+DCF!$D$42-DCF!$D$43-DCF!$D$44)/DCF!$C$35</f>
        <v>2.1013262100220538</v>
      </c>
    </row>
    <row r="1403" spans="3:8" x14ac:dyDescent="0.35">
      <c r="C1403" s="8">
        <f t="shared" ca="1" si="106"/>
        <v>0.60005987085974266</v>
      </c>
      <c r="D1403" s="7">
        <f t="shared" ca="1" si="107"/>
        <v>8.8873401028075366E-2</v>
      </c>
      <c r="E1403" s="7">
        <f t="shared" ca="1" si="108"/>
        <v>7.7096446224192872E-2</v>
      </c>
      <c r="F1403" s="7">
        <f t="shared" ca="1" si="109"/>
        <v>1.3926740282325606E-2</v>
      </c>
      <c r="G1403" s="7">
        <f t="shared" ca="1" si="105"/>
        <v>229.43829458307749</v>
      </c>
      <c r="H1403" s="7">
        <f ca="1">(G1403+DCF!$D$40+DCF!$D$41+DCF!$D$42-DCF!$D$43-DCF!$D$44)/DCF!$C$35</f>
        <v>1.9370430894179786</v>
      </c>
    </row>
    <row r="1404" spans="3:8" x14ac:dyDescent="0.35">
      <c r="C1404" s="8">
        <f t="shared" ca="1" si="106"/>
        <v>0.49310132735091416</v>
      </c>
      <c r="D1404" s="7">
        <f t="shared" ca="1" si="107"/>
        <v>8.6215574030967662E-2</v>
      </c>
      <c r="E1404" s="7">
        <f t="shared" ca="1" si="108"/>
        <v>0.7860372363334891</v>
      </c>
      <c r="F1404" s="7">
        <f t="shared" ca="1" si="109"/>
        <v>2.345839830520826E-2</v>
      </c>
      <c r="G1404" s="7">
        <f t="shared" ca="1" si="105"/>
        <v>264.21750459886721</v>
      </c>
      <c r="H1404" s="7">
        <f ca="1">(G1404+DCF!$D$40+DCF!$D$41+DCF!$D$42-DCF!$D$43-DCF!$D$44)/DCF!$C$35</f>
        <v>2.1333361812781759</v>
      </c>
    </row>
    <row r="1405" spans="3:8" x14ac:dyDescent="0.35">
      <c r="C1405" s="8">
        <f t="shared" ca="1" si="106"/>
        <v>0.76819922211101443</v>
      </c>
      <c r="D1405" s="7">
        <f t="shared" ca="1" si="107"/>
        <v>9.3916167492661837E-2</v>
      </c>
      <c r="E1405" s="7">
        <f t="shared" ca="1" si="108"/>
        <v>2.3060615096630599E-3</v>
      </c>
      <c r="F1405" s="7">
        <f t="shared" ca="1" si="109"/>
        <v>1.0679126131092459E-2</v>
      </c>
      <c r="G1405" s="7">
        <f t="shared" ca="1" si="105"/>
        <v>208.27493170394004</v>
      </c>
      <c r="H1405" s="7">
        <f ca="1">(G1405+DCF!$D$40+DCF!$D$41+DCF!$D$42-DCF!$D$43-DCF!$D$44)/DCF!$C$35</f>
        <v>1.8175975375546904</v>
      </c>
    </row>
    <row r="1406" spans="3:8" x14ac:dyDescent="0.35">
      <c r="C1406" s="8">
        <f t="shared" ca="1" si="106"/>
        <v>0.5853389573391452</v>
      </c>
      <c r="D1406" s="7">
        <f t="shared" ca="1" si="107"/>
        <v>8.8488102742679486E-2</v>
      </c>
      <c r="E1406" s="7">
        <f t="shared" ca="1" si="108"/>
        <v>0.26354301141214909</v>
      </c>
      <c r="F1406" s="7">
        <f t="shared" ca="1" si="109"/>
        <v>1.7260069027387397E-2</v>
      </c>
      <c r="G1406" s="7">
        <f t="shared" ca="1" si="105"/>
        <v>238.30700921199184</v>
      </c>
      <c r="H1406" s="7">
        <f ca="1">(G1406+DCF!$D$40+DCF!$D$41+DCF!$D$42-DCF!$D$43-DCF!$D$44)/DCF!$C$35</f>
        <v>1.987097918568641</v>
      </c>
    </row>
    <row r="1407" spans="3:8" x14ac:dyDescent="0.35">
      <c r="C1407" s="8">
        <f t="shared" ca="1" si="106"/>
        <v>0.8499792793728761</v>
      </c>
      <c r="D1407" s="7">
        <f t="shared" ca="1" si="107"/>
        <v>9.7060791205801258E-2</v>
      </c>
      <c r="E1407" s="7">
        <f t="shared" ca="1" si="108"/>
        <v>0.67492416784915921</v>
      </c>
      <c r="F1407" s="7">
        <f t="shared" ca="1" si="109"/>
        <v>2.1936801724491195E-2</v>
      </c>
      <c r="G1407" s="7">
        <f t="shared" ca="1" si="105"/>
        <v>220.16805840810204</v>
      </c>
      <c r="H1407" s="7">
        <f ca="1">(G1407+DCF!$D$40+DCF!$D$41+DCF!$D$42-DCF!$D$43-DCF!$D$44)/DCF!$C$35</f>
        <v>1.8847220815447683</v>
      </c>
    </row>
    <row r="1408" spans="3:8" x14ac:dyDescent="0.35">
      <c r="C1408" s="8">
        <f t="shared" ca="1" si="106"/>
        <v>0.77360388525652946</v>
      </c>
      <c r="D1408" s="7">
        <f t="shared" ca="1" si="107"/>
        <v>9.4104778578021853E-2</v>
      </c>
      <c r="E1408" s="7">
        <f t="shared" ca="1" si="108"/>
        <v>0.56596619246208035</v>
      </c>
      <c r="F1408" s="7">
        <f t="shared" ca="1" si="109"/>
        <v>2.0682985375798539E-2</v>
      </c>
      <c r="G1408" s="7">
        <f t="shared" ca="1" si="105"/>
        <v>226.95128542156434</v>
      </c>
      <c r="H1408" s="7">
        <f ca="1">(G1408+DCF!$D$40+DCF!$D$41+DCF!$D$42-DCF!$D$43-DCF!$D$44)/DCF!$C$35</f>
        <v>1.9230064647339671</v>
      </c>
    </row>
    <row r="1409" spans="3:8" x14ac:dyDescent="0.35">
      <c r="C1409" s="8">
        <f t="shared" ca="1" si="106"/>
        <v>0.64528356801893882</v>
      </c>
      <c r="D1409" s="7">
        <f t="shared" ca="1" si="107"/>
        <v>9.010368028778025E-2</v>
      </c>
      <c r="E1409" s="7">
        <f t="shared" ca="1" si="108"/>
        <v>0.93542737088125172</v>
      </c>
      <c r="F1409" s="7">
        <f t="shared" ca="1" si="109"/>
        <v>2.6406321407839918E-2</v>
      </c>
      <c r="G1409" s="7">
        <f t="shared" ca="1" si="105"/>
        <v>256.36406189341272</v>
      </c>
      <c r="H1409" s="7">
        <f ca="1">(G1409+DCF!$D$40+DCF!$D$41+DCF!$D$42-DCF!$D$43-DCF!$D$44)/DCF!$C$35</f>
        <v>2.0890115244012457</v>
      </c>
    </row>
    <row r="1410" spans="3:8" x14ac:dyDescent="0.35">
      <c r="C1410" s="8">
        <f t="shared" ca="1" si="106"/>
        <v>0.75928806118400383</v>
      </c>
      <c r="D1410" s="7">
        <f t="shared" ca="1" si="107"/>
        <v>9.3609926061220719E-2</v>
      </c>
      <c r="E1410" s="7">
        <f t="shared" ca="1" si="108"/>
        <v>0.46016673395167251</v>
      </c>
      <c r="F1410" s="7">
        <f t="shared" ca="1" si="109"/>
        <v>1.9593401210745563E-2</v>
      </c>
      <c r="G1410" s="7">
        <f t="shared" ca="1" si="105"/>
        <v>226.2065480606241</v>
      </c>
      <c r="H1410" s="7">
        <f ca="1">(G1410+DCF!$D$40+DCF!$D$41+DCF!$D$42-DCF!$D$43-DCF!$D$44)/DCF!$C$35</f>
        <v>1.9188031835456827</v>
      </c>
    </row>
    <row r="1411" spans="3:8" x14ac:dyDescent="0.35">
      <c r="C1411" s="8">
        <f t="shared" ca="1" si="106"/>
        <v>0.28589302183481258</v>
      </c>
      <c r="D1411" s="7">
        <f t="shared" ca="1" si="107"/>
        <v>8.1763172300363937E-2</v>
      </c>
      <c r="E1411" s="7">
        <f t="shared" ca="1" si="108"/>
        <v>2.1213434648234886E-2</v>
      </c>
      <c r="F1411" s="7">
        <f t="shared" ca="1" si="109"/>
        <v>1.205977836905988E-2</v>
      </c>
      <c r="G1411" s="7">
        <f t="shared" ca="1" si="105"/>
        <v>250.16262998050024</v>
      </c>
      <c r="H1411" s="7">
        <f ca="1">(G1411+DCF!$D$40+DCF!$D$41+DCF!$D$42-DCF!$D$43-DCF!$D$44)/DCF!$C$35</f>
        <v>2.0540107798876863</v>
      </c>
    </row>
    <row r="1412" spans="3:8" x14ac:dyDescent="0.35">
      <c r="C1412" s="8">
        <f t="shared" ca="1" si="106"/>
        <v>5.5961467054983283E-2</v>
      </c>
      <c r="D1412" s="7">
        <f t="shared" ca="1" si="107"/>
        <v>7.52043587553715E-2</v>
      </c>
      <c r="E1412" s="7">
        <f t="shared" ca="1" si="108"/>
        <v>0.48087153390958948</v>
      </c>
      <c r="F1412" s="7">
        <f t="shared" ca="1" si="109"/>
        <v>1.9806849992832453E-2</v>
      </c>
      <c r="G1412" s="7">
        <f t="shared" ca="1" si="105"/>
        <v>306.74186558978937</v>
      </c>
      <c r="H1412" s="7">
        <f ca="1">(G1412+DCF!$D$40+DCF!$D$41+DCF!$D$42-DCF!$D$43-DCF!$D$44)/DCF!$C$35</f>
        <v>2.3733427338852544</v>
      </c>
    </row>
    <row r="1413" spans="3:8" x14ac:dyDescent="0.35">
      <c r="C1413" s="8">
        <f t="shared" ca="1" si="106"/>
        <v>0.16891801812721086</v>
      </c>
      <c r="D1413" s="7">
        <f t="shared" ca="1" si="107"/>
        <v>7.9041920192833501E-2</v>
      </c>
      <c r="E1413" s="7">
        <f t="shared" ca="1" si="108"/>
        <v>0.40542386667583075</v>
      </c>
      <c r="F1413" s="7">
        <f t="shared" ca="1" si="109"/>
        <v>1.9004708398119626E-2</v>
      </c>
      <c r="G1413" s="7">
        <f t="shared" ca="1" si="105"/>
        <v>283.03550325708113</v>
      </c>
      <c r="H1413" s="7">
        <f ca="1">(G1413+DCF!$D$40+DCF!$D$41+DCF!$D$42-DCF!$D$43-DCF!$D$44)/DCF!$C$35</f>
        <v>2.2395445493683321</v>
      </c>
    </row>
    <row r="1414" spans="3:8" x14ac:dyDescent="0.35">
      <c r="C1414" s="8">
        <f t="shared" ca="1" si="106"/>
        <v>0.25157773679427464</v>
      </c>
      <c r="D1414" s="7">
        <f t="shared" ca="1" si="107"/>
        <v>8.1034655618025836E-2</v>
      </c>
      <c r="E1414" s="7">
        <f t="shared" ca="1" si="108"/>
        <v>0.16228772712959305</v>
      </c>
      <c r="F1414" s="7">
        <f t="shared" ca="1" si="109"/>
        <v>1.5697152396234332E-2</v>
      </c>
      <c r="G1414" s="7">
        <f t="shared" ca="1" si="105"/>
        <v>263.16614099338875</v>
      </c>
      <c r="H1414" s="7">
        <f ca="1">(G1414+DCF!$D$40+DCF!$D$41+DCF!$D$42-DCF!$D$43-DCF!$D$44)/DCF!$C$35</f>
        <v>2.1274023083496374</v>
      </c>
    </row>
    <row r="1415" spans="3:8" x14ac:dyDescent="0.35">
      <c r="C1415" s="8">
        <f t="shared" ca="1" si="106"/>
        <v>0.99572228862271306</v>
      </c>
      <c r="D1415" s="7">
        <f t="shared" ca="1" si="107"/>
        <v>0.10781506844568252</v>
      </c>
      <c r="E1415" s="7">
        <f t="shared" ca="1" si="108"/>
        <v>0.47780835460301718</v>
      </c>
      <c r="F1415" s="7">
        <f t="shared" ca="1" si="109"/>
        <v>1.9775564992398312E-2</v>
      </c>
      <c r="G1415" s="7">
        <f t="shared" ca="1" si="105"/>
        <v>187.85748715855016</v>
      </c>
      <c r="H1415" s="7">
        <f ca="1">(G1415+DCF!$D$40+DCF!$D$41+DCF!$D$42-DCF!$D$43-DCF!$D$44)/DCF!$C$35</f>
        <v>1.7023619322640826</v>
      </c>
    </row>
    <row r="1416" spans="3:8" x14ac:dyDescent="0.35">
      <c r="C1416" s="8">
        <f t="shared" ca="1" si="106"/>
        <v>0.89719838149523534</v>
      </c>
      <c r="D1416" s="7">
        <f t="shared" ca="1" si="107"/>
        <v>9.9288949339522412E-2</v>
      </c>
      <c r="E1416" s="7">
        <f t="shared" ca="1" si="108"/>
        <v>0.91871454951900344</v>
      </c>
      <c r="F1416" s="7">
        <f t="shared" ca="1" si="109"/>
        <v>2.5967991803555045E-2</v>
      </c>
      <c r="G1416" s="7">
        <f t="shared" ca="1" si="105"/>
        <v>221.56178083013464</v>
      </c>
      <c r="H1416" s="7">
        <f ca="1">(G1416+DCF!$D$40+DCF!$D$41+DCF!$D$42-DCF!$D$43-DCF!$D$44)/DCF!$C$35</f>
        <v>1.8925882200594573</v>
      </c>
    </row>
    <row r="1417" spans="3:8" x14ac:dyDescent="0.35">
      <c r="C1417" s="8">
        <f t="shared" ca="1" si="106"/>
        <v>0.40076823174639487</v>
      </c>
      <c r="D1417" s="7">
        <f t="shared" ca="1" si="107"/>
        <v>8.4139940963504689E-2</v>
      </c>
      <c r="E1417" s="7">
        <f t="shared" ca="1" si="108"/>
        <v>0.1011416134778339</v>
      </c>
      <c r="F1417" s="7">
        <f t="shared" ca="1" si="109"/>
        <v>1.4497590765684087E-2</v>
      </c>
      <c r="G1417" s="7">
        <f t="shared" ca="1" si="105"/>
        <v>247.40470669347411</v>
      </c>
      <c r="H1417" s="7">
        <f ca="1">(G1417+DCF!$D$40+DCF!$D$41+DCF!$D$42-DCF!$D$43-DCF!$D$44)/DCF!$C$35</f>
        <v>2.0384451218730901</v>
      </c>
    </row>
    <row r="1418" spans="3:8" x14ac:dyDescent="0.35">
      <c r="C1418" s="8">
        <f t="shared" ca="1" si="106"/>
        <v>0.42316979671883725</v>
      </c>
      <c r="D1418" s="7">
        <f t="shared" ca="1" si="107"/>
        <v>8.4627918751868675E-2</v>
      </c>
      <c r="E1418" s="7">
        <f t="shared" ca="1" si="108"/>
        <v>0.85421639612769418</v>
      </c>
      <c r="F1418" s="7">
        <f t="shared" ca="1" si="109"/>
        <v>2.4600303640531149E-2</v>
      </c>
      <c r="G1418" s="7">
        <f t="shared" ca="1" si="105"/>
        <v>275.27272494326957</v>
      </c>
      <c r="H1418" s="7">
        <f ca="1">(G1418+DCF!$D$40+DCF!$D$41+DCF!$D$42-DCF!$D$43-DCF!$D$44)/DCF!$C$35</f>
        <v>2.19573160031194</v>
      </c>
    </row>
    <row r="1419" spans="3:8" x14ac:dyDescent="0.35">
      <c r="C1419" s="8">
        <f t="shared" ca="1" si="106"/>
        <v>0.28514920125302812</v>
      </c>
      <c r="D1419" s="7">
        <f t="shared" ca="1" si="107"/>
        <v>8.1747859950070306E-2</v>
      </c>
      <c r="E1419" s="7">
        <f t="shared" ca="1" si="108"/>
        <v>0.1859987312629916</v>
      </c>
      <c r="F1419" s="7">
        <f t="shared" ca="1" si="109"/>
        <v>1.6099159470992566E-2</v>
      </c>
      <c r="G1419" s="7">
        <f t="shared" ca="1" si="105"/>
        <v>261.32321354919969</v>
      </c>
      <c r="H1419" s="7">
        <f ca="1">(G1419+DCF!$D$40+DCF!$D$41+DCF!$D$42-DCF!$D$43-DCF!$D$44)/DCF!$C$35</f>
        <v>2.1170008666282856</v>
      </c>
    </row>
    <row r="1420" spans="3:8" x14ac:dyDescent="0.35">
      <c r="C1420" s="8">
        <f t="shared" ca="1" si="106"/>
        <v>0.94872252936863222</v>
      </c>
      <c r="D1420" s="7">
        <f t="shared" ca="1" si="107"/>
        <v>0.10243523581169867</v>
      </c>
      <c r="E1420" s="7">
        <f t="shared" ca="1" si="108"/>
        <v>0.62155383671541087</v>
      </c>
      <c r="F1420" s="7">
        <f t="shared" ca="1" si="109"/>
        <v>2.1300044100288906E-2</v>
      </c>
      <c r="G1420" s="7">
        <f t="shared" ca="1" si="105"/>
        <v>203.50033100887302</v>
      </c>
      <c r="H1420" s="7">
        <f ca="1">(G1420+DCF!$D$40+DCF!$D$41+DCF!$D$42-DCF!$D$43-DCF!$D$44)/DCF!$C$35</f>
        <v>1.7906497968668753</v>
      </c>
    </row>
    <row r="1421" spans="3:8" x14ac:dyDescent="0.35">
      <c r="C1421" s="8">
        <f t="shared" ca="1" si="106"/>
        <v>0.59975391888606033</v>
      </c>
      <c r="D1421" s="7">
        <f t="shared" ca="1" si="107"/>
        <v>8.8865321707602057E-2</v>
      </c>
      <c r="E1421" s="7">
        <f t="shared" ca="1" si="108"/>
        <v>0.15661295123603203</v>
      </c>
      <c r="F1421" s="7">
        <f t="shared" ca="1" si="109"/>
        <v>1.5596658846776922E-2</v>
      </c>
      <c r="G1421" s="7">
        <f t="shared" ca="1" si="105"/>
        <v>233.14136974774055</v>
      </c>
      <c r="H1421" s="7">
        <f ca="1">(G1421+DCF!$D$40+DCF!$D$41+DCF!$D$42-DCF!$D$43-DCF!$D$44)/DCF!$C$35</f>
        <v>1.9579431637190459</v>
      </c>
    </row>
    <row r="1422" spans="3:8" x14ac:dyDescent="0.35">
      <c r="C1422" s="8">
        <f t="shared" ca="1" si="106"/>
        <v>0.27519777723393724</v>
      </c>
      <c r="D1422" s="7">
        <f t="shared" ca="1" si="107"/>
        <v>8.1541045194488487E-2</v>
      </c>
      <c r="E1422" s="7">
        <f t="shared" ca="1" si="108"/>
        <v>0.12490512905018925</v>
      </c>
      <c r="F1422" s="7">
        <f t="shared" ca="1" si="109"/>
        <v>1.4998102220847215E-2</v>
      </c>
      <c r="G1422" s="7">
        <f t="shared" ca="1" si="105"/>
        <v>259.01471550425617</v>
      </c>
      <c r="H1422" s="7">
        <f ca="1">(G1422+DCF!$D$40+DCF!$D$41+DCF!$D$42-DCF!$D$43-DCF!$D$44)/DCF!$C$35</f>
        <v>2.1039717547367434</v>
      </c>
    </row>
    <row r="1423" spans="3:8" x14ac:dyDescent="0.35">
      <c r="C1423" s="8">
        <f t="shared" ca="1" si="106"/>
        <v>0.86415043552181547</v>
      </c>
      <c r="D1423" s="7">
        <f t="shared" ca="1" si="107"/>
        <v>9.7687075328840273E-2</v>
      </c>
      <c r="E1423" s="7">
        <f t="shared" ca="1" si="108"/>
        <v>0.63922603551160395</v>
      </c>
      <c r="F1423" s="7">
        <f t="shared" ca="1" si="109"/>
        <v>2.1505602263981322E-2</v>
      </c>
      <c r="G1423" s="7">
        <f t="shared" ca="1" si="105"/>
        <v>217.37798427151148</v>
      </c>
      <c r="H1423" s="7">
        <f ca="1">(G1423+DCF!$D$40+DCF!$D$41+DCF!$D$42-DCF!$D$43-DCF!$D$44)/DCF!$C$35</f>
        <v>1.8689749648465486</v>
      </c>
    </row>
    <row r="1424" spans="3:8" x14ac:dyDescent="0.35">
      <c r="C1424" s="8">
        <f t="shared" ca="1" si="106"/>
        <v>2.3575101931358144E-2</v>
      </c>
      <c r="D1424" s="7">
        <f t="shared" ca="1" si="107"/>
        <v>7.337792085975639E-2</v>
      </c>
      <c r="E1424" s="7">
        <f t="shared" ca="1" si="108"/>
        <v>0.13781222258328552</v>
      </c>
      <c r="F1424" s="7">
        <f t="shared" ca="1" si="109"/>
        <v>1.5249994715869446E-2</v>
      </c>
      <c r="G1424" s="7">
        <f t="shared" ref="G1424:G1487" ca="1" si="110">$C$11/(1+D1424)^1
 +$D$11/(1+D1424)^2
 +$E$11/(1+D1424)^3
 +$F$11/(1+D1424)^4
 +$G$11/(1+D1424)^5
 +$H$11/(1+D1424)^6
 +$I$11/(1+D1424)^7
 + ( $I$11*(1+F1424)/(D1424-F1424) )/(1+D1424)^7</f>
        <v>298.42977456707041</v>
      </c>
      <c r="H1424" s="7">
        <f ca="1">(G1424+DCF!$D$40+DCF!$D$41+DCF!$D$42-DCF!$D$43-DCF!$D$44)/DCF!$C$35</f>
        <v>2.3264294760529993</v>
      </c>
    </row>
    <row r="1425" spans="3:8" x14ac:dyDescent="0.35">
      <c r="C1425" s="8">
        <f t="shared" ref="C1425:C1488" ca="1" si="111">RAND()</f>
        <v>0.91902169491103292</v>
      </c>
      <c r="D1425" s="7">
        <f t="shared" ref="D1425:D1488" ca="1" si="112">IF(C1425&lt;($C$6-0.07)/(0.11-0.07),0.07+SQRT(C1425*(0.11-0.07)*($C$6-0.07)),0.11-SQRT((1-C1425)*(0.11-0.07)*(0.11-$C$6)))</f>
        <v>0.10049359224105724</v>
      </c>
      <c r="E1425" s="7">
        <f t="shared" ref="E1425:E1488" ca="1" si="113">RAND()</f>
        <v>0.83386720823335791</v>
      </c>
      <c r="F1425" s="7">
        <f t="shared" ref="F1425:F1488" ca="1" si="114">MIN(
 IF(E1425&lt;(0.02-0.01)/(0.03-0.01),
   0.01+SQRT(E1425*(0.03-0.01)*(0.02-0.01)),
   0.03-SQRT((1-E1425)*(0.03-0.01)*(0.03-0.02))
 ),
 D1425-0.005
)</f>
        <v>2.4235751709604417E-2</v>
      </c>
      <c r="G1425" s="7">
        <f t="shared" ca="1" si="110"/>
        <v>214.325710757282</v>
      </c>
      <c r="H1425" s="7">
        <f ca="1">(G1425+DCF!$D$40+DCF!$D$41+DCF!$D$42-DCF!$D$43-DCF!$D$44)/DCF!$C$35</f>
        <v>1.8517480006619367</v>
      </c>
    </row>
    <row r="1426" spans="3:8" x14ac:dyDescent="0.35">
      <c r="C1426" s="8">
        <f t="shared" ca="1" si="111"/>
        <v>0.71161434949183022</v>
      </c>
      <c r="D1426" s="7">
        <f t="shared" ca="1" si="112"/>
        <v>9.2060145319230777E-2</v>
      </c>
      <c r="E1426" s="7">
        <f t="shared" ca="1" si="113"/>
        <v>0.22436329733727578</v>
      </c>
      <c r="F1426" s="7">
        <f t="shared" ca="1" si="114"/>
        <v>1.6698705805411607E-2</v>
      </c>
      <c r="G1426" s="7">
        <f t="shared" ca="1" si="110"/>
        <v>225.04648049282332</v>
      </c>
      <c r="H1426" s="7">
        <f ca="1">(G1426+DCF!$D$40+DCF!$D$41+DCF!$D$42-DCF!$D$43-DCF!$D$44)/DCF!$C$35</f>
        <v>1.9122557878588062</v>
      </c>
    </row>
    <row r="1427" spans="3:8" x14ac:dyDescent="0.35">
      <c r="C1427" s="8">
        <f t="shared" ca="1" si="111"/>
        <v>4.1888908541938386E-2</v>
      </c>
      <c r="D1427" s="7">
        <f t="shared" ca="1" si="112"/>
        <v>7.4502691609948241E-2</v>
      </c>
      <c r="E1427" s="7">
        <f t="shared" ca="1" si="113"/>
        <v>0.61402301298363338</v>
      </c>
      <c r="F1427" s="7">
        <f t="shared" ca="1" si="114"/>
        <v>2.1213908866664691E-2</v>
      </c>
      <c r="G1427" s="7">
        <f t="shared" ca="1" si="110"/>
        <v>317.18747342697839</v>
      </c>
      <c r="H1427" s="7">
        <f ca="1">(G1427+DCF!$D$40+DCF!$D$41+DCF!$D$42-DCF!$D$43-DCF!$D$44)/DCF!$C$35</f>
        <v>2.4322975134156133</v>
      </c>
    </row>
    <row r="1428" spans="3:8" x14ac:dyDescent="0.35">
      <c r="C1428" s="8">
        <f t="shared" ca="1" si="111"/>
        <v>0.44160263482737427</v>
      </c>
      <c r="D1428" s="7">
        <f t="shared" ca="1" si="112"/>
        <v>8.5036597597029168E-2</v>
      </c>
      <c r="E1428" s="7">
        <f t="shared" ca="1" si="113"/>
        <v>0.50394664993454774</v>
      </c>
      <c r="F1428" s="7">
        <f t="shared" ca="1" si="114"/>
        <v>2.0039544688464764E-2</v>
      </c>
      <c r="G1428" s="7">
        <f t="shared" ca="1" si="110"/>
        <v>258.98661853121763</v>
      </c>
      <c r="H1428" s="7">
        <f ca="1">(G1428+DCF!$D$40+DCF!$D$41+DCF!$D$42-DCF!$D$43-DCF!$D$44)/DCF!$C$35</f>
        <v>2.103813176042542</v>
      </c>
    </row>
    <row r="1429" spans="3:8" x14ac:dyDescent="0.35">
      <c r="C1429" s="8">
        <f t="shared" ca="1" si="111"/>
        <v>0.65510501188027848</v>
      </c>
      <c r="D1429" s="7">
        <f t="shared" ca="1" si="112"/>
        <v>9.0381059999541033E-2</v>
      </c>
      <c r="E1429" s="7">
        <f t="shared" ca="1" si="113"/>
        <v>0.15194049416400635</v>
      </c>
      <c r="F1429" s="7">
        <f t="shared" ca="1" si="114"/>
        <v>1.5512540143418574E-2</v>
      </c>
      <c r="G1429" s="7">
        <f t="shared" ca="1" si="110"/>
        <v>227.93159946318741</v>
      </c>
      <c r="H1429" s="7">
        <f ca="1">(G1429+DCF!$D$40+DCF!$D$41+DCF!$D$42-DCF!$D$43-DCF!$D$44)/DCF!$C$35</f>
        <v>1.9285393354960345</v>
      </c>
    </row>
    <row r="1430" spans="3:8" x14ac:dyDescent="0.35">
      <c r="C1430" s="8">
        <f t="shared" ca="1" si="111"/>
        <v>0.85009894635964967</v>
      </c>
      <c r="D1430" s="7">
        <f t="shared" ca="1" si="112"/>
        <v>9.7065952842878958E-2</v>
      </c>
      <c r="E1430" s="7">
        <f t="shared" ca="1" si="113"/>
        <v>0.12842130837611387</v>
      </c>
      <c r="F1430" s="7">
        <f t="shared" ca="1" si="114"/>
        <v>1.5067964253546267E-2</v>
      </c>
      <c r="G1430" s="7">
        <f t="shared" ca="1" si="110"/>
        <v>207.26644962902458</v>
      </c>
      <c r="H1430" s="7">
        <f ca="1">(G1430+DCF!$D$40+DCF!$D$41+DCF!$D$42-DCF!$D$43-DCF!$D$44)/DCF!$C$35</f>
        <v>1.8119056870359214</v>
      </c>
    </row>
    <row r="1431" spans="3:8" x14ac:dyDescent="0.35">
      <c r="C1431" s="8">
        <f t="shared" ca="1" si="111"/>
        <v>0.51048645868742248</v>
      </c>
      <c r="D1431" s="7">
        <f t="shared" ca="1" si="112"/>
        <v>8.6627000361424802E-2</v>
      </c>
      <c r="E1431" s="7">
        <f t="shared" ca="1" si="113"/>
        <v>0.35876048933572446</v>
      </c>
      <c r="F1431" s="7">
        <f t="shared" ca="1" si="114"/>
        <v>1.847066100532567E-2</v>
      </c>
      <c r="G1431" s="7">
        <f t="shared" ca="1" si="110"/>
        <v>248.23048927305749</v>
      </c>
      <c r="H1431" s="7">
        <f ca="1">(G1431+DCF!$D$40+DCF!$D$41+DCF!$D$42-DCF!$D$43-DCF!$D$44)/DCF!$C$35</f>
        <v>2.04310582048232</v>
      </c>
    </row>
    <row r="1432" spans="3:8" x14ac:dyDescent="0.35">
      <c r="C1432" s="8">
        <f t="shared" ca="1" si="111"/>
        <v>0.51723576836100127</v>
      </c>
      <c r="D1432" s="7">
        <f t="shared" ca="1" si="112"/>
        <v>8.678869063346227E-2</v>
      </c>
      <c r="E1432" s="7">
        <f t="shared" ca="1" si="113"/>
        <v>0.48163594704768553</v>
      </c>
      <c r="F1432" s="7">
        <f t="shared" ca="1" si="114"/>
        <v>1.9814641583345623E-2</v>
      </c>
      <c r="G1432" s="7">
        <f t="shared" ca="1" si="110"/>
        <v>251.20039445143013</v>
      </c>
      <c r="H1432" s="7">
        <f ca="1">(G1432+DCF!$D$40+DCF!$D$41+DCF!$D$42-DCF!$D$43-DCF!$D$44)/DCF!$C$35</f>
        <v>2.0598678996017052</v>
      </c>
    </row>
    <row r="1433" spans="3:8" x14ac:dyDescent="0.35">
      <c r="C1433" s="8">
        <f t="shared" ca="1" si="111"/>
        <v>0.95002873501741802</v>
      </c>
      <c r="D1433" s="7">
        <f t="shared" ca="1" si="112"/>
        <v>0.10253220703818314</v>
      </c>
      <c r="E1433" s="7">
        <f t="shared" ca="1" si="113"/>
        <v>0.24011485548101852</v>
      </c>
      <c r="F1433" s="7">
        <f t="shared" ca="1" si="114"/>
        <v>1.6929860828054463E-2</v>
      </c>
      <c r="G1433" s="7">
        <f t="shared" ca="1" si="110"/>
        <v>196.19212593949135</v>
      </c>
      <c r="H1433" s="7">
        <f ca="1">(G1433+DCF!$D$40+DCF!$D$41+DCF!$D$42-DCF!$D$43-DCF!$D$44)/DCF!$C$35</f>
        <v>1.7494024491448885</v>
      </c>
    </row>
    <row r="1434" spans="3:8" x14ac:dyDescent="0.35">
      <c r="C1434" s="8">
        <f t="shared" ca="1" si="111"/>
        <v>0.91127975744142753</v>
      </c>
      <c r="D1434" s="7">
        <f t="shared" ca="1" si="112"/>
        <v>0.10004953314183868</v>
      </c>
      <c r="E1434" s="7">
        <f t="shared" ca="1" si="113"/>
        <v>9.1008928305339243E-2</v>
      </c>
      <c r="F1434" s="7">
        <f t="shared" ca="1" si="114"/>
        <v>1.426635507911236E-2</v>
      </c>
      <c r="G1434" s="7">
        <f t="shared" ca="1" si="110"/>
        <v>198.2256700771386</v>
      </c>
      <c r="H1434" s="7">
        <f ca="1">(G1434+DCF!$D$40+DCF!$D$41+DCF!$D$42-DCF!$D$43-DCF!$D$44)/DCF!$C$35</f>
        <v>1.7608797272668393</v>
      </c>
    </row>
    <row r="1435" spans="3:8" x14ac:dyDescent="0.35">
      <c r="C1435" s="8">
        <f t="shared" ca="1" si="111"/>
        <v>0.55163764178751062</v>
      </c>
      <c r="D1435" s="7">
        <f t="shared" ca="1" si="112"/>
        <v>8.7630994841854548E-2</v>
      </c>
      <c r="E1435" s="7">
        <f t="shared" ca="1" si="113"/>
        <v>0.70577773664488963</v>
      </c>
      <c r="F1435" s="7">
        <f t="shared" ca="1" si="114"/>
        <v>2.2328986203178743E-2</v>
      </c>
      <c r="G1435" s="7">
        <f t="shared" ca="1" si="110"/>
        <v>254.8145435402289</v>
      </c>
      <c r="H1435" s="7">
        <f ca="1">(G1435+DCF!$D$40+DCF!$D$41+DCF!$D$42-DCF!$D$43-DCF!$D$44)/DCF!$C$35</f>
        <v>2.0802660770980297</v>
      </c>
    </row>
    <row r="1436" spans="3:8" x14ac:dyDescent="0.35">
      <c r="C1436" s="8">
        <f t="shared" ca="1" si="111"/>
        <v>0.10083389260416653</v>
      </c>
      <c r="D1436" s="7">
        <f t="shared" ca="1" si="112"/>
        <v>7.698595763087758E-2</v>
      </c>
      <c r="E1436" s="7">
        <f t="shared" ca="1" si="113"/>
        <v>0.67727771501151057</v>
      </c>
      <c r="F1436" s="7">
        <f t="shared" ca="1" si="114"/>
        <v>2.1966043502874944E-2</v>
      </c>
      <c r="G1436" s="7">
        <f t="shared" ca="1" si="110"/>
        <v>305.58468058250025</v>
      </c>
      <c r="H1436" s="7">
        <f ca="1">(G1436+DCF!$D$40+DCF!$D$41+DCF!$D$42-DCF!$D$43-DCF!$D$44)/DCF!$C$35</f>
        <v>2.3668116073061305</v>
      </c>
    </row>
    <row r="1437" spans="3:8" x14ac:dyDescent="0.35">
      <c r="C1437" s="8">
        <f t="shared" ca="1" si="111"/>
        <v>0.91337138036597609</v>
      </c>
      <c r="D1437" s="7">
        <f t="shared" ca="1" si="112"/>
        <v>0.10016752627709738</v>
      </c>
      <c r="E1437" s="7">
        <f t="shared" ca="1" si="113"/>
        <v>0.63216029987957367</v>
      </c>
      <c r="F1437" s="7">
        <f t="shared" ca="1" si="114"/>
        <v>2.1422824472818264E-2</v>
      </c>
      <c r="G1437" s="7">
        <f t="shared" ca="1" si="110"/>
        <v>209.95454435710974</v>
      </c>
      <c r="H1437" s="7">
        <f ca="1">(G1437+DCF!$D$40+DCF!$D$41+DCF!$D$42-DCF!$D$43-DCF!$D$44)/DCF!$C$35</f>
        <v>1.8270772342087691</v>
      </c>
    </row>
    <row r="1438" spans="3:8" x14ac:dyDescent="0.35">
      <c r="C1438" s="8">
        <f t="shared" ca="1" si="111"/>
        <v>8.4635858623920424E-2</v>
      </c>
      <c r="D1438" s="7">
        <f t="shared" ca="1" si="112"/>
        <v>7.6400293397491839E-2</v>
      </c>
      <c r="E1438" s="7">
        <f t="shared" ca="1" si="113"/>
        <v>0.50656850302020273</v>
      </c>
      <c r="F1438" s="7">
        <f t="shared" ca="1" si="114"/>
        <v>2.006590218510209E-2</v>
      </c>
      <c r="G1438" s="7">
        <f t="shared" ca="1" si="110"/>
        <v>300.99926498928323</v>
      </c>
      <c r="H1438" s="7">
        <f ca="1">(G1438+DCF!$D$40+DCF!$D$41+DCF!$D$42-DCF!$D$43-DCF!$D$44)/DCF!$C$35</f>
        <v>2.3409316231475517</v>
      </c>
    </row>
    <row r="1439" spans="3:8" x14ac:dyDescent="0.35">
      <c r="C1439" s="8">
        <f t="shared" ca="1" si="111"/>
        <v>0.69740811721965301</v>
      </c>
      <c r="D1439" s="7">
        <f t="shared" ca="1" si="112"/>
        <v>9.1623587369051948E-2</v>
      </c>
      <c r="E1439" s="7">
        <f t="shared" ca="1" si="113"/>
        <v>0.98549172776759442</v>
      </c>
      <c r="F1439" s="7">
        <f t="shared" ca="1" si="114"/>
        <v>2.8296575670456382E-2</v>
      </c>
      <c r="G1439" s="7">
        <f t="shared" ca="1" si="110"/>
        <v>255.54717087417254</v>
      </c>
      <c r="H1439" s="7">
        <f ca="1">(G1439+DCF!$D$40+DCF!$D$41+DCF!$D$42-DCF!$D$43-DCF!$D$44)/DCF!$C$35</f>
        <v>2.0844010095618724</v>
      </c>
    </row>
    <row r="1440" spans="3:8" x14ac:dyDescent="0.35">
      <c r="C1440" s="8">
        <f t="shared" ca="1" si="111"/>
        <v>0.34242677418066791</v>
      </c>
      <c r="D1440" s="7">
        <f t="shared" ca="1" si="112"/>
        <v>8.2910302327003083E-2</v>
      </c>
      <c r="E1440" s="7">
        <f t="shared" ca="1" si="113"/>
        <v>0.18103527788251172</v>
      </c>
      <c r="F1440" s="7">
        <f t="shared" ca="1" si="114"/>
        <v>1.6017229892276209E-2</v>
      </c>
      <c r="G1440" s="7">
        <f t="shared" ca="1" si="110"/>
        <v>256.2808782777746</v>
      </c>
      <c r="H1440" s="7">
        <f ca="1">(G1440+DCF!$D$40+DCF!$D$41+DCF!$D$42-DCF!$D$43-DCF!$D$44)/DCF!$C$35</f>
        <v>2.0885420379149711</v>
      </c>
    </row>
    <row r="1441" spans="3:8" x14ac:dyDescent="0.35">
      <c r="C1441" s="8">
        <f t="shared" ca="1" si="111"/>
        <v>0.54025300520475372</v>
      </c>
      <c r="D1441" s="7">
        <f t="shared" ca="1" si="112"/>
        <v>8.7348782677491826E-2</v>
      </c>
      <c r="E1441" s="7">
        <f t="shared" ca="1" si="113"/>
        <v>0.76964397544522489</v>
      </c>
      <c r="F1441" s="7">
        <f t="shared" ca="1" si="114"/>
        <v>2.3212422751013803E-2</v>
      </c>
      <c r="G1441" s="7">
        <f t="shared" ca="1" si="110"/>
        <v>258.56208271136319</v>
      </c>
      <c r="H1441" s="7">
        <f ca="1">(G1441+DCF!$D$40+DCF!$D$41+DCF!$D$42-DCF!$D$43-DCF!$D$44)/DCF!$C$35</f>
        <v>2.1014171052678812</v>
      </c>
    </row>
    <row r="1442" spans="3:8" x14ac:dyDescent="0.35">
      <c r="C1442" s="8">
        <f t="shared" ca="1" si="111"/>
        <v>0.42871546278688222</v>
      </c>
      <c r="D1442" s="7">
        <f t="shared" ca="1" si="112"/>
        <v>8.4750177356467643E-2</v>
      </c>
      <c r="E1442" s="7">
        <f t="shared" ca="1" si="113"/>
        <v>0.64499687866359823</v>
      </c>
      <c r="F1442" s="7">
        <f t="shared" ca="1" si="114"/>
        <v>2.157381318345716E-2</v>
      </c>
      <c r="G1442" s="7">
        <f t="shared" ca="1" si="110"/>
        <v>264.83716535441681</v>
      </c>
      <c r="H1442" s="7">
        <f ca="1">(G1442+DCF!$D$40+DCF!$D$41+DCF!$D$42-DCF!$D$43-DCF!$D$44)/DCF!$C$35</f>
        <v>2.1368335328728794</v>
      </c>
    </row>
    <row r="1443" spans="3:8" x14ac:dyDescent="0.35">
      <c r="C1443" s="8">
        <f t="shared" ca="1" si="111"/>
        <v>0.38758391310357476</v>
      </c>
      <c r="D1443" s="7">
        <f t="shared" ca="1" si="112"/>
        <v>8.3857001836506767E-2</v>
      </c>
      <c r="E1443" s="7">
        <f t="shared" ca="1" si="113"/>
        <v>0.84210514397738334</v>
      </c>
      <c r="F1443" s="7">
        <f t="shared" ca="1" si="114"/>
        <v>2.4380483009677493E-2</v>
      </c>
      <c r="G1443" s="7">
        <f t="shared" ca="1" si="110"/>
        <v>278.25106217756496</v>
      </c>
      <c r="H1443" s="7">
        <f ca="1">(G1443+DCF!$D$40+DCF!$D$41+DCF!$D$42-DCF!$D$43-DCF!$D$44)/DCF!$C$35</f>
        <v>2.212541269768399</v>
      </c>
    </row>
    <row r="1444" spans="3:8" x14ac:dyDescent="0.35">
      <c r="C1444" s="8">
        <f t="shared" ca="1" si="111"/>
        <v>0.17782163382535476</v>
      </c>
      <c r="D1444" s="7">
        <f t="shared" ca="1" si="112"/>
        <v>7.9277158550519214E-2</v>
      </c>
      <c r="E1444" s="7">
        <f t="shared" ca="1" si="113"/>
        <v>0.75641343116320092</v>
      </c>
      <c r="F1444" s="7">
        <f t="shared" ca="1" si="114"/>
        <v>2.3020221080337872E-2</v>
      </c>
      <c r="G1444" s="7">
        <f t="shared" ca="1" si="110"/>
        <v>296.96952563438686</v>
      </c>
      <c r="H1444" s="7">
        <f ca="1">(G1444+DCF!$D$40+DCF!$D$41+DCF!$D$42-DCF!$D$43-DCF!$D$44)/DCF!$C$35</f>
        <v>2.3181878633840549</v>
      </c>
    </row>
    <row r="1445" spans="3:8" x14ac:dyDescent="0.35">
      <c r="C1445" s="8">
        <f t="shared" ca="1" si="111"/>
        <v>0.23216577300441155</v>
      </c>
      <c r="D1445" s="7">
        <f t="shared" ca="1" si="112"/>
        <v>8.0600388395437941E-2</v>
      </c>
      <c r="E1445" s="7">
        <f t="shared" ca="1" si="113"/>
        <v>7.3337318391214157E-2</v>
      </c>
      <c r="F1445" s="7">
        <f t="shared" ca="1" si="114"/>
        <v>1.382981248604195E-2</v>
      </c>
      <c r="G1445" s="7">
        <f t="shared" ca="1" si="110"/>
        <v>259.57804678318678</v>
      </c>
      <c r="H1445" s="7">
        <f ca="1">(G1445+DCF!$D$40+DCF!$D$41+DCF!$D$42-DCF!$D$43-DCF!$D$44)/DCF!$C$35</f>
        <v>2.1071511840116646</v>
      </c>
    </row>
    <row r="1446" spans="3:8" x14ac:dyDescent="0.35">
      <c r="C1446" s="8">
        <f t="shared" ca="1" si="111"/>
        <v>0.80511465273935756</v>
      </c>
      <c r="D1446" s="7">
        <f t="shared" ca="1" si="112"/>
        <v>9.5252388412258859E-2</v>
      </c>
      <c r="E1446" s="7">
        <f t="shared" ca="1" si="113"/>
        <v>0.57127930119277281</v>
      </c>
      <c r="F1446" s="7">
        <f t="shared" ca="1" si="114"/>
        <v>2.0740186839819853E-2</v>
      </c>
      <c r="G1446" s="7">
        <f t="shared" ca="1" si="110"/>
        <v>223.36922816612935</v>
      </c>
      <c r="H1446" s="7">
        <f ca="1">(G1446+DCF!$D$40+DCF!$D$41+DCF!$D$42-DCF!$D$43-DCF!$D$44)/DCF!$C$35</f>
        <v>1.9027894128351357</v>
      </c>
    </row>
    <row r="1447" spans="3:8" x14ac:dyDescent="0.35">
      <c r="C1447" s="8">
        <f t="shared" ca="1" si="111"/>
        <v>7.1592834107305658E-2</v>
      </c>
      <c r="D1447" s="7">
        <f t="shared" ca="1" si="112"/>
        <v>7.588650420096138E-2</v>
      </c>
      <c r="E1447" s="7">
        <f t="shared" ca="1" si="113"/>
        <v>0.95035668436838705</v>
      </c>
      <c r="F1447" s="7">
        <f t="shared" ca="1" si="114"/>
        <v>2.6849021877841328E-2</v>
      </c>
      <c r="G1447" s="7">
        <f t="shared" ca="1" si="110"/>
        <v>336.0965143239797</v>
      </c>
      <c r="H1447" s="7">
        <f ca="1">(G1447+DCF!$D$40+DCF!$D$41+DCF!$D$42-DCF!$D$43-DCF!$D$44)/DCF!$C$35</f>
        <v>2.5390197218872319</v>
      </c>
    </row>
    <row r="1448" spans="3:8" x14ac:dyDescent="0.35">
      <c r="C1448" s="8">
        <f t="shared" ca="1" si="111"/>
        <v>0.75456374411016347</v>
      </c>
      <c r="D1448" s="7">
        <f t="shared" ca="1" si="112"/>
        <v>9.3449868230945782E-2</v>
      </c>
      <c r="E1448" s="7">
        <f t="shared" ca="1" si="113"/>
        <v>0.72335026667126834</v>
      </c>
      <c r="F1448" s="7">
        <f t="shared" ca="1" si="114"/>
        <v>2.2561589775647869E-2</v>
      </c>
      <c r="G1448" s="7">
        <f t="shared" ca="1" si="110"/>
        <v>233.40980008084739</v>
      </c>
      <c r="H1448" s="7">
        <f ca="1">(G1448+DCF!$D$40+DCF!$D$41+DCF!$D$42-DCF!$D$43-DCF!$D$44)/DCF!$C$35</f>
        <v>1.9594581785802425</v>
      </c>
    </row>
    <row r="1449" spans="3:8" x14ac:dyDescent="0.35">
      <c r="C1449" s="8">
        <f t="shared" ca="1" si="111"/>
        <v>0.47174978441996118</v>
      </c>
      <c r="D1449" s="7">
        <f t="shared" ca="1" si="112"/>
        <v>8.5719817945754131E-2</v>
      </c>
      <c r="E1449" s="7">
        <f t="shared" ca="1" si="113"/>
        <v>0.17771069122108152</v>
      </c>
      <c r="F1449" s="7">
        <f t="shared" ca="1" si="114"/>
        <v>1.5961722758080613E-2</v>
      </c>
      <c r="G1449" s="7">
        <f t="shared" ca="1" si="110"/>
        <v>245.1968558879816</v>
      </c>
      <c r="H1449" s="7">
        <f ca="1">(G1449+DCF!$D$40+DCF!$D$41+DCF!$D$42-DCF!$D$43-DCF!$D$44)/DCF!$C$35</f>
        <v>2.0259840607742499</v>
      </c>
    </row>
    <row r="1450" spans="3:8" x14ac:dyDescent="0.35">
      <c r="C1450" s="8">
        <f t="shared" ca="1" si="111"/>
        <v>0.33683837863883936</v>
      </c>
      <c r="D1450" s="7">
        <f t="shared" ca="1" si="112"/>
        <v>8.2795434768424339E-2</v>
      </c>
      <c r="E1450" s="7">
        <f t="shared" ca="1" si="113"/>
        <v>0.81098661509215431</v>
      </c>
      <c r="F1450" s="7">
        <f t="shared" ca="1" si="114"/>
        <v>2.3851611838736176E-2</v>
      </c>
      <c r="G1450" s="7">
        <f t="shared" ca="1" si="110"/>
        <v>281.62985282023794</v>
      </c>
      <c r="H1450" s="7">
        <f ca="1">(G1450+DCF!$D$40+DCF!$D$41+DCF!$D$42-DCF!$D$43-DCF!$D$44)/DCF!$C$35</f>
        <v>2.2316110894019525</v>
      </c>
    </row>
    <row r="1451" spans="3:8" x14ac:dyDescent="0.35">
      <c r="C1451" s="8">
        <f t="shared" ca="1" si="111"/>
        <v>0.20860727467495543</v>
      </c>
      <c r="D1451" s="7">
        <f t="shared" ca="1" si="112"/>
        <v>8.0048179981602574E-2</v>
      </c>
      <c r="E1451" s="7">
        <f t="shared" ca="1" si="113"/>
        <v>0.74340846449474274</v>
      </c>
      <c r="F1451" s="7">
        <f t="shared" ca="1" si="114"/>
        <v>2.2836320282072109E-2</v>
      </c>
      <c r="G1451" s="7">
        <f t="shared" ca="1" si="110"/>
        <v>292.05194605574354</v>
      </c>
      <c r="H1451" s="7">
        <f ca="1">(G1451+DCF!$D$40+DCF!$D$41+DCF!$D$42-DCF!$D$43-DCF!$D$44)/DCF!$C$35</f>
        <v>2.2904331530406563</v>
      </c>
    </row>
    <row r="1452" spans="3:8" x14ac:dyDescent="0.35">
      <c r="C1452" s="8">
        <f t="shared" ca="1" si="111"/>
        <v>0.90321414345724715</v>
      </c>
      <c r="D1452" s="7">
        <f t="shared" ca="1" si="112"/>
        <v>9.9607068945590363E-2</v>
      </c>
      <c r="E1452" s="7">
        <f t="shared" ca="1" si="113"/>
        <v>0.23551539794206688</v>
      </c>
      <c r="F1452" s="7">
        <f t="shared" ca="1" si="114"/>
        <v>1.6863168334553175E-2</v>
      </c>
      <c r="G1452" s="7">
        <f t="shared" ca="1" si="110"/>
        <v>203.52113269268813</v>
      </c>
      <c r="H1452" s="7">
        <f ca="1">(G1452+DCF!$D$40+DCF!$D$41+DCF!$D$42-DCF!$D$43-DCF!$D$44)/DCF!$C$35</f>
        <v>1.7907672011101032</v>
      </c>
    </row>
    <row r="1453" spans="3:8" x14ac:dyDescent="0.35">
      <c r="C1453" s="8">
        <f t="shared" ca="1" si="111"/>
        <v>0.58798610836574505</v>
      </c>
      <c r="D1453" s="7">
        <f t="shared" ca="1" si="112"/>
        <v>8.8556877488018951E-2</v>
      </c>
      <c r="E1453" s="7">
        <f t="shared" ca="1" si="113"/>
        <v>0.3865733674953199</v>
      </c>
      <c r="F1453" s="7">
        <f t="shared" ca="1" si="114"/>
        <v>1.8792876292719238E-2</v>
      </c>
      <c r="G1453" s="7">
        <f t="shared" ca="1" si="110"/>
        <v>241.79466236499121</v>
      </c>
      <c r="H1453" s="7">
        <f ca="1">(G1453+DCF!$D$40+DCF!$D$41+DCF!$D$42-DCF!$D$43-DCF!$D$44)/DCF!$C$35</f>
        <v>2.0067821558019596</v>
      </c>
    </row>
    <row r="1454" spans="3:8" x14ac:dyDescent="0.35">
      <c r="C1454" s="8">
        <f t="shared" ca="1" si="111"/>
        <v>0.4774719652293139</v>
      </c>
      <c r="D1454" s="7">
        <f t="shared" ca="1" si="112"/>
        <v>8.585168149116619E-2</v>
      </c>
      <c r="E1454" s="7">
        <f t="shared" ca="1" si="113"/>
        <v>0.35911973303233469</v>
      </c>
      <c r="F1454" s="7">
        <f t="shared" ca="1" si="114"/>
        <v>1.8474900979154087E-2</v>
      </c>
      <c r="G1454" s="7">
        <f t="shared" ca="1" si="110"/>
        <v>251.26564823830188</v>
      </c>
      <c r="H1454" s="7">
        <f ca="1">(G1454+DCF!$D$40+DCF!$D$41+DCF!$D$42-DCF!$D$43-DCF!$D$44)/DCF!$C$35</f>
        <v>2.0602361905311088</v>
      </c>
    </row>
    <row r="1455" spans="3:8" x14ac:dyDescent="0.35">
      <c r="C1455" s="8">
        <f t="shared" ca="1" si="111"/>
        <v>0.19009567538368077</v>
      </c>
      <c r="D1455" s="7">
        <f t="shared" ca="1" si="112"/>
        <v>7.9591991810135237E-2</v>
      </c>
      <c r="E1455" s="7">
        <f t="shared" ca="1" si="113"/>
        <v>0.86535310391101572</v>
      </c>
      <c r="F1455" s="7">
        <f t="shared" ca="1" si="114"/>
        <v>2.4810647514593283E-2</v>
      </c>
      <c r="G1455" s="7">
        <f t="shared" ca="1" si="110"/>
        <v>302.59157512476997</v>
      </c>
      <c r="H1455" s="7">
        <f ca="1">(G1455+DCF!$D$40+DCF!$D$41+DCF!$D$42-DCF!$D$43-DCF!$D$44)/DCF!$C$35</f>
        <v>2.3499185863233434</v>
      </c>
    </row>
    <row r="1456" spans="3:8" x14ac:dyDescent="0.35">
      <c r="C1456" s="8">
        <f t="shared" ca="1" si="111"/>
        <v>0.4839560411964986</v>
      </c>
      <c r="D1456" s="7">
        <f t="shared" ca="1" si="112"/>
        <v>8.6001978039331919E-2</v>
      </c>
      <c r="E1456" s="7">
        <f t="shared" ca="1" si="113"/>
        <v>0.36662820155233378</v>
      </c>
      <c r="F1456" s="7">
        <f t="shared" ca="1" si="114"/>
        <v>1.8563039198232528E-2</v>
      </c>
      <c r="G1456" s="7">
        <f t="shared" ca="1" si="110"/>
        <v>250.91167586335928</v>
      </c>
      <c r="H1456" s="7">
        <f ca="1">(G1456+DCF!$D$40+DCF!$D$41+DCF!$D$42-DCF!$D$43-DCF!$D$44)/DCF!$C$35</f>
        <v>2.0582383782783569</v>
      </c>
    </row>
    <row r="1457" spans="3:8" x14ac:dyDescent="0.35">
      <c r="C1457" s="8">
        <f t="shared" ca="1" si="111"/>
        <v>0.45885053866836489</v>
      </c>
      <c r="D1457" s="7">
        <f t="shared" ca="1" si="112"/>
        <v>8.5425159230503561E-2</v>
      </c>
      <c r="E1457" s="7">
        <f t="shared" ca="1" si="113"/>
        <v>0.3640907393427808</v>
      </c>
      <c r="F1457" s="7">
        <f t="shared" ca="1" si="114"/>
        <v>1.8533355018312325E-2</v>
      </c>
      <c r="G1457" s="7">
        <f t="shared" ca="1" si="110"/>
        <v>253.12010399602201</v>
      </c>
      <c r="H1457" s="7">
        <f ca="1">(G1457+DCF!$D$40+DCF!$D$41+DCF!$D$42-DCF!$D$43-DCF!$D$44)/DCF!$C$35</f>
        <v>2.0707026977989726</v>
      </c>
    </row>
    <row r="1458" spans="3:8" x14ac:dyDescent="0.35">
      <c r="C1458" s="8">
        <f t="shared" ca="1" si="111"/>
        <v>0.63789563632024004</v>
      </c>
      <c r="D1458" s="7">
        <f t="shared" ca="1" si="112"/>
        <v>8.9897550650067243E-2</v>
      </c>
      <c r="E1458" s="7">
        <f t="shared" ca="1" si="113"/>
        <v>9.035484450827358E-2</v>
      </c>
      <c r="F1458" s="7">
        <f t="shared" ca="1" si="114"/>
        <v>1.4250996224610735E-2</v>
      </c>
      <c r="G1458" s="7">
        <f t="shared" ca="1" si="110"/>
        <v>226.81580805515551</v>
      </c>
      <c r="H1458" s="7">
        <f ca="1">(G1458+DCF!$D$40+DCF!$D$41+DCF!$D$42-DCF!$D$43-DCF!$D$44)/DCF!$C$35</f>
        <v>1.9222418334753104</v>
      </c>
    </row>
    <row r="1459" spans="3:8" x14ac:dyDescent="0.35">
      <c r="C1459" s="8">
        <f t="shared" ca="1" si="111"/>
        <v>0.80667905915106164</v>
      </c>
      <c r="D1459" s="7">
        <f t="shared" ca="1" si="112"/>
        <v>9.5311699554154833E-2</v>
      </c>
      <c r="E1459" s="7">
        <f t="shared" ca="1" si="113"/>
        <v>0.96466427383152942</v>
      </c>
      <c r="F1459" s="7">
        <f t="shared" ca="1" si="114"/>
        <v>2.7341589716824335E-2</v>
      </c>
      <c r="G1459" s="7">
        <f t="shared" ca="1" si="110"/>
        <v>238.37741789621731</v>
      </c>
      <c r="H1459" s="7">
        <f ca="1">(G1459+DCF!$D$40+DCF!$D$41+DCF!$D$42-DCF!$D$43-DCF!$D$44)/DCF!$C$35</f>
        <v>1.9874953036246601</v>
      </c>
    </row>
    <row r="1460" spans="3:8" x14ac:dyDescent="0.35">
      <c r="C1460" s="8">
        <f t="shared" ca="1" si="111"/>
        <v>0.45943134294016608</v>
      </c>
      <c r="D1460" s="7">
        <f t="shared" ca="1" si="112"/>
        <v>8.5438350599384122E-2</v>
      </c>
      <c r="E1460" s="7">
        <f t="shared" ca="1" si="113"/>
        <v>0.9562009561419692</v>
      </c>
      <c r="F1460" s="7">
        <f t="shared" ca="1" si="114"/>
        <v>2.704030258782994E-2</v>
      </c>
      <c r="G1460" s="7">
        <f t="shared" ca="1" si="110"/>
        <v>279.89076721903064</v>
      </c>
      <c r="H1460" s="7">
        <f ca="1">(G1460+DCF!$D$40+DCF!$D$41+DCF!$D$42-DCF!$D$43-DCF!$D$44)/DCF!$C$35</f>
        <v>2.2217957287449521</v>
      </c>
    </row>
    <row r="1461" spans="3:8" x14ac:dyDescent="0.35">
      <c r="C1461" s="8">
        <f t="shared" ca="1" si="111"/>
        <v>0.85686609754063292</v>
      </c>
      <c r="D1461" s="7">
        <f t="shared" ca="1" si="112"/>
        <v>9.7361272408005087E-2</v>
      </c>
      <c r="E1461" s="7">
        <f t="shared" ca="1" si="113"/>
        <v>0.51606079638010449</v>
      </c>
      <c r="F1461" s="7">
        <f t="shared" ca="1" si="114"/>
        <v>2.0161918849492089E-2</v>
      </c>
      <c r="G1461" s="7">
        <f t="shared" ca="1" si="110"/>
        <v>215.72127969585239</v>
      </c>
      <c r="H1461" s="7">
        <f ca="1">(G1461+DCF!$D$40+DCF!$D$41+DCF!$D$42-DCF!$D$43-DCF!$D$44)/DCF!$C$35</f>
        <v>1.8596245608751121</v>
      </c>
    </row>
    <row r="1462" spans="3:8" x14ac:dyDescent="0.35">
      <c r="C1462" s="8">
        <f t="shared" ca="1" si="111"/>
        <v>2.8630459551417298E-2</v>
      </c>
      <c r="D1462" s="7">
        <f t="shared" ca="1" si="112"/>
        <v>7.3722518290470315E-2</v>
      </c>
      <c r="E1462" s="7">
        <f t="shared" ca="1" si="113"/>
        <v>0.97337721814904321</v>
      </c>
      <c r="F1462" s="7">
        <f t="shared" ca="1" si="114"/>
        <v>2.7692499973956369E-2</v>
      </c>
      <c r="G1462" s="7">
        <f t="shared" ca="1" si="110"/>
        <v>357.36067217350802</v>
      </c>
      <c r="H1462" s="7">
        <f ca="1">(G1462+DCF!$D$40+DCF!$D$41+DCF!$D$42-DCF!$D$43-DCF!$D$44)/DCF!$C$35</f>
        <v>2.6590341583333785</v>
      </c>
    </row>
    <row r="1463" spans="3:8" x14ac:dyDescent="0.35">
      <c r="C1463" s="8">
        <f t="shared" ca="1" si="111"/>
        <v>0.7240895219450949</v>
      </c>
      <c r="D1463" s="7">
        <f t="shared" ca="1" si="112"/>
        <v>9.2452461896058644E-2</v>
      </c>
      <c r="E1463" s="7">
        <f t="shared" ca="1" si="113"/>
        <v>0.64229586398503369</v>
      </c>
      <c r="F1463" s="7">
        <f t="shared" ca="1" si="114"/>
        <v>2.1541818918763132E-2</v>
      </c>
      <c r="G1463" s="7">
        <f t="shared" ca="1" si="110"/>
        <v>234.49146020108702</v>
      </c>
      <c r="H1463" s="7">
        <f ca="1">(G1463+DCF!$D$40+DCF!$D$41+DCF!$D$42-DCF!$D$43-DCF!$D$44)/DCF!$C$35</f>
        <v>1.9655630443678012</v>
      </c>
    </row>
    <row r="1464" spans="3:8" x14ac:dyDescent="0.35">
      <c r="C1464" s="8">
        <f t="shared" ca="1" si="111"/>
        <v>0.16885339728986848</v>
      </c>
      <c r="D1464" s="7">
        <f t="shared" ca="1" si="112"/>
        <v>7.9040190500664048E-2</v>
      </c>
      <c r="E1464" s="7">
        <f t="shared" ca="1" si="113"/>
        <v>0.13371166369343102</v>
      </c>
      <c r="F1464" s="7">
        <f t="shared" ca="1" si="114"/>
        <v>1.5171298941144884E-2</v>
      </c>
      <c r="G1464" s="7">
        <f t="shared" ca="1" si="110"/>
        <v>270.28290768950831</v>
      </c>
      <c r="H1464" s="7">
        <f ca="1">(G1464+DCF!$D$40+DCF!$D$41+DCF!$D$42-DCF!$D$43-DCF!$D$44)/DCF!$C$35</f>
        <v>2.1675691821283909</v>
      </c>
    </row>
    <row r="1465" spans="3:8" x14ac:dyDescent="0.35">
      <c r="C1465" s="8">
        <f t="shared" ca="1" si="111"/>
        <v>0.81632894213540685</v>
      </c>
      <c r="D1465" s="7">
        <f t="shared" ca="1" si="112"/>
        <v>9.5682985626294639E-2</v>
      </c>
      <c r="E1465" s="7">
        <f t="shared" ca="1" si="113"/>
        <v>0.91497942712269609</v>
      </c>
      <c r="F1465" s="7">
        <f t="shared" ca="1" si="114"/>
        <v>2.5876395439004756E-2</v>
      </c>
      <c r="G1465" s="7">
        <f t="shared" ca="1" si="110"/>
        <v>233.44025989599552</v>
      </c>
      <c r="H1465" s="7">
        <f ca="1">(G1465+DCF!$D$40+DCF!$D$41+DCF!$D$42-DCF!$D$43-DCF!$D$44)/DCF!$C$35</f>
        <v>1.9596300931030335</v>
      </c>
    </row>
    <row r="1466" spans="3:8" x14ac:dyDescent="0.35">
      <c r="C1466" s="8">
        <f t="shared" ca="1" si="111"/>
        <v>0.78476262309545231</v>
      </c>
      <c r="D1466" s="7">
        <f t="shared" ca="1" si="112"/>
        <v>9.4501454499680462E-2</v>
      </c>
      <c r="E1466" s="7">
        <f t="shared" ca="1" si="113"/>
        <v>7.7901925517056547E-3</v>
      </c>
      <c r="F1466" s="7">
        <f t="shared" ca="1" si="114"/>
        <v>1.1248214128401506E-2</v>
      </c>
      <c r="G1466" s="7">
        <f t="shared" ca="1" si="110"/>
        <v>207.66580368673112</v>
      </c>
      <c r="H1466" s="7">
        <f ca="1">(G1466+DCF!$D$40+DCF!$D$41+DCF!$D$42-DCF!$D$43-DCF!$D$44)/DCF!$C$35</f>
        <v>1.814159632502151</v>
      </c>
    </row>
    <row r="1467" spans="3:8" x14ac:dyDescent="0.35">
      <c r="C1467" s="8">
        <f t="shared" ca="1" si="111"/>
        <v>0.5226197732323854</v>
      </c>
      <c r="D1467" s="7">
        <f t="shared" ca="1" si="112"/>
        <v>8.6918485035148624E-2</v>
      </c>
      <c r="E1467" s="7">
        <f t="shared" ca="1" si="113"/>
        <v>0.78353009476248836</v>
      </c>
      <c r="F1467" s="7">
        <f t="shared" ca="1" si="114"/>
        <v>2.3420183813547501E-2</v>
      </c>
      <c r="G1467" s="7">
        <f t="shared" ca="1" si="110"/>
        <v>261.02672966000881</v>
      </c>
      <c r="H1467" s="7">
        <f ca="1">(G1467+DCF!$D$40+DCF!$D$41+DCF!$D$42-DCF!$D$43-DCF!$D$44)/DCF!$C$35</f>
        <v>2.1153275181172186</v>
      </c>
    </row>
    <row r="1468" spans="3:8" x14ac:dyDescent="0.35">
      <c r="C1468" s="8">
        <f t="shared" ca="1" si="111"/>
        <v>0.8336922383250801</v>
      </c>
      <c r="D1468" s="7">
        <f t="shared" ca="1" si="112"/>
        <v>9.6376510651481007E-2</v>
      </c>
      <c r="E1468" s="7">
        <f t="shared" ca="1" si="113"/>
        <v>0.40271376778579904</v>
      </c>
      <c r="F1468" s="7">
        <f t="shared" ca="1" si="114"/>
        <v>1.897456146879388E-2</v>
      </c>
      <c r="G1468" s="7">
        <f t="shared" ca="1" si="110"/>
        <v>216.34966261927678</v>
      </c>
      <c r="H1468" s="7">
        <f ca="1">(G1468+DCF!$D$40+DCF!$D$41+DCF!$D$42-DCF!$D$43-DCF!$D$44)/DCF!$C$35</f>
        <v>1.8631711401923285</v>
      </c>
    </row>
    <row r="1469" spans="3:8" x14ac:dyDescent="0.35">
      <c r="C1469" s="8">
        <f t="shared" ca="1" si="111"/>
        <v>0.40625268542911341</v>
      </c>
      <c r="D1469" s="7">
        <f t="shared" ca="1" si="112"/>
        <v>8.4258554759666093E-2</v>
      </c>
      <c r="E1469" s="7">
        <f t="shared" ca="1" si="113"/>
        <v>0.45493919124289972</v>
      </c>
      <c r="F1469" s="7">
        <f t="shared" ca="1" si="114"/>
        <v>1.9538754543889886E-2</v>
      </c>
      <c r="G1469" s="7">
        <f t="shared" ca="1" si="110"/>
        <v>260.80317978320676</v>
      </c>
      <c r="H1469" s="7">
        <f ca="1">(G1469+DCF!$D$40+DCF!$D$41+DCF!$D$42-DCF!$D$43-DCF!$D$44)/DCF!$C$35</f>
        <v>2.1140658075584531</v>
      </c>
    </row>
    <row r="1470" spans="3:8" x14ac:dyDescent="0.35">
      <c r="C1470" s="8">
        <f t="shared" ca="1" si="111"/>
        <v>0.47667462530345217</v>
      </c>
      <c r="D1470" s="7">
        <f t="shared" ca="1" si="112"/>
        <v>8.5833264222047956E-2</v>
      </c>
      <c r="E1470" s="7">
        <f t="shared" ca="1" si="113"/>
        <v>0.42712890712882778</v>
      </c>
      <c r="F1470" s="7">
        <f t="shared" ca="1" si="114"/>
        <v>1.9242606852277425E-2</v>
      </c>
      <c r="G1470" s="7">
        <f t="shared" ca="1" si="110"/>
        <v>253.44230512784523</v>
      </c>
      <c r="H1470" s="7">
        <f ca="1">(G1470+DCF!$D$40+DCF!$D$41+DCF!$D$42-DCF!$D$43-DCF!$D$44)/DCF!$C$35</f>
        <v>2.0725211938584782</v>
      </c>
    </row>
    <row r="1471" spans="3:8" x14ac:dyDescent="0.35">
      <c r="C1471" s="8">
        <f t="shared" ca="1" si="111"/>
        <v>0.59919111280919968</v>
      </c>
      <c r="D1471" s="7">
        <f t="shared" ca="1" si="112"/>
        <v>8.885046766226419E-2</v>
      </c>
      <c r="E1471" s="7">
        <f t="shared" ca="1" si="113"/>
        <v>0.88206294237495397</v>
      </c>
      <c r="F1471" s="7">
        <f t="shared" ca="1" si="114"/>
        <v>2.5143312700511879E-2</v>
      </c>
      <c r="G1471" s="7">
        <f t="shared" ca="1" si="110"/>
        <v>257.92328297705865</v>
      </c>
      <c r="H1471" s="7">
        <f ca="1">(G1471+DCF!$D$40+DCF!$D$41+DCF!$D$42-DCF!$D$43-DCF!$D$44)/DCF!$C$35</f>
        <v>2.0978117337005227</v>
      </c>
    </row>
    <row r="1472" spans="3:8" x14ac:dyDescent="0.35">
      <c r="C1472" s="8">
        <f t="shared" ca="1" si="111"/>
        <v>0.14382941205420996</v>
      </c>
      <c r="D1472" s="7">
        <f t="shared" ca="1" si="112"/>
        <v>7.8343466631696793E-2</v>
      </c>
      <c r="E1472" s="7">
        <f t="shared" ca="1" si="113"/>
        <v>0.76026251165718706</v>
      </c>
      <c r="F1472" s="7">
        <f t="shared" ca="1" si="114"/>
        <v>2.3075586835798821E-2</v>
      </c>
      <c r="G1472" s="7">
        <f t="shared" ca="1" si="110"/>
        <v>302.44779380347927</v>
      </c>
      <c r="H1472" s="7">
        <f ca="1">(G1472+DCF!$D$40+DCF!$D$41+DCF!$D$42-DCF!$D$43-DCF!$D$44)/DCF!$C$35</f>
        <v>2.3491070877270528</v>
      </c>
    </row>
    <row r="1473" spans="3:8" x14ac:dyDescent="0.35">
      <c r="C1473" s="8">
        <f t="shared" ca="1" si="111"/>
        <v>7.8073698341566411E-3</v>
      </c>
      <c r="D1473" s="7">
        <f t="shared" ca="1" si="112"/>
        <v>7.1943905090206789E-2</v>
      </c>
      <c r="E1473" s="7">
        <f t="shared" ca="1" si="113"/>
        <v>0.80589153332864882</v>
      </c>
      <c r="F1473" s="7">
        <f t="shared" ca="1" si="114"/>
        <v>2.3769294314905393E-2</v>
      </c>
      <c r="G1473" s="7">
        <f t="shared" ca="1" si="110"/>
        <v>347.80914309150427</v>
      </c>
      <c r="H1473" s="7">
        <f ca="1">(G1473+DCF!$D$40+DCF!$D$41+DCF!$D$42-DCF!$D$43-DCF!$D$44)/DCF!$C$35</f>
        <v>2.6051255395163349</v>
      </c>
    </row>
    <row r="1474" spans="3:8" x14ac:dyDescent="0.35">
      <c r="C1474" s="8">
        <f t="shared" ca="1" si="111"/>
        <v>0.75091921574937115</v>
      </c>
      <c r="D1474" s="7">
        <f t="shared" ca="1" si="112"/>
        <v>9.3327443050818457E-2</v>
      </c>
      <c r="E1474" s="7">
        <f t="shared" ca="1" si="113"/>
        <v>0.40651430830796487</v>
      </c>
      <c r="F1474" s="7">
        <f t="shared" ca="1" si="114"/>
        <v>1.9016809949288772E-2</v>
      </c>
      <c r="G1474" s="7">
        <f t="shared" ca="1" si="110"/>
        <v>225.88517457023067</v>
      </c>
      <c r="H1474" s="7">
        <f ca="1">(G1474+DCF!$D$40+DCF!$D$41+DCF!$D$42-DCF!$D$43-DCF!$D$44)/DCF!$C$35</f>
        <v>1.9169893586760958</v>
      </c>
    </row>
    <row r="1475" spans="3:8" x14ac:dyDescent="0.35">
      <c r="C1475" s="8">
        <f t="shared" ca="1" si="111"/>
        <v>0.79622375380677579</v>
      </c>
      <c r="D1475" s="7">
        <f t="shared" ca="1" si="112"/>
        <v>9.4919738372573309E-2</v>
      </c>
      <c r="E1475" s="7">
        <f t="shared" ca="1" si="113"/>
        <v>3.5065505767273408E-2</v>
      </c>
      <c r="F1475" s="7">
        <f t="shared" ca="1" si="114"/>
        <v>1.2648226038965458E-2</v>
      </c>
      <c r="G1475" s="7">
        <f t="shared" ca="1" si="110"/>
        <v>208.92739265252422</v>
      </c>
      <c r="H1475" s="7">
        <f ca="1">(G1475+DCF!$D$40+DCF!$D$41+DCF!$D$42-DCF!$D$43-DCF!$D$44)/DCF!$C$35</f>
        <v>1.8212800127131965</v>
      </c>
    </row>
    <row r="1476" spans="3:8" x14ac:dyDescent="0.35">
      <c r="C1476" s="8">
        <f t="shared" ca="1" si="111"/>
        <v>0.36656094297289732</v>
      </c>
      <c r="D1476" s="7">
        <f t="shared" ca="1" si="112"/>
        <v>8.3412070640190003E-2</v>
      </c>
      <c r="E1476" s="7">
        <f t="shared" ca="1" si="113"/>
        <v>0.57905668564290258</v>
      </c>
      <c r="F1476" s="7">
        <f t="shared" ca="1" si="114"/>
        <v>2.0824561979315676E-2</v>
      </c>
      <c r="G1476" s="7">
        <f t="shared" ca="1" si="110"/>
        <v>268.45792525022443</v>
      </c>
      <c r="H1476" s="7">
        <f ca="1">(G1476+DCF!$D$40+DCF!$D$41+DCF!$D$42-DCF!$D$43-DCF!$D$44)/DCF!$C$35</f>
        <v>2.1572690216177017</v>
      </c>
    </row>
    <row r="1477" spans="3:8" x14ac:dyDescent="0.35">
      <c r="C1477" s="8">
        <f t="shared" ca="1" si="111"/>
        <v>0.31655305123824684</v>
      </c>
      <c r="D1477" s="7">
        <f t="shared" ca="1" si="112"/>
        <v>8.2382491154738155E-2</v>
      </c>
      <c r="E1477" s="7">
        <f t="shared" ca="1" si="113"/>
        <v>0.41972167219064838</v>
      </c>
      <c r="F1477" s="7">
        <f t="shared" ca="1" si="114"/>
        <v>1.9162114081265835E-2</v>
      </c>
      <c r="G1477" s="7">
        <f t="shared" ca="1" si="110"/>
        <v>267.83280805285199</v>
      </c>
      <c r="H1477" s="7">
        <f ca="1">(G1477+DCF!$D$40+DCF!$D$41+DCF!$D$42-DCF!$D$43-DCF!$D$44)/DCF!$C$35</f>
        <v>2.1537408739860706</v>
      </c>
    </row>
    <row r="1478" spans="3:8" x14ac:dyDescent="0.35">
      <c r="C1478" s="8">
        <f t="shared" ca="1" si="111"/>
        <v>0.99937472507653147</v>
      </c>
      <c r="D1478" s="7">
        <f t="shared" ca="1" si="112"/>
        <v>0.10916465168067992</v>
      </c>
      <c r="E1478" s="7">
        <f t="shared" ca="1" si="113"/>
        <v>0.1359511829788429</v>
      </c>
      <c r="F1478" s="7">
        <f t="shared" ca="1" si="114"/>
        <v>1.5214425816498744E-2</v>
      </c>
      <c r="G1478" s="7">
        <f t="shared" ca="1" si="110"/>
        <v>178.94613918762153</v>
      </c>
      <c r="H1478" s="7">
        <f ca="1">(G1478+DCF!$D$40+DCF!$D$41+DCF!$D$42-DCF!$D$43-DCF!$D$44)/DCF!$C$35</f>
        <v>1.6520664814743282</v>
      </c>
    </row>
    <row r="1479" spans="3:8" x14ac:dyDescent="0.35">
      <c r="C1479" s="8">
        <f t="shared" ca="1" si="111"/>
        <v>0.15332061443094824</v>
      </c>
      <c r="D1479" s="7">
        <f t="shared" ca="1" si="112"/>
        <v>7.8614358791261191E-2</v>
      </c>
      <c r="E1479" s="7">
        <f t="shared" ca="1" si="113"/>
        <v>0.22936605194698245</v>
      </c>
      <c r="F1479" s="7">
        <f t="shared" ca="1" si="114"/>
        <v>1.6772976479318122E-2</v>
      </c>
      <c r="G1479" s="7">
        <f t="shared" ca="1" si="110"/>
        <v>277.42603986819825</v>
      </c>
      <c r="H1479" s="7">
        <f ca="1">(G1479+DCF!$D$40+DCF!$D$41+DCF!$D$42-DCF!$D$43-DCF!$D$44)/DCF!$C$35</f>
        <v>2.2078848621074512</v>
      </c>
    </row>
    <row r="1480" spans="3:8" x14ac:dyDescent="0.35">
      <c r="C1480" s="8">
        <f t="shared" ca="1" si="111"/>
        <v>0.46587968148862591</v>
      </c>
      <c r="D1480" s="7">
        <f t="shared" ca="1" si="112"/>
        <v>8.558528567730736E-2</v>
      </c>
      <c r="E1480" s="7">
        <f t="shared" ca="1" si="113"/>
        <v>0.50174962882798579</v>
      </c>
      <c r="F1480" s="7">
        <f t="shared" ca="1" si="114"/>
        <v>2.0017511621123578E-2</v>
      </c>
      <c r="G1480" s="7">
        <f t="shared" ca="1" si="110"/>
        <v>256.63631748003314</v>
      </c>
      <c r="H1480" s="7">
        <f ca="1">(G1480+DCF!$D$40+DCF!$D$41+DCF!$D$42-DCF!$D$43-DCF!$D$44)/DCF!$C$35</f>
        <v>2.0905481289086416</v>
      </c>
    </row>
    <row r="1481" spans="3:8" x14ac:dyDescent="0.35">
      <c r="C1481" s="8">
        <f t="shared" ca="1" si="111"/>
        <v>0.20357438935944272</v>
      </c>
      <c r="D1481" s="7">
        <f t="shared" ca="1" si="112"/>
        <v>7.9926228107895278E-2</v>
      </c>
      <c r="E1481" s="7">
        <f t="shared" ca="1" si="113"/>
        <v>0.48056080290199321</v>
      </c>
      <c r="F1481" s="7">
        <f t="shared" ca="1" si="114"/>
        <v>1.9803680970961808E-2</v>
      </c>
      <c r="G1481" s="7">
        <f t="shared" ca="1" si="110"/>
        <v>281.4829630382834</v>
      </c>
      <c r="H1481" s="7">
        <f ca="1">(G1481+DCF!$D$40+DCF!$D$41+DCF!$D$42-DCF!$D$43-DCF!$D$44)/DCF!$C$35</f>
        <v>2.2307820467224482</v>
      </c>
    </row>
    <row r="1482" spans="3:8" x14ac:dyDescent="0.35">
      <c r="C1482" s="8">
        <f t="shared" ca="1" si="111"/>
        <v>0.35884740612327515</v>
      </c>
      <c r="D1482" s="7">
        <f t="shared" ca="1" si="112"/>
        <v>8.3250676741898219E-2</v>
      </c>
      <c r="E1482" s="7">
        <f t="shared" ca="1" si="113"/>
        <v>5.2186287821604171E-2</v>
      </c>
      <c r="F1482" s="7">
        <f t="shared" ca="1" si="114"/>
        <v>1.3230674475139956E-2</v>
      </c>
      <c r="G1482" s="7">
        <f t="shared" ca="1" si="110"/>
        <v>247.52500346469057</v>
      </c>
      <c r="H1482" s="7">
        <f ca="1">(G1482+DCF!$D$40+DCF!$D$41+DCF!$D$42-DCF!$D$43-DCF!$D$44)/DCF!$C$35</f>
        <v>2.0391240741883427</v>
      </c>
    </row>
    <row r="1483" spans="3:8" x14ac:dyDescent="0.35">
      <c r="C1483" s="8">
        <f t="shared" ca="1" si="111"/>
        <v>0.82428280683180954</v>
      </c>
      <c r="D1483" s="7">
        <f t="shared" ca="1" si="112"/>
        <v>9.5996415188399062E-2</v>
      </c>
      <c r="E1483" s="7">
        <f t="shared" ca="1" si="113"/>
        <v>0.89576023452759357</v>
      </c>
      <c r="F1483" s="7">
        <f t="shared" ca="1" si="114"/>
        <v>2.543404412039699E-2</v>
      </c>
      <c r="G1483" s="7">
        <f t="shared" ca="1" si="110"/>
        <v>231.30203768215461</v>
      </c>
      <c r="H1483" s="7">
        <f ca="1">(G1483+DCF!$D$40+DCF!$D$41+DCF!$D$42-DCF!$D$43-DCF!$D$44)/DCF!$C$35</f>
        <v>1.9475620142349848</v>
      </c>
    </row>
    <row r="1484" spans="3:8" x14ac:dyDescent="0.35">
      <c r="C1484" s="8">
        <f t="shared" ca="1" si="111"/>
        <v>0.49893157090288442</v>
      </c>
      <c r="D1484" s="7">
        <f t="shared" ca="1" si="112"/>
        <v>8.6352751388958995E-2</v>
      </c>
      <c r="E1484" s="7">
        <f t="shared" ca="1" si="113"/>
        <v>0.74488237400353108</v>
      </c>
      <c r="F1484" s="7">
        <f t="shared" ca="1" si="114"/>
        <v>2.2856924667953318E-2</v>
      </c>
      <c r="G1484" s="7">
        <f t="shared" ca="1" si="110"/>
        <v>261.76585852190351</v>
      </c>
      <c r="H1484" s="7">
        <f ca="1">(G1484+DCF!$D$40+DCF!$D$41+DCF!$D$42-DCF!$D$43-DCF!$D$44)/DCF!$C$35</f>
        <v>2.1194991450609746</v>
      </c>
    </row>
    <row r="1485" spans="3:8" x14ac:dyDescent="0.35">
      <c r="C1485" s="8">
        <f t="shared" ca="1" si="111"/>
        <v>9.9945689701692486E-2</v>
      </c>
      <c r="D1485" s="7">
        <f t="shared" ca="1" si="112"/>
        <v>7.6955121409121433E-2</v>
      </c>
      <c r="E1485" s="7">
        <f t="shared" ca="1" si="113"/>
        <v>0.39272884788609963</v>
      </c>
      <c r="F1485" s="7">
        <f t="shared" ca="1" si="114"/>
        <v>1.886260512362025E-2</v>
      </c>
      <c r="G1485" s="7">
        <f t="shared" ca="1" si="110"/>
        <v>293.2184786741679</v>
      </c>
      <c r="H1485" s="7">
        <f ca="1">(G1485+DCF!$D$40+DCF!$D$41+DCF!$D$42-DCF!$D$43-DCF!$D$44)/DCF!$C$35</f>
        <v>2.297017037330217</v>
      </c>
    </row>
    <row r="1486" spans="3:8" x14ac:dyDescent="0.35">
      <c r="C1486" s="8">
        <f t="shared" ca="1" si="111"/>
        <v>0.45445725700690853</v>
      </c>
      <c r="D1486" s="7">
        <f t="shared" ca="1" si="112"/>
        <v>8.5325606366512471E-2</v>
      </c>
      <c r="E1486" s="7">
        <f t="shared" ca="1" si="113"/>
        <v>0.38464875373116392</v>
      </c>
      <c r="F1486" s="7">
        <f t="shared" ca="1" si="114"/>
        <v>1.877096065127605E-2</v>
      </c>
      <c r="G1486" s="7">
        <f t="shared" ca="1" si="110"/>
        <v>254.17801294913045</v>
      </c>
      <c r="H1486" s="7">
        <f ca="1">(G1486+DCF!$D$40+DCF!$D$41+DCF!$D$42-DCF!$D$43-DCF!$D$44)/DCF!$C$35</f>
        <v>2.0766735125247231</v>
      </c>
    </row>
    <row r="1487" spans="3:8" x14ac:dyDescent="0.35">
      <c r="C1487" s="8">
        <f t="shared" ca="1" si="111"/>
        <v>0.84358895775617393</v>
      </c>
      <c r="D1487" s="7">
        <f t="shared" ca="1" si="112"/>
        <v>9.6788084047190207E-2</v>
      </c>
      <c r="E1487" s="7">
        <f t="shared" ca="1" si="113"/>
        <v>0.45880020638031049</v>
      </c>
      <c r="F1487" s="7">
        <f t="shared" ca="1" si="114"/>
        <v>1.9579146166337692E-2</v>
      </c>
      <c r="G1487" s="7">
        <f t="shared" ca="1" si="110"/>
        <v>216.29661026237972</v>
      </c>
      <c r="H1487" s="7">
        <f ca="1">(G1487+DCF!$D$40+DCF!$D$41+DCF!$D$42-DCF!$D$43-DCF!$D$44)/DCF!$C$35</f>
        <v>1.8628717138637527</v>
      </c>
    </row>
    <row r="1488" spans="3:8" x14ac:dyDescent="0.35">
      <c r="C1488" s="8">
        <f t="shared" ca="1" si="111"/>
        <v>0.34227046997275412</v>
      </c>
      <c r="D1488" s="7">
        <f t="shared" ca="1" si="112"/>
        <v>8.2907082927259262E-2</v>
      </c>
      <c r="E1488" s="7">
        <f t="shared" ca="1" si="113"/>
        <v>0.25431139798678792</v>
      </c>
      <c r="F1488" s="7">
        <f t="shared" ca="1" si="114"/>
        <v>1.713177955333433E-2</v>
      </c>
      <c r="G1488" s="7">
        <f t="shared" ref="G1488:G1551" ca="1" si="115">$C$11/(1+D1488)^1
 +$D$11/(1+D1488)^2
 +$E$11/(1+D1488)^3
 +$F$11/(1+D1488)^4
 +$G$11/(1+D1488)^5
 +$H$11/(1+D1488)^6
 +$I$11/(1+D1488)^7
 + ( $I$11*(1+F1488)/(D1488-F1488) )/(1+D1488)^7</f>
        <v>259.45883370460757</v>
      </c>
      <c r="H1488" s="7">
        <f ca="1">(G1488+DCF!$D$40+DCF!$D$41+DCF!$D$42-DCF!$D$43-DCF!$D$44)/DCF!$C$35</f>
        <v>2.1064783480336806</v>
      </c>
    </row>
    <row r="1489" spans="3:8" x14ac:dyDescent="0.35">
      <c r="C1489" s="8">
        <f t="shared" ref="C1489:C1552" ca="1" si="116">RAND()</f>
        <v>0.41071493503713008</v>
      </c>
      <c r="D1489" s="7">
        <f t="shared" ref="D1489:D1552" ca="1" si="117">IF(C1489&lt;($C$6-0.07)/(0.11-0.07),0.07+SQRT(C1489*(0.11-0.07)*($C$6-0.07)),0.11-SQRT((1-C1489)*(0.11-0.07)*(0.11-$C$6)))</f>
        <v>8.4355465835805041E-2</v>
      </c>
      <c r="E1489" s="7">
        <f t="shared" ref="E1489:E1552" ca="1" si="118">RAND()</f>
        <v>0.73517102363768261</v>
      </c>
      <c r="F1489" s="7">
        <f t="shared" ref="F1489:F1552" ca="1" si="119">MIN(
 IF(E1489&lt;(0.02-0.01)/(0.03-0.01),
   0.01+SQRT(E1489*(0.03-0.01)*(0.02-0.01)),
   0.03-SQRT((1-E1489)*(0.03-0.01)*(0.03-0.02))
 ),
 D1489-0.005
)</f>
        <v>2.2722239680199444E-2</v>
      </c>
      <c r="G1489" s="7">
        <f t="shared" ca="1" si="115"/>
        <v>270.26811475414155</v>
      </c>
      <c r="H1489" s="7">
        <f ca="1">(G1489+DCF!$D$40+DCF!$D$41+DCF!$D$42-DCF!$D$43-DCF!$D$44)/DCF!$C$35</f>
        <v>2.1674856911284657</v>
      </c>
    </row>
    <row r="1490" spans="3:8" x14ac:dyDescent="0.35">
      <c r="C1490" s="8">
        <f t="shared" ca="1" si="116"/>
        <v>0.83397687903850326</v>
      </c>
      <c r="D1490" s="7">
        <f t="shared" ca="1" si="117"/>
        <v>9.6388174149180786E-2</v>
      </c>
      <c r="E1490" s="7">
        <f t="shared" ca="1" si="118"/>
        <v>0.81839580890092833</v>
      </c>
      <c r="F1490" s="7">
        <f t="shared" ca="1" si="119"/>
        <v>2.3973322787819613E-2</v>
      </c>
      <c r="G1490" s="7">
        <f t="shared" ca="1" si="115"/>
        <v>226.65829323235363</v>
      </c>
      <c r="H1490" s="7">
        <f ca="1">(G1490+DCF!$D$40+DCF!$D$41+DCF!$D$42-DCF!$D$43-DCF!$D$44)/DCF!$C$35</f>
        <v>1.9213528233003365</v>
      </c>
    </row>
    <row r="1491" spans="3:8" x14ac:dyDescent="0.35">
      <c r="C1491" s="8">
        <f t="shared" ca="1" si="116"/>
        <v>0.7039614563379808</v>
      </c>
      <c r="D1491" s="7">
        <f t="shared" ca="1" si="117"/>
        <v>9.1823668832054881E-2</v>
      </c>
      <c r="E1491" s="7">
        <f t="shared" ca="1" si="118"/>
        <v>0.93059650280214434</v>
      </c>
      <c r="F1491" s="7">
        <f t="shared" ca="1" si="119"/>
        <v>2.6274318929434361E-2</v>
      </c>
      <c r="G1491" s="7">
        <f t="shared" ca="1" si="115"/>
        <v>248.92839178669547</v>
      </c>
      <c r="H1491" s="7">
        <f ca="1">(G1491+DCF!$D$40+DCF!$D$41+DCF!$D$42-DCF!$D$43-DCF!$D$44)/DCF!$C$35</f>
        <v>2.0470447668286229</v>
      </c>
    </row>
    <row r="1492" spans="3:8" x14ac:dyDescent="0.35">
      <c r="C1492" s="8">
        <f t="shared" ca="1" si="116"/>
        <v>0.64683871611692523</v>
      </c>
      <c r="D1492" s="7">
        <f t="shared" ca="1" si="117"/>
        <v>9.014734292812393E-2</v>
      </c>
      <c r="E1492" s="7">
        <f t="shared" ca="1" si="118"/>
        <v>0.20928141594982896</v>
      </c>
      <c r="F1492" s="7">
        <f t="shared" ca="1" si="119"/>
        <v>1.646964320422431E-2</v>
      </c>
      <c r="G1492" s="7">
        <f t="shared" ca="1" si="115"/>
        <v>230.78161557826326</v>
      </c>
      <c r="H1492" s="7">
        <f ca="1">(G1492+DCF!$D$40+DCF!$D$41+DCF!$D$42-DCF!$D$43-DCF!$D$44)/DCF!$C$35</f>
        <v>1.9446247633946452</v>
      </c>
    </row>
    <row r="1493" spans="3:8" x14ac:dyDescent="0.35">
      <c r="C1493" s="8">
        <f t="shared" ca="1" si="116"/>
        <v>0.51886656125808817</v>
      </c>
      <c r="D1493" s="7">
        <f t="shared" ca="1" si="117"/>
        <v>8.6827928067693794E-2</v>
      </c>
      <c r="E1493" s="7">
        <f t="shared" ca="1" si="118"/>
        <v>0.51632276593312698</v>
      </c>
      <c r="F1493" s="7">
        <f t="shared" ca="1" si="119"/>
        <v>2.0164582021420005E-2</v>
      </c>
      <c r="G1493" s="7">
        <f t="shared" ca="1" si="115"/>
        <v>252.00264833350349</v>
      </c>
      <c r="H1493" s="7">
        <f ca="1">(G1493+DCF!$D$40+DCF!$D$41+DCF!$D$42-DCF!$D$43-DCF!$D$44)/DCF!$C$35</f>
        <v>2.0643958027627467</v>
      </c>
    </row>
    <row r="1494" spans="3:8" x14ac:dyDescent="0.35">
      <c r="C1494" s="8">
        <f t="shared" ca="1" si="116"/>
        <v>0.22919301051348895</v>
      </c>
      <c r="D1494" s="7">
        <f t="shared" ca="1" si="117"/>
        <v>8.0532303503437833E-2</v>
      </c>
      <c r="E1494" s="7">
        <f t="shared" ca="1" si="118"/>
        <v>0.40210894932191921</v>
      </c>
      <c r="F1494" s="7">
        <f t="shared" ca="1" si="119"/>
        <v>1.8967819682865164E-2</v>
      </c>
      <c r="G1494" s="7">
        <f t="shared" ca="1" si="115"/>
        <v>275.6981773164037</v>
      </c>
      <c r="H1494" s="7">
        <f ca="1">(G1494+DCF!$D$40+DCF!$D$41+DCF!$D$42-DCF!$D$43-DCF!$D$44)/DCF!$C$35</f>
        <v>2.1981328440930334</v>
      </c>
    </row>
    <row r="1495" spans="3:8" x14ac:dyDescent="0.35">
      <c r="C1495" s="8">
        <f t="shared" ca="1" si="116"/>
        <v>0.92920327290635896</v>
      </c>
      <c r="D1495" s="7">
        <f t="shared" ca="1" si="117"/>
        <v>0.10111129101407278</v>
      </c>
      <c r="E1495" s="7">
        <f t="shared" ca="1" si="118"/>
        <v>4.3235485687804776E-3</v>
      </c>
      <c r="F1495" s="7">
        <f t="shared" ca="1" si="119"/>
        <v>1.0929897689940187E-2</v>
      </c>
      <c r="G1495" s="7">
        <f t="shared" ca="1" si="115"/>
        <v>190.80677638169959</v>
      </c>
      <c r="H1495" s="7">
        <f ca="1">(G1495+DCF!$D$40+DCF!$D$41+DCF!$D$42-DCF!$D$43-DCF!$D$44)/DCF!$C$35</f>
        <v>1.7190076553883034</v>
      </c>
    </row>
    <row r="1496" spans="3:8" x14ac:dyDescent="0.35">
      <c r="C1496" s="8">
        <f t="shared" ca="1" si="116"/>
        <v>0.69450307876423933</v>
      </c>
      <c r="D1496" s="7">
        <f t="shared" ca="1" si="117"/>
        <v>9.1535586548738987E-2</v>
      </c>
      <c r="E1496" s="7">
        <f t="shared" ca="1" si="118"/>
        <v>0.96784430251647258</v>
      </c>
      <c r="F1496" s="7">
        <f t="shared" ca="1" si="119"/>
        <v>2.7464030856515505E-2</v>
      </c>
      <c r="G1496" s="7">
        <f t="shared" ca="1" si="115"/>
        <v>253.47186869184688</v>
      </c>
      <c r="H1496" s="7">
        <f ca="1">(G1496+DCF!$D$40+DCF!$D$41+DCF!$D$42-DCF!$D$43-DCF!$D$44)/DCF!$C$35</f>
        <v>2.0726880499596279</v>
      </c>
    </row>
    <row r="1497" spans="3:8" x14ac:dyDescent="0.35">
      <c r="C1497" s="8">
        <f t="shared" ca="1" si="116"/>
        <v>0.78603721835966756</v>
      </c>
      <c r="D1497" s="7">
        <f t="shared" ca="1" si="117"/>
        <v>9.4547412374925324E-2</v>
      </c>
      <c r="E1497" s="7">
        <f t="shared" ca="1" si="118"/>
        <v>0.19717174017067973</v>
      </c>
      <c r="F1497" s="7">
        <f t="shared" ca="1" si="119"/>
        <v>1.6279677382966099E-2</v>
      </c>
      <c r="G1497" s="7">
        <f t="shared" ca="1" si="115"/>
        <v>216.58513982895346</v>
      </c>
      <c r="H1497" s="7">
        <f ca="1">(G1497+DCF!$D$40+DCF!$D$41+DCF!$D$42-DCF!$D$43-DCF!$D$44)/DCF!$C$35</f>
        <v>1.8645001683539533</v>
      </c>
    </row>
    <row r="1498" spans="3:8" x14ac:dyDescent="0.35">
      <c r="C1498" s="8">
        <f t="shared" ca="1" si="116"/>
        <v>0.34341989713312859</v>
      </c>
      <c r="D1498" s="7">
        <f t="shared" ca="1" si="117"/>
        <v>8.2930766638129039E-2</v>
      </c>
      <c r="E1498" s="7">
        <f t="shared" ca="1" si="118"/>
        <v>0.74067841353667807</v>
      </c>
      <c r="F1498" s="7">
        <f t="shared" ca="1" si="119"/>
        <v>2.2798311497109557E-2</v>
      </c>
      <c r="G1498" s="7">
        <f t="shared" ca="1" si="115"/>
        <v>277.25016615810813</v>
      </c>
      <c r="H1498" s="7">
        <f ca="1">(G1498+DCF!$D$40+DCF!$D$41+DCF!$D$42-DCF!$D$43-DCF!$D$44)/DCF!$C$35</f>
        <v>2.206892234778802</v>
      </c>
    </row>
    <row r="1499" spans="3:8" x14ac:dyDescent="0.35">
      <c r="C1499" s="8">
        <f t="shared" ca="1" si="116"/>
        <v>0.24855913057950485</v>
      </c>
      <c r="D1499" s="7">
        <f t="shared" ca="1" si="117"/>
        <v>8.0968255066348541E-2</v>
      </c>
      <c r="E1499" s="7">
        <f t="shared" ca="1" si="118"/>
        <v>0.93272718817936984</v>
      </c>
      <c r="F1499" s="7">
        <f t="shared" ca="1" si="119"/>
        <v>2.6331953876499638E-2</v>
      </c>
      <c r="G1499" s="7">
        <f t="shared" ca="1" si="115"/>
        <v>301.10943429693094</v>
      </c>
      <c r="H1499" s="7">
        <f ca="1">(G1499+DCF!$D$40+DCF!$D$41+DCF!$D$42-DCF!$D$43-DCF!$D$44)/DCF!$C$35</f>
        <v>2.3415534162824865</v>
      </c>
    </row>
    <row r="1500" spans="3:8" x14ac:dyDescent="0.35">
      <c r="C1500" s="8">
        <f t="shared" ca="1" si="116"/>
        <v>0.69382499141988341</v>
      </c>
      <c r="D1500" s="7">
        <f t="shared" ca="1" si="117"/>
        <v>9.1515105908461097E-2</v>
      </c>
      <c r="E1500" s="7">
        <f t="shared" ca="1" si="118"/>
        <v>0.93198488099329502</v>
      </c>
      <c r="F1500" s="7">
        <f t="shared" ca="1" si="119"/>
        <v>2.6311772268237631E-2</v>
      </c>
      <c r="G1500" s="7">
        <f t="shared" ca="1" si="115"/>
        <v>250.26980449061023</v>
      </c>
      <c r="H1500" s="7">
        <f ca="1">(G1500+DCF!$D$40+DCF!$D$41+DCF!$D$42-DCF!$D$43-DCF!$D$44)/DCF!$C$35</f>
        <v>2.0546156704515757</v>
      </c>
    </row>
    <row r="1501" spans="3:8" x14ac:dyDescent="0.35">
      <c r="C1501" s="8">
        <f t="shared" ca="1" si="116"/>
        <v>0.97076579601836988</v>
      </c>
      <c r="D1501" s="7">
        <f t="shared" ca="1" si="117"/>
        <v>0.10428813763790661</v>
      </c>
      <c r="E1501" s="7">
        <f t="shared" ca="1" si="118"/>
        <v>0.42249052762711303</v>
      </c>
      <c r="F1501" s="7">
        <f t="shared" ca="1" si="119"/>
        <v>1.91922851090152E-2</v>
      </c>
      <c r="G1501" s="7">
        <f t="shared" ca="1" si="115"/>
        <v>195.34905794891978</v>
      </c>
      <c r="H1501" s="7">
        <f ca="1">(G1501+DCF!$D$40+DCF!$D$41+DCF!$D$42-DCF!$D$43-DCF!$D$44)/DCF!$C$35</f>
        <v>1.7446441920584703</v>
      </c>
    </row>
    <row r="1502" spans="3:8" x14ac:dyDescent="0.35">
      <c r="C1502" s="8">
        <f t="shared" ca="1" si="116"/>
        <v>0.88379157528664476</v>
      </c>
      <c r="D1502" s="7">
        <f t="shared" ca="1" si="117"/>
        <v>9.8611909642960127E-2</v>
      </c>
      <c r="E1502" s="7">
        <f t="shared" ca="1" si="118"/>
        <v>0.80424109384352049</v>
      </c>
      <c r="F1502" s="7">
        <f t="shared" ca="1" si="119"/>
        <v>2.3742861578061748E-2</v>
      </c>
      <c r="G1502" s="7">
        <f t="shared" ca="1" si="115"/>
        <v>219.05269218293608</v>
      </c>
      <c r="H1502" s="7">
        <f ca="1">(G1502+DCF!$D$40+DCF!$D$41+DCF!$D$42-DCF!$D$43-DCF!$D$44)/DCF!$C$35</f>
        <v>1.8784269792467325</v>
      </c>
    </row>
    <row r="1503" spans="3:8" x14ac:dyDescent="0.35">
      <c r="C1503" s="8">
        <f t="shared" ca="1" si="116"/>
        <v>0.1546477971910496</v>
      </c>
      <c r="D1503" s="7">
        <f t="shared" ca="1" si="117"/>
        <v>7.8651562508614742E-2</v>
      </c>
      <c r="E1503" s="7">
        <f t="shared" ca="1" si="118"/>
        <v>0.19679663812013282</v>
      </c>
      <c r="F1503" s="7">
        <f t="shared" ca="1" si="119"/>
        <v>1.6273701269906508E-2</v>
      </c>
      <c r="G1503" s="7">
        <f t="shared" ca="1" si="115"/>
        <v>275.59532714758819</v>
      </c>
      <c r="H1503" s="7">
        <f ca="1">(G1503+DCF!$D$40+DCF!$D$41+DCF!$D$42-DCF!$D$43-DCF!$D$44)/DCF!$C$35</f>
        <v>2.1975523600157363</v>
      </c>
    </row>
    <row r="1504" spans="3:8" x14ac:dyDescent="0.35">
      <c r="C1504" s="8">
        <f t="shared" ca="1" si="116"/>
        <v>0.50734921723513426</v>
      </c>
      <c r="D1504" s="7">
        <f t="shared" ca="1" si="117"/>
        <v>8.6552222417346461E-2</v>
      </c>
      <c r="E1504" s="7">
        <f t="shared" ca="1" si="118"/>
        <v>0.94402713970703256</v>
      </c>
      <c r="F1504" s="7">
        <f t="shared" ca="1" si="119"/>
        <v>2.6654170945999558E-2</v>
      </c>
      <c r="G1504" s="7">
        <f t="shared" ca="1" si="115"/>
        <v>273.09007218664993</v>
      </c>
      <c r="H1504" s="7">
        <f ca="1">(G1504+DCF!$D$40+DCF!$D$41+DCF!$D$42-DCF!$D$43-DCF!$D$44)/DCF!$C$35</f>
        <v>2.1834127564434467</v>
      </c>
    </row>
    <row r="1505" spans="3:8" x14ac:dyDescent="0.35">
      <c r="C1505" s="8">
        <f t="shared" ca="1" si="116"/>
        <v>0.39819370915920471</v>
      </c>
      <c r="D1505" s="7">
        <f t="shared" ca="1" si="117"/>
        <v>8.4084448287209332E-2</v>
      </c>
      <c r="E1505" s="7">
        <f t="shared" ca="1" si="118"/>
        <v>0.81699576471563684</v>
      </c>
      <c r="F1505" s="7">
        <f t="shared" ca="1" si="119"/>
        <v>2.3950136608412331E-2</v>
      </c>
      <c r="G1505" s="7">
        <f t="shared" ca="1" si="115"/>
        <v>275.65257118776628</v>
      </c>
      <c r="H1505" s="7">
        <f ca="1">(G1505+DCF!$D$40+DCF!$D$41+DCF!$D$42-DCF!$D$43-DCF!$D$44)/DCF!$C$35</f>
        <v>2.1978754441120119</v>
      </c>
    </row>
    <row r="1506" spans="3:8" x14ac:dyDescent="0.35">
      <c r="C1506" s="8">
        <f t="shared" ca="1" si="116"/>
        <v>0.36955000980256458</v>
      </c>
      <c r="D1506" s="7">
        <f t="shared" ca="1" si="117"/>
        <v>8.3474876266823234E-2</v>
      </c>
      <c r="E1506" s="7">
        <f t="shared" ca="1" si="118"/>
        <v>0.94402286076876951</v>
      </c>
      <c r="F1506" s="7">
        <f t="shared" ca="1" si="119"/>
        <v>2.6654043059714291E-2</v>
      </c>
      <c r="G1506" s="7">
        <f t="shared" ca="1" si="115"/>
        <v>288.56918310165474</v>
      </c>
      <c r="H1506" s="7">
        <f ca="1">(G1506+DCF!$D$40+DCF!$D$41+DCF!$D$42-DCF!$D$43-DCF!$D$44)/DCF!$C$35</f>
        <v>2.2707765159817965</v>
      </c>
    </row>
    <row r="1507" spans="3:8" x14ac:dyDescent="0.35">
      <c r="C1507" s="8">
        <f t="shared" ca="1" si="116"/>
        <v>0.86761578628449021</v>
      </c>
      <c r="D1507" s="7">
        <f t="shared" ca="1" si="117"/>
        <v>9.7845133381788643E-2</v>
      </c>
      <c r="E1507" s="7">
        <f t="shared" ca="1" si="118"/>
        <v>0.23074315220705388</v>
      </c>
      <c r="F1507" s="7">
        <f t="shared" ca="1" si="119"/>
        <v>1.6793278327980589E-2</v>
      </c>
      <c r="G1507" s="7">
        <f t="shared" ca="1" si="115"/>
        <v>208.13636567769305</v>
      </c>
      <c r="H1507" s="7">
        <f ca="1">(G1507+DCF!$D$40+DCF!$D$41+DCF!$D$42-DCF!$D$43-DCF!$D$44)/DCF!$C$35</f>
        <v>1.8168154739682416</v>
      </c>
    </row>
    <row r="1508" spans="3:8" x14ac:dyDescent="0.35">
      <c r="C1508" s="8">
        <f t="shared" ca="1" si="116"/>
        <v>0.85026835891346075</v>
      </c>
      <c r="D1508" s="7">
        <f t="shared" ca="1" si="117"/>
        <v>9.7073263696795781E-2</v>
      </c>
      <c r="E1508" s="7">
        <f t="shared" ca="1" si="118"/>
        <v>0.62622885340813417</v>
      </c>
      <c r="F1508" s="7">
        <f t="shared" ca="1" si="119"/>
        <v>2.1353947182767549E-2</v>
      </c>
      <c r="G1508" s="7">
        <f t="shared" ca="1" si="115"/>
        <v>218.94540941212631</v>
      </c>
      <c r="H1508" s="7">
        <f ca="1">(G1508+DCF!$D$40+DCF!$D$41+DCF!$D$42-DCF!$D$43-DCF!$D$44)/DCF!$C$35</f>
        <v>1.8778214776618483</v>
      </c>
    </row>
    <row r="1509" spans="3:8" x14ac:dyDescent="0.35">
      <c r="C1509" s="8">
        <f t="shared" ca="1" si="116"/>
        <v>0.4378962409531777</v>
      </c>
      <c r="D1509" s="7">
        <f t="shared" ca="1" si="117"/>
        <v>8.4953886626938438E-2</v>
      </c>
      <c r="E1509" s="7">
        <f t="shared" ca="1" si="118"/>
        <v>0.67770456784248279</v>
      </c>
      <c r="F1509" s="7">
        <f t="shared" ca="1" si="119"/>
        <v>2.1971358369468504E-2</v>
      </c>
      <c r="G1509" s="7">
        <f t="shared" ca="1" si="115"/>
        <v>265.17144628586288</v>
      </c>
      <c r="H1509" s="7">
        <f ca="1">(G1509+DCF!$D$40+DCF!$D$41+DCF!$D$42-DCF!$D$43-DCF!$D$44)/DCF!$C$35</f>
        <v>2.1387202070541984</v>
      </c>
    </row>
    <row r="1510" spans="3:8" x14ac:dyDescent="0.35">
      <c r="C1510" s="8">
        <f t="shared" ca="1" si="116"/>
        <v>3.1051096598255779E-2</v>
      </c>
      <c r="D1510" s="7">
        <f t="shared" ca="1" si="117"/>
        <v>7.387669069614225E-2</v>
      </c>
      <c r="E1510" s="7">
        <f t="shared" ca="1" si="118"/>
        <v>0.3230273070204055</v>
      </c>
      <c r="F1510" s="7">
        <f t="shared" ca="1" si="119"/>
        <v>1.8037752260680912E-2</v>
      </c>
      <c r="G1510" s="7">
        <f t="shared" ca="1" si="115"/>
        <v>306.94160057797581</v>
      </c>
      <c r="H1510" s="7">
        <f ca="1">(G1510+DCF!$D$40+DCF!$D$41+DCF!$D$42-DCF!$D$43-DCF!$D$44)/DCF!$C$35</f>
        <v>2.3744700337395632</v>
      </c>
    </row>
    <row r="1511" spans="3:8" x14ac:dyDescent="0.35">
      <c r="C1511" s="8">
        <f t="shared" ca="1" si="116"/>
        <v>0.46220743037745859</v>
      </c>
      <c r="D1511" s="7">
        <f t="shared" ca="1" si="117"/>
        <v>8.5501499888794089E-2</v>
      </c>
      <c r="E1511" s="7">
        <f t="shared" ca="1" si="118"/>
        <v>0.93063718393847616</v>
      </c>
      <c r="F1511" s="7">
        <f t="shared" ca="1" si="119"/>
        <v>2.6275411000888184E-2</v>
      </c>
      <c r="G1511" s="7">
        <f t="shared" ca="1" si="115"/>
        <v>276.85419810787005</v>
      </c>
      <c r="H1511" s="7">
        <f ca="1">(G1511+DCF!$D$40+DCF!$D$41+DCF!$D$42-DCF!$D$43-DCF!$D$44)/DCF!$C$35</f>
        <v>2.204657399863811</v>
      </c>
    </row>
    <row r="1512" spans="3:8" x14ac:dyDescent="0.35">
      <c r="C1512" s="8">
        <f t="shared" ca="1" si="116"/>
        <v>0.60370868399348654</v>
      </c>
      <c r="D1512" s="7">
        <f t="shared" ca="1" si="117"/>
        <v>8.8969995038914784E-2</v>
      </c>
      <c r="E1512" s="7">
        <f t="shared" ca="1" si="118"/>
        <v>0.95962606168679576</v>
      </c>
      <c r="F1512" s="7">
        <f t="shared" ca="1" si="119"/>
        <v>2.7158382914141868E-2</v>
      </c>
      <c r="G1512" s="7">
        <f t="shared" ca="1" si="115"/>
        <v>263.58706242748241</v>
      </c>
      <c r="H1512" s="7">
        <f ca="1">(G1512+DCF!$D$40+DCF!$D$41+DCF!$D$42-DCF!$D$43-DCF!$D$44)/DCF!$C$35</f>
        <v>2.1297779796110303</v>
      </c>
    </row>
    <row r="1513" spans="3:8" x14ac:dyDescent="0.35">
      <c r="C1513" s="8">
        <f t="shared" ca="1" si="116"/>
        <v>0.68939251963596671</v>
      </c>
      <c r="D1513" s="7">
        <f t="shared" ca="1" si="117"/>
        <v>9.1381784508544839E-2</v>
      </c>
      <c r="E1513" s="7">
        <f t="shared" ca="1" si="118"/>
        <v>0.30877356496315256</v>
      </c>
      <c r="F1513" s="7">
        <f t="shared" ca="1" si="119"/>
        <v>1.7858416697568949E-2</v>
      </c>
      <c r="G1513" s="7">
        <f t="shared" ca="1" si="115"/>
        <v>229.74177641080308</v>
      </c>
      <c r="H1513" s="7">
        <f ca="1">(G1513+DCF!$D$40+DCF!$D$41+DCF!$D$42-DCF!$D$43-DCF!$D$44)/DCF!$C$35</f>
        <v>1.9387559341393106</v>
      </c>
    </row>
    <row r="1514" spans="3:8" x14ac:dyDescent="0.35">
      <c r="C1514" s="8">
        <f t="shared" ca="1" si="116"/>
        <v>0.18748937923067321</v>
      </c>
      <c r="D1514" s="7">
        <f t="shared" ca="1" si="117"/>
        <v>7.9526009634030712E-2</v>
      </c>
      <c r="E1514" s="7">
        <f t="shared" ca="1" si="118"/>
        <v>7.2979446495647693E-2</v>
      </c>
      <c r="F1514" s="7">
        <f t="shared" ca="1" si="119"/>
        <v>1.3820456687246897E-2</v>
      </c>
      <c r="G1514" s="7">
        <f t="shared" ca="1" si="115"/>
        <v>264.05704527112232</v>
      </c>
      <c r="H1514" s="7">
        <f ca="1">(G1514+DCF!$D$40+DCF!$D$41+DCF!$D$42-DCF!$D$43-DCF!$D$44)/DCF!$C$35</f>
        <v>2.1324305523824489</v>
      </c>
    </row>
    <row r="1515" spans="3:8" x14ac:dyDescent="0.35">
      <c r="C1515" s="8">
        <f t="shared" ca="1" si="116"/>
        <v>0.56543755240524829</v>
      </c>
      <c r="D1515" s="7">
        <f t="shared" ca="1" si="117"/>
        <v>8.797792717486061E-2</v>
      </c>
      <c r="E1515" s="7">
        <f t="shared" ca="1" si="118"/>
        <v>0.47114646271190919</v>
      </c>
      <c r="F1515" s="7">
        <f t="shared" ca="1" si="119"/>
        <v>1.9707177372562112E-2</v>
      </c>
      <c r="G1515" s="7">
        <f t="shared" ca="1" si="115"/>
        <v>246.28978384294834</v>
      </c>
      <c r="H1515" s="7">
        <f ca="1">(G1515+DCF!$D$40+DCF!$D$41+DCF!$D$42-DCF!$D$43-DCF!$D$44)/DCF!$C$35</f>
        <v>2.0321525219717143</v>
      </c>
    </row>
    <row r="1516" spans="3:8" x14ac:dyDescent="0.35">
      <c r="C1516" s="8">
        <f t="shared" ca="1" si="116"/>
        <v>0.76770846972265905</v>
      </c>
      <c r="D1516" s="7">
        <f t="shared" ca="1" si="117"/>
        <v>9.3899150712167007E-2</v>
      </c>
      <c r="E1516" s="7">
        <f t="shared" ca="1" si="118"/>
        <v>0.98778257920059742</v>
      </c>
      <c r="F1516" s="7">
        <f t="shared" ca="1" si="119"/>
        <v>2.8436835210260761E-2</v>
      </c>
      <c r="G1516" s="7">
        <f t="shared" ca="1" si="115"/>
        <v>246.65021925012869</v>
      </c>
      <c r="H1516" s="7">
        <f ca="1">(G1516+DCF!$D$40+DCF!$D$41+DCF!$D$42-DCF!$D$43-DCF!$D$44)/DCF!$C$35</f>
        <v>2.0341868114354251</v>
      </c>
    </row>
    <row r="1517" spans="3:8" x14ac:dyDescent="0.35">
      <c r="C1517" s="8">
        <f t="shared" ca="1" si="116"/>
        <v>0.15948266106002995</v>
      </c>
      <c r="D1517" s="7">
        <f t="shared" ca="1" si="117"/>
        <v>7.8785761660382925E-2</v>
      </c>
      <c r="E1517" s="7">
        <f t="shared" ca="1" si="118"/>
        <v>0.7492209272646414</v>
      </c>
      <c r="F1517" s="7">
        <f t="shared" ca="1" si="119"/>
        <v>2.2917923006132192E-2</v>
      </c>
      <c r="G1517" s="7">
        <f t="shared" ca="1" si="115"/>
        <v>299.28887428339169</v>
      </c>
      <c r="H1517" s="7">
        <f ca="1">(G1517+DCF!$D$40+DCF!$D$41+DCF!$D$42-DCF!$D$43-DCF!$D$44)/DCF!$C$35</f>
        <v>2.3312782158448564</v>
      </c>
    </row>
    <row r="1518" spans="3:8" x14ac:dyDescent="0.35">
      <c r="C1518" s="8">
        <f t="shared" ca="1" si="116"/>
        <v>0.87262391466969647</v>
      </c>
      <c r="D1518" s="7">
        <f t="shared" ca="1" si="117"/>
        <v>9.8077260749784942E-2</v>
      </c>
      <c r="E1518" s="7">
        <f t="shared" ca="1" si="118"/>
        <v>0.97587460679414562</v>
      </c>
      <c r="F1518" s="7">
        <f t="shared" ca="1" si="119"/>
        <v>2.7803393835670383E-2</v>
      </c>
      <c r="G1518" s="7">
        <f t="shared" ca="1" si="115"/>
        <v>229.6537453147501</v>
      </c>
      <c r="H1518" s="7">
        <f ca="1">(G1518+DCF!$D$40+DCF!$D$41+DCF!$D$42-DCF!$D$43-DCF!$D$44)/DCF!$C$35</f>
        <v>1.9382590885808222</v>
      </c>
    </row>
    <row r="1519" spans="3:8" x14ac:dyDescent="0.35">
      <c r="C1519" s="8">
        <f t="shared" ca="1" si="116"/>
        <v>0.4402008198339743</v>
      </c>
      <c r="D1519" s="7">
        <f t="shared" ca="1" si="117"/>
        <v>8.5005282856865844E-2</v>
      </c>
      <c r="E1519" s="7">
        <f t="shared" ca="1" si="118"/>
        <v>0.9430563025858465</v>
      </c>
      <c r="F1519" s="7">
        <f t="shared" ca="1" si="119"/>
        <v>2.6625279347437671E-2</v>
      </c>
      <c r="G1519" s="7">
        <f t="shared" ca="1" si="115"/>
        <v>280.56170682125344</v>
      </c>
      <c r="H1519" s="7">
        <f ca="1">(G1519+DCF!$D$40+DCF!$D$41+DCF!$D$42-DCF!$D$43-DCF!$D$44)/DCF!$C$35</f>
        <v>2.225582497015766</v>
      </c>
    </row>
    <row r="1520" spans="3:8" x14ac:dyDescent="0.35">
      <c r="C1520" s="8">
        <f t="shared" ca="1" si="116"/>
        <v>0.19947432271669163</v>
      </c>
      <c r="D1520" s="7">
        <f t="shared" ca="1" si="117"/>
        <v>7.9825760642051019E-2</v>
      </c>
      <c r="E1520" s="7">
        <f t="shared" ca="1" si="118"/>
        <v>0.21070040924191069</v>
      </c>
      <c r="F1520" s="7">
        <f t="shared" ca="1" si="119"/>
        <v>1.6491539251085381E-2</v>
      </c>
      <c r="G1520" s="7">
        <f t="shared" ca="1" si="115"/>
        <v>270.90552223106289</v>
      </c>
      <c r="H1520" s="7">
        <f ca="1">(G1520+DCF!$D$40+DCF!$D$41+DCF!$D$42-DCF!$D$43-DCF!$D$44)/DCF!$C$35</f>
        <v>2.1710832048259561</v>
      </c>
    </row>
    <row r="1521" spans="3:8" x14ac:dyDescent="0.35">
      <c r="C1521" s="8">
        <f t="shared" ca="1" si="116"/>
        <v>0.35152289822473803</v>
      </c>
      <c r="D1521" s="7">
        <f t="shared" ca="1" si="117"/>
        <v>8.3098318907897373E-2</v>
      </c>
      <c r="E1521" s="7">
        <f t="shared" ca="1" si="118"/>
        <v>0.4830849293169438</v>
      </c>
      <c r="F1521" s="7">
        <f t="shared" ca="1" si="119"/>
        <v>1.9829393972335668E-2</v>
      </c>
      <c r="G1521" s="7">
        <f t="shared" ca="1" si="115"/>
        <v>266.72959982955484</v>
      </c>
      <c r="H1521" s="7">
        <f ca="1">(G1521+DCF!$D$40+DCF!$D$41+DCF!$D$42-DCF!$D$43-DCF!$D$44)/DCF!$C$35</f>
        <v>2.1475143911815939</v>
      </c>
    </row>
    <row r="1522" spans="3:8" x14ac:dyDescent="0.35">
      <c r="C1522" s="8">
        <f t="shared" ca="1" si="116"/>
        <v>0.83804141846617208</v>
      </c>
      <c r="D1522" s="7">
        <f t="shared" ca="1" si="117"/>
        <v>9.655582739653526E-2</v>
      </c>
      <c r="E1522" s="7">
        <f t="shared" ca="1" si="118"/>
        <v>0.40769533141779812</v>
      </c>
      <c r="F1522" s="7">
        <f t="shared" ca="1" si="119"/>
        <v>1.9029898464742536E-2</v>
      </c>
      <c r="G1522" s="7">
        <f t="shared" ca="1" si="115"/>
        <v>215.92411224320685</v>
      </c>
      <c r="H1522" s="7">
        <f ca="1">(G1522+DCF!$D$40+DCF!$D$41+DCF!$D$42-DCF!$D$43-DCF!$D$44)/DCF!$C$35</f>
        <v>1.8607693432848338</v>
      </c>
    </row>
    <row r="1523" spans="3:8" x14ac:dyDescent="0.35">
      <c r="C1523" s="8">
        <f t="shared" ca="1" si="116"/>
        <v>0.68570444423527355</v>
      </c>
      <c r="D1523" s="7">
        <f t="shared" ca="1" si="117"/>
        <v>9.1271576675186067E-2</v>
      </c>
      <c r="E1523" s="7">
        <f t="shared" ca="1" si="118"/>
        <v>0.52415675190406852</v>
      </c>
      <c r="F1523" s="7">
        <f t="shared" ca="1" si="119"/>
        <v>2.0244557948550651E-2</v>
      </c>
      <c r="G1523" s="7">
        <f t="shared" ca="1" si="115"/>
        <v>235.56751581284146</v>
      </c>
      <c r="H1523" s="7">
        <f ca="1">(G1523+DCF!$D$40+DCF!$D$41+DCF!$D$42-DCF!$D$43-DCF!$D$44)/DCF!$C$35</f>
        <v>1.9716362784334656</v>
      </c>
    </row>
    <row r="1524" spans="3:8" x14ac:dyDescent="0.35">
      <c r="C1524" s="8">
        <f t="shared" ca="1" si="116"/>
        <v>0.31057837655568077</v>
      </c>
      <c r="D1524" s="7">
        <f t="shared" ca="1" si="117"/>
        <v>8.2262038074799732E-2</v>
      </c>
      <c r="E1524" s="7">
        <f t="shared" ca="1" si="118"/>
        <v>0.6272605796016123</v>
      </c>
      <c r="F1524" s="7">
        <f t="shared" ca="1" si="119"/>
        <v>2.1365888344497881E-2</v>
      </c>
      <c r="G1524" s="7">
        <f t="shared" ca="1" si="115"/>
        <v>275.56284819416817</v>
      </c>
      <c r="H1524" s="7">
        <f ca="1">(G1524+DCF!$D$40+DCF!$D$41+DCF!$D$42-DCF!$D$43-DCF!$D$44)/DCF!$C$35</f>
        <v>2.1973690495212108</v>
      </c>
    </row>
    <row r="1525" spans="3:8" x14ac:dyDescent="0.35">
      <c r="C1525" s="8">
        <f t="shared" ca="1" si="116"/>
        <v>6.2137076979272954E-2</v>
      </c>
      <c r="D1525" s="7">
        <f t="shared" ca="1" si="117"/>
        <v>7.5484008138028982E-2</v>
      </c>
      <c r="E1525" s="7">
        <f t="shared" ca="1" si="118"/>
        <v>0.88648131965750132</v>
      </c>
      <c r="F1525" s="7">
        <f t="shared" ca="1" si="119"/>
        <v>2.5235156238815407E-2</v>
      </c>
      <c r="G1525" s="7">
        <f t="shared" ca="1" si="115"/>
        <v>330.38856097883411</v>
      </c>
      <c r="H1525" s="7">
        <f ca="1">(G1525+DCF!$D$40+DCF!$D$41+DCF!$D$42-DCF!$D$43-DCF!$D$44)/DCF!$C$35</f>
        <v>2.5068041594922343</v>
      </c>
    </row>
    <row r="1526" spans="3:8" x14ac:dyDescent="0.35">
      <c r="C1526" s="8">
        <f t="shared" ca="1" si="116"/>
        <v>0.69772326080604419</v>
      </c>
      <c r="D1526" s="7">
        <f t="shared" ca="1" si="117"/>
        <v>9.1633159200873587E-2</v>
      </c>
      <c r="E1526" s="7">
        <f t="shared" ca="1" si="118"/>
        <v>0.42088560804308084</v>
      </c>
      <c r="F1526" s="7">
        <f t="shared" ca="1" si="119"/>
        <v>1.9174809077502165E-2</v>
      </c>
      <c r="G1526" s="7">
        <f t="shared" ca="1" si="115"/>
        <v>231.84185331894787</v>
      </c>
      <c r="H1526" s="7">
        <f ca="1">(G1526+DCF!$D$40+DCF!$D$41+DCF!$D$42-DCF!$D$43-DCF!$D$44)/DCF!$C$35</f>
        <v>1.9506087217459525</v>
      </c>
    </row>
    <row r="1527" spans="3:8" x14ac:dyDescent="0.35">
      <c r="C1527" s="8">
        <f t="shared" ca="1" si="116"/>
        <v>0.40414435569196439</v>
      </c>
      <c r="D1527" s="7">
        <f t="shared" ca="1" si="117"/>
        <v>8.4212892774726211E-2</v>
      </c>
      <c r="E1527" s="7">
        <f t="shared" ca="1" si="118"/>
        <v>0.56957337170310407</v>
      </c>
      <c r="F1527" s="7">
        <f t="shared" ca="1" si="119"/>
        <v>2.0721782193795019E-2</v>
      </c>
      <c r="G1527" s="7">
        <f t="shared" ca="1" si="115"/>
        <v>264.57098067945356</v>
      </c>
      <c r="H1527" s="7">
        <f ca="1">(G1527+DCF!$D$40+DCF!$D$41+DCF!$D$42-DCF!$D$43-DCF!$D$44)/DCF!$C$35</f>
        <v>2.1353311924565612</v>
      </c>
    </row>
    <row r="1528" spans="3:8" x14ac:dyDescent="0.35">
      <c r="C1528" s="8">
        <f t="shared" ca="1" si="116"/>
        <v>1.5095864001026249E-2</v>
      </c>
      <c r="D1528" s="7">
        <f t="shared" ca="1" si="117"/>
        <v>7.2703034993576068E-2</v>
      </c>
      <c r="E1528" s="7">
        <f t="shared" ca="1" si="118"/>
        <v>0.97950987909659215</v>
      </c>
      <c r="F1528" s="7">
        <f t="shared" ca="1" si="119"/>
        <v>2.7975642279466997E-2</v>
      </c>
      <c r="G1528" s="7">
        <f t="shared" ca="1" si="115"/>
        <v>367.60977870216516</v>
      </c>
      <c r="H1528" s="7">
        <f ca="1">(G1528+DCF!$D$40+DCF!$D$41+DCF!$D$42-DCF!$D$43-DCF!$D$44)/DCF!$C$35</f>
        <v>2.7168798888258561</v>
      </c>
    </row>
    <row r="1529" spans="3:8" x14ac:dyDescent="0.35">
      <c r="C1529" s="8">
        <f t="shared" ca="1" si="116"/>
        <v>1.7408067008832573E-2</v>
      </c>
      <c r="D1529" s="7">
        <f t="shared" ca="1" si="117"/>
        <v>7.2902671947064457E-2</v>
      </c>
      <c r="E1529" s="7">
        <f t="shared" ca="1" si="118"/>
        <v>4.5343840715221906E-2</v>
      </c>
      <c r="F1529" s="7">
        <f t="shared" ca="1" si="119"/>
        <v>1.3011439546636191E-2</v>
      </c>
      <c r="G1529" s="7">
        <f t="shared" ca="1" si="115"/>
        <v>292.45887271550498</v>
      </c>
      <c r="H1529" s="7">
        <f ca="1">(G1529+DCF!$D$40+DCF!$D$41+DCF!$D$42-DCF!$D$43-DCF!$D$44)/DCF!$C$35</f>
        <v>2.2927298381053447</v>
      </c>
    </row>
    <row r="1530" spans="3:8" x14ac:dyDescent="0.35">
      <c r="C1530" s="8">
        <f t="shared" ca="1" si="116"/>
        <v>1.9246372916574384E-2</v>
      </c>
      <c r="D1530" s="7">
        <f t="shared" ca="1" si="117"/>
        <v>7.3052088545835794E-2</v>
      </c>
      <c r="E1530" s="7">
        <f t="shared" ca="1" si="118"/>
        <v>0.18439211831768654</v>
      </c>
      <c r="F1530" s="7">
        <f t="shared" ca="1" si="119"/>
        <v>1.6072760794197092E-2</v>
      </c>
      <c r="G1530" s="7">
        <f t="shared" ca="1" si="115"/>
        <v>303.49965648974324</v>
      </c>
      <c r="H1530" s="7">
        <f ca="1">(G1530+DCF!$D$40+DCF!$D$41+DCF!$D$42-DCF!$D$43-DCF!$D$44)/DCF!$C$35</f>
        <v>2.355043777456503</v>
      </c>
    </row>
    <row r="1531" spans="3:8" x14ac:dyDescent="0.35">
      <c r="C1531" s="8">
        <f t="shared" ca="1" si="116"/>
        <v>0.14646947951433886</v>
      </c>
      <c r="D1531" s="7">
        <f t="shared" ca="1" si="117"/>
        <v>7.8419692873551869E-2</v>
      </c>
      <c r="E1531" s="7">
        <f t="shared" ca="1" si="118"/>
        <v>0.54608942684979911</v>
      </c>
      <c r="F1531" s="7">
        <f t="shared" ca="1" si="119"/>
        <v>2.0472035126531996E-2</v>
      </c>
      <c r="G1531" s="7">
        <f t="shared" ca="1" si="115"/>
        <v>291.61383577847892</v>
      </c>
      <c r="H1531" s="7">
        <f ca="1">(G1531+DCF!$D$40+DCF!$D$41+DCF!$D$42-DCF!$D$43-DCF!$D$44)/DCF!$C$35</f>
        <v>2.2879604683286989</v>
      </c>
    </row>
    <row r="1532" spans="3:8" x14ac:dyDescent="0.35">
      <c r="C1532" s="8">
        <f t="shared" ca="1" si="116"/>
        <v>0.91451742862743046</v>
      </c>
      <c r="D1532" s="7">
        <f t="shared" ca="1" si="117"/>
        <v>0.10023278188777442</v>
      </c>
      <c r="E1532" s="7">
        <f t="shared" ca="1" si="118"/>
        <v>0.79792954824111784</v>
      </c>
      <c r="F1532" s="7">
        <f t="shared" ca="1" si="119"/>
        <v>2.3642792251957118E-2</v>
      </c>
      <c r="G1532" s="7">
        <f t="shared" ca="1" si="115"/>
        <v>213.94726865859676</v>
      </c>
      <c r="H1532" s="7">
        <f ca="1">(G1532+DCF!$D$40+DCF!$D$41+DCF!$D$42-DCF!$D$43-DCF!$D$44)/DCF!$C$35</f>
        <v>1.849612081829759</v>
      </c>
    </row>
    <row r="1533" spans="3:8" x14ac:dyDescent="0.35">
      <c r="C1533" s="8">
        <f t="shared" ca="1" si="116"/>
        <v>0.87531209119456599</v>
      </c>
      <c r="D1533" s="7">
        <f t="shared" ca="1" si="117"/>
        <v>9.8203741854856502E-2</v>
      </c>
      <c r="E1533" s="7">
        <f t="shared" ca="1" si="118"/>
        <v>6.6893322952938594E-2</v>
      </c>
      <c r="F1533" s="7">
        <f t="shared" ca="1" si="119"/>
        <v>1.36576856877796E-2</v>
      </c>
      <c r="G1533" s="7">
        <f t="shared" ca="1" si="115"/>
        <v>201.92448532683051</v>
      </c>
      <c r="H1533" s="7">
        <f ca="1">(G1533+DCF!$D$40+DCF!$D$41+DCF!$D$42-DCF!$D$43-DCF!$D$44)/DCF!$C$35</f>
        <v>1.7817557587020572</v>
      </c>
    </row>
    <row r="1534" spans="3:8" x14ac:dyDescent="0.35">
      <c r="C1534" s="8">
        <f t="shared" ca="1" si="116"/>
        <v>0.47244407262797428</v>
      </c>
      <c r="D1534" s="7">
        <f t="shared" ca="1" si="117"/>
        <v>8.5735779119304481E-2</v>
      </c>
      <c r="E1534" s="7">
        <f t="shared" ca="1" si="118"/>
        <v>0.99264910218630265</v>
      </c>
      <c r="F1534" s="7">
        <f t="shared" ca="1" si="119"/>
        <v>2.8787490386537298E-2</v>
      </c>
      <c r="G1534" s="7">
        <f t="shared" ca="1" si="115"/>
        <v>284.83747737331259</v>
      </c>
      <c r="H1534" s="7">
        <f ca="1">(G1534+DCF!$D$40+DCF!$D$41+DCF!$D$42-DCF!$D$43-DCF!$D$44)/DCF!$C$35</f>
        <v>2.2497148514127585</v>
      </c>
    </row>
    <row r="1535" spans="3:8" x14ac:dyDescent="0.35">
      <c r="C1535" s="8">
        <f t="shared" ca="1" si="116"/>
        <v>0.98713097138352868</v>
      </c>
      <c r="D1535" s="7">
        <f t="shared" ca="1" si="117"/>
        <v>0.10621029870095518</v>
      </c>
      <c r="E1535" s="7">
        <f t="shared" ca="1" si="118"/>
        <v>0.21189427554083451</v>
      </c>
      <c r="F1535" s="7">
        <f t="shared" ca="1" si="119"/>
        <v>1.6509904385485774E-2</v>
      </c>
      <c r="G1535" s="7">
        <f t="shared" ca="1" si="115"/>
        <v>186.9592490482662</v>
      </c>
      <c r="H1535" s="7">
        <f ca="1">(G1535+DCF!$D$40+DCF!$D$41+DCF!$D$42-DCF!$D$43-DCF!$D$44)/DCF!$C$35</f>
        <v>1.6972922962426131</v>
      </c>
    </row>
    <row r="1536" spans="3:8" x14ac:dyDescent="0.35">
      <c r="C1536" s="8">
        <f t="shared" ca="1" si="116"/>
        <v>0.61423930030037965</v>
      </c>
      <c r="D1536" s="7">
        <f t="shared" ca="1" si="117"/>
        <v>8.9251290621709112E-2</v>
      </c>
      <c r="E1536" s="7">
        <f t="shared" ca="1" si="118"/>
        <v>0.43716811328515526</v>
      </c>
      <c r="F1536" s="7">
        <f t="shared" ca="1" si="119"/>
        <v>1.9350594775576102E-2</v>
      </c>
      <c r="G1536" s="7">
        <f t="shared" ca="1" si="115"/>
        <v>240.63639845600315</v>
      </c>
      <c r="H1536" s="7">
        <f ca="1">(G1536+DCF!$D$40+DCF!$D$41+DCF!$D$42-DCF!$D$43-DCF!$D$44)/DCF!$C$35</f>
        <v>2.0002449399255169</v>
      </c>
    </row>
    <row r="1537" spans="3:8" x14ac:dyDescent="0.35">
      <c r="C1537" s="8">
        <f t="shared" ca="1" si="116"/>
        <v>0.92632309660264867</v>
      </c>
      <c r="D1537" s="7">
        <f t="shared" ca="1" si="117"/>
        <v>0.10093228671651755</v>
      </c>
      <c r="E1537" s="7">
        <f t="shared" ca="1" si="118"/>
        <v>0.26814303873397238</v>
      </c>
      <c r="F1537" s="7">
        <f t="shared" ca="1" si="119"/>
        <v>1.7323155586684916E-2</v>
      </c>
      <c r="G1537" s="7">
        <f t="shared" ca="1" si="115"/>
        <v>200.83031398463581</v>
      </c>
      <c r="H1537" s="7">
        <f ca="1">(G1537+DCF!$D$40+DCF!$D$41+DCF!$D$42-DCF!$D$43-DCF!$D$44)/DCF!$C$35</f>
        <v>1.7755802798545874</v>
      </c>
    </row>
    <row r="1538" spans="3:8" x14ac:dyDescent="0.35">
      <c r="C1538" s="8">
        <f t="shared" ca="1" si="116"/>
        <v>0.13880555355811475</v>
      </c>
      <c r="D1538" s="7">
        <f t="shared" ca="1" si="117"/>
        <v>7.819645581468769E-2</v>
      </c>
      <c r="E1538" s="7">
        <f t="shared" ca="1" si="118"/>
        <v>0.44143124223680696</v>
      </c>
      <c r="F1538" s="7">
        <f t="shared" ca="1" si="119"/>
        <v>1.939607622613617E-2</v>
      </c>
      <c r="G1538" s="7">
        <f t="shared" ca="1" si="115"/>
        <v>288.73238261044997</v>
      </c>
      <c r="H1538" s="7">
        <f ca="1">(G1538+DCF!$D$40+DCF!$D$41+DCF!$D$42-DCF!$D$43-DCF!$D$44)/DCF!$C$35</f>
        <v>2.2716976103987467</v>
      </c>
    </row>
    <row r="1539" spans="3:8" x14ac:dyDescent="0.35">
      <c r="C1539" s="8">
        <f t="shared" ca="1" si="116"/>
        <v>0.37513489486087837</v>
      </c>
      <c r="D1539" s="7">
        <f t="shared" ca="1" si="117"/>
        <v>8.3592624944245991E-2</v>
      </c>
      <c r="E1539" s="7">
        <f t="shared" ca="1" si="118"/>
        <v>0.31221190138612764</v>
      </c>
      <c r="F1539" s="7">
        <f t="shared" ca="1" si="119"/>
        <v>1.7902049118882109E-2</v>
      </c>
      <c r="G1539" s="7">
        <f t="shared" ca="1" si="115"/>
        <v>258.82339199378697</v>
      </c>
      <c r="H1539" s="7">
        <f ca="1">(G1539+DCF!$D$40+DCF!$D$41+DCF!$D$42-DCF!$D$43-DCF!$D$44)/DCF!$C$35</f>
        <v>2.1028919290765717</v>
      </c>
    </row>
    <row r="1540" spans="3:8" x14ac:dyDescent="0.35">
      <c r="C1540" s="8">
        <f t="shared" ca="1" si="116"/>
        <v>0.78085065018927613</v>
      </c>
      <c r="D1540" s="7">
        <f t="shared" ca="1" si="117"/>
        <v>9.4361244474422915E-2</v>
      </c>
      <c r="E1540" s="7">
        <f t="shared" ca="1" si="118"/>
        <v>0.24283747801397404</v>
      </c>
      <c r="F1540" s="7">
        <f t="shared" ca="1" si="119"/>
        <v>1.6969038355669656E-2</v>
      </c>
      <c r="G1540" s="7">
        <f t="shared" ca="1" si="115"/>
        <v>218.47436015403306</v>
      </c>
      <c r="H1540" s="7">
        <f ca="1">(G1540+DCF!$D$40+DCF!$D$41+DCF!$D$42-DCF!$D$43-DCF!$D$44)/DCF!$C$35</f>
        <v>1.8751628860708494</v>
      </c>
    </row>
    <row r="1541" spans="3:8" x14ac:dyDescent="0.35">
      <c r="C1541" s="8">
        <f t="shared" ca="1" si="116"/>
        <v>9.5002459449700871E-2</v>
      </c>
      <c r="D1541" s="7">
        <f t="shared" ca="1" si="117"/>
        <v>7.6780943177291436E-2</v>
      </c>
      <c r="E1541" s="7">
        <f t="shared" ca="1" si="118"/>
        <v>0.51321567294718029</v>
      </c>
      <c r="F1541" s="7">
        <f t="shared" ca="1" si="119"/>
        <v>2.0133041734629466E-2</v>
      </c>
      <c r="G1541" s="7">
        <f t="shared" ca="1" si="115"/>
        <v>299.15048496593084</v>
      </c>
      <c r="H1541" s="7">
        <f ca="1">(G1541+DCF!$D$40+DCF!$D$41+DCF!$D$42-DCF!$D$43-DCF!$D$44)/DCF!$C$35</f>
        <v>2.3304971495988873</v>
      </c>
    </row>
    <row r="1542" spans="3:8" x14ac:dyDescent="0.35">
      <c r="C1542" s="8">
        <f t="shared" ca="1" si="116"/>
        <v>1.2322624915737324E-2</v>
      </c>
      <c r="D1542" s="7">
        <f t="shared" ca="1" si="117"/>
        <v>7.2442161022376883E-2</v>
      </c>
      <c r="E1542" s="7">
        <f t="shared" ca="1" si="118"/>
        <v>0.78439119056748174</v>
      </c>
      <c r="F1542" s="7">
        <f t="shared" ca="1" si="119"/>
        <v>2.3433283782094458E-2</v>
      </c>
      <c r="G1542" s="7">
        <f t="shared" ca="1" si="115"/>
        <v>342.23949937432104</v>
      </c>
      <c r="H1542" s="7">
        <f ca="1">(G1542+DCF!$D$40+DCF!$D$41+DCF!$D$42-DCF!$D$43-DCF!$D$44)/DCF!$C$35</f>
        <v>2.5736905936015408</v>
      </c>
    </row>
    <row r="1543" spans="3:8" x14ac:dyDescent="0.35">
      <c r="C1543" s="8">
        <f t="shared" ca="1" si="116"/>
        <v>0.94337246831216026</v>
      </c>
      <c r="D1543" s="7">
        <f t="shared" ca="1" si="117"/>
        <v>0.10205038835139545</v>
      </c>
      <c r="E1543" s="7">
        <f t="shared" ca="1" si="118"/>
        <v>0.81612552418909812</v>
      </c>
      <c r="F1543" s="7">
        <f t="shared" ca="1" si="119"/>
        <v>2.393576920276113E-2</v>
      </c>
      <c r="G1543" s="7">
        <f t="shared" ca="1" si="115"/>
        <v>209.23208244650084</v>
      </c>
      <c r="H1543" s="7">
        <f ca="1">(G1543+DCF!$D$40+DCF!$D$41+DCF!$D$42-DCF!$D$43-DCF!$D$44)/DCF!$C$35</f>
        <v>1.822999675169324</v>
      </c>
    </row>
    <row r="1544" spans="3:8" x14ac:dyDescent="0.35">
      <c r="C1544" s="8">
        <f t="shared" ca="1" si="116"/>
        <v>0.49770290633899483</v>
      </c>
      <c r="D1544" s="7">
        <f t="shared" ca="1" si="117"/>
        <v>8.6323776556940471E-2</v>
      </c>
      <c r="E1544" s="7">
        <f t="shared" ca="1" si="118"/>
        <v>0.29275523189888597</v>
      </c>
      <c r="F1544" s="7">
        <f t="shared" ca="1" si="119"/>
        <v>1.7651865548987199E-2</v>
      </c>
      <c r="G1544" s="7">
        <f t="shared" ca="1" si="115"/>
        <v>247.25048517898634</v>
      </c>
      <c r="H1544" s="7">
        <f ca="1">(G1544+DCF!$D$40+DCF!$D$41+DCF!$D$42-DCF!$D$43-DCF!$D$44)/DCF!$C$35</f>
        <v>2.0375746990573784</v>
      </c>
    </row>
    <row r="1545" spans="3:8" x14ac:dyDescent="0.35">
      <c r="C1545" s="8">
        <f t="shared" ca="1" si="116"/>
        <v>1.9053987836304964E-2</v>
      </c>
      <c r="D1545" s="7">
        <f t="shared" ca="1" si="117"/>
        <v>7.3036796027521708E-2</v>
      </c>
      <c r="E1545" s="7">
        <f t="shared" ca="1" si="118"/>
        <v>0.90571993523194083</v>
      </c>
      <c r="F1545" s="7">
        <f t="shared" ca="1" si="119"/>
        <v>2.5657648914054525E-2</v>
      </c>
      <c r="G1545" s="7">
        <f t="shared" ca="1" si="115"/>
        <v>350.46026134157398</v>
      </c>
      <c r="H1545" s="7">
        <f ca="1">(G1545+DCF!$D$40+DCF!$D$41+DCF!$D$42-DCF!$D$43-DCF!$D$44)/DCF!$C$35</f>
        <v>2.620088392265346</v>
      </c>
    </row>
    <row r="1546" spans="3:8" x14ac:dyDescent="0.35">
      <c r="C1546" s="8">
        <f t="shared" ca="1" si="116"/>
        <v>0.87467855442671616</v>
      </c>
      <c r="D1546" s="7">
        <f t="shared" ca="1" si="117"/>
        <v>9.8173811549794043E-2</v>
      </c>
      <c r="E1546" s="7">
        <f t="shared" ca="1" si="118"/>
        <v>0.33502932250107731</v>
      </c>
      <c r="F1546" s="7">
        <f t="shared" ca="1" si="119"/>
        <v>1.8185710995400183E-2</v>
      </c>
      <c r="G1546" s="7">
        <f t="shared" ca="1" si="115"/>
        <v>209.69518222310214</v>
      </c>
      <c r="H1546" s="7">
        <f ca="1">(G1546+DCF!$D$40+DCF!$D$41+DCF!$D$42-DCF!$D$43-DCF!$D$44)/DCF!$C$35</f>
        <v>1.8256134000626603</v>
      </c>
    </row>
    <row r="1547" spans="3:8" x14ac:dyDescent="0.35">
      <c r="C1547" s="8">
        <f t="shared" ca="1" si="116"/>
        <v>0.55052929647109261</v>
      </c>
      <c r="D1547" s="7">
        <f t="shared" ca="1" si="117"/>
        <v>8.7603363977189333E-2</v>
      </c>
      <c r="E1547" s="7">
        <f t="shared" ca="1" si="118"/>
        <v>0.23502498029745722</v>
      </c>
      <c r="F1547" s="7">
        <f t="shared" ca="1" si="119"/>
        <v>1.6856018965805991E-2</v>
      </c>
      <c r="G1547" s="7">
        <f t="shared" ca="1" si="115"/>
        <v>240.50118523285573</v>
      </c>
      <c r="H1547" s="7">
        <f ca="1">(G1547+DCF!$D$40+DCF!$D$41+DCF!$D$42-DCF!$D$43-DCF!$D$44)/DCF!$C$35</f>
        <v>1.9994817994855836</v>
      </c>
    </row>
    <row r="1548" spans="3:8" x14ac:dyDescent="0.35">
      <c r="C1548" s="8">
        <f t="shared" ca="1" si="116"/>
        <v>0.97795377234667835</v>
      </c>
      <c r="D1548" s="7">
        <f t="shared" ca="1" si="117"/>
        <v>0.10503979939305809</v>
      </c>
      <c r="E1548" s="7">
        <f t="shared" ca="1" si="118"/>
        <v>0.40277207720531649</v>
      </c>
      <c r="F1548" s="7">
        <f t="shared" ca="1" si="119"/>
        <v>1.8975211164148915E-2</v>
      </c>
      <c r="G1548" s="7">
        <f t="shared" ca="1" si="115"/>
        <v>193.19586704225722</v>
      </c>
      <c r="H1548" s="7">
        <f ca="1">(G1548+DCF!$D$40+DCF!$D$41+DCF!$D$42-DCF!$D$43-DCF!$D$44)/DCF!$C$35</f>
        <v>1.732491630219309</v>
      </c>
    </row>
    <row r="1549" spans="3:8" x14ac:dyDescent="0.35">
      <c r="C1549" s="8">
        <f t="shared" ca="1" si="116"/>
        <v>0.48797949916017302</v>
      </c>
      <c r="D1549" s="7">
        <f t="shared" ca="1" si="117"/>
        <v>8.6095714214031685E-2</v>
      </c>
      <c r="E1549" s="7">
        <f t="shared" ca="1" si="118"/>
        <v>0.10306781948732313</v>
      </c>
      <c r="F1549" s="7">
        <f t="shared" ca="1" si="119"/>
        <v>1.4540216283115224E-2</v>
      </c>
      <c r="G1549" s="7">
        <f t="shared" ca="1" si="115"/>
        <v>240.32456589243714</v>
      </c>
      <c r="H1549" s="7">
        <f ca="1">(G1549+DCF!$D$40+DCF!$D$41+DCF!$D$42-DCF!$D$43-DCF!$D$44)/DCF!$C$35</f>
        <v>1.9984849638358568</v>
      </c>
    </row>
    <row r="1550" spans="3:8" x14ac:dyDescent="0.35">
      <c r="C1550" s="8">
        <f t="shared" ca="1" si="116"/>
        <v>8.1110173316775058E-2</v>
      </c>
      <c r="D1550" s="7">
        <f t="shared" ca="1" si="117"/>
        <v>7.6265566525488271E-2</v>
      </c>
      <c r="E1550" s="7">
        <f t="shared" ca="1" si="118"/>
        <v>0.32313503466135851</v>
      </c>
      <c r="F1550" s="7">
        <f t="shared" ca="1" si="119"/>
        <v>1.8039092419687167E-2</v>
      </c>
      <c r="G1550" s="7">
        <f t="shared" ca="1" si="115"/>
        <v>293.72696797045228</v>
      </c>
      <c r="H1550" s="7">
        <f ca="1">(G1550+DCF!$D$40+DCF!$D$41+DCF!$D$42-DCF!$D$43-DCF!$D$44)/DCF!$C$35</f>
        <v>2.2998869396684292</v>
      </c>
    </row>
    <row r="1551" spans="3:8" x14ac:dyDescent="0.35">
      <c r="C1551" s="8">
        <f t="shared" ca="1" si="116"/>
        <v>0.75845668368394237</v>
      </c>
      <c r="D1551" s="7">
        <f t="shared" ca="1" si="117"/>
        <v>9.3581646215021436E-2</v>
      </c>
      <c r="E1551" s="7">
        <f t="shared" ca="1" si="118"/>
        <v>0.13218507174303029</v>
      </c>
      <c r="F1551" s="7">
        <f t="shared" ca="1" si="119"/>
        <v>1.5141693723726264E-2</v>
      </c>
      <c r="G1551" s="7">
        <f t="shared" ca="1" si="115"/>
        <v>217.26291292438879</v>
      </c>
      <c r="H1551" s="7">
        <f ca="1">(G1551+DCF!$D$40+DCF!$D$41+DCF!$D$42-DCF!$D$43-DCF!$D$44)/DCF!$C$35</f>
        <v>1.8683255047092717</v>
      </c>
    </row>
    <row r="1552" spans="3:8" x14ac:dyDescent="0.35">
      <c r="C1552" s="8">
        <f t="shared" ca="1" si="116"/>
        <v>0.86803479518400817</v>
      </c>
      <c r="D1552" s="7">
        <f t="shared" ca="1" si="117"/>
        <v>9.7864384293549544E-2</v>
      </c>
      <c r="E1552" s="7">
        <f t="shared" ca="1" si="118"/>
        <v>4.9262971745025919E-2</v>
      </c>
      <c r="F1552" s="7">
        <f t="shared" ca="1" si="119"/>
        <v>1.3138884252247155E-2</v>
      </c>
      <c r="G1552" s="7">
        <f t="shared" ref="G1552:G1615" ca="1" si="120">$C$11/(1+D1552)^1
 +$D$11/(1+D1552)^2
 +$E$11/(1+D1552)^3
 +$F$11/(1+D1552)^4
 +$G$11/(1+D1552)^5
 +$H$11/(1+D1552)^6
 +$I$11/(1+D1552)^7
 + ( $I$11*(1+F1552)/(D1552-F1552) )/(1+D1552)^7</f>
        <v>201.96185353372383</v>
      </c>
      <c r="H1552" s="7">
        <f ca="1">(G1552+DCF!$D$40+DCF!$D$41+DCF!$D$42-DCF!$D$43-DCF!$D$44)/DCF!$C$35</f>
        <v>1.781966664035014</v>
      </c>
    </row>
    <row r="1553" spans="3:8" x14ac:dyDescent="0.35">
      <c r="C1553" s="8">
        <f t="shared" ref="C1553:C1616" ca="1" si="121">RAND()</f>
        <v>0.62672892575171324</v>
      </c>
      <c r="D1553" s="7">
        <f t="shared" ref="D1553:D1616" ca="1" si="122">IF(C1553&lt;($C$6-0.07)/(0.11-0.07),0.07+SQRT(C1553*(0.11-0.07)*($C$6-0.07)),0.11-SQRT((1-C1553)*(0.11-0.07)*(0.11-$C$6)))</f>
        <v>8.958994074332248E-2</v>
      </c>
      <c r="E1553" s="7">
        <f t="shared" ref="E1553:E1616" ca="1" si="123">RAND()</f>
        <v>0.19469197148827422</v>
      </c>
      <c r="F1553" s="7">
        <f t="shared" ref="F1553:F1616" ca="1" si="124">MIN(
 IF(E1553&lt;(0.02-0.01)/(0.03-0.01),
   0.01+SQRT(E1553*(0.03-0.01)*(0.02-0.01)),
   0.03-SQRT((1-E1553)*(0.03-0.01)*(0.03-0.02))
 ),
 D1553-0.005
)</f>
        <v>1.6240063645320841E-2</v>
      </c>
      <c r="G1553" s="7">
        <f t="shared" ca="1" si="120"/>
        <v>232.1383352313448</v>
      </c>
      <c r="H1553" s="7">
        <f ca="1">(G1553+DCF!$D$40+DCF!$D$41+DCF!$D$42-DCF!$D$43-DCF!$D$44)/DCF!$C$35</f>
        <v>1.9522820591000383</v>
      </c>
    </row>
    <row r="1554" spans="3:8" x14ac:dyDescent="0.35">
      <c r="C1554" s="8">
        <f t="shared" ca="1" si="121"/>
        <v>0.98099885043851298</v>
      </c>
      <c r="D1554" s="7">
        <f t="shared" ca="1" si="122"/>
        <v>0.10539508057501333</v>
      </c>
      <c r="E1554" s="7">
        <f t="shared" ca="1" si="123"/>
        <v>0.54583951097480021</v>
      </c>
      <c r="F1554" s="7">
        <f t="shared" ca="1" si="124"/>
        <v>2.0469412515220275E-2</v>
      </c>
      <c r="G1554" s="7">
        <f t="shared" ca="1" si="120"/>
        <v>194.59473239974477</v>
      </c>
      <c r="H1554" s="7">
        <f ca="1">(G1554+DCF!$D$40+DCF!$D$41+DCF!$D$42-DCF!$D$43-DCF!$D$44)/DCF!$C$35</f>
        <v>1.7403867953479217</v>
      </c>
    </row>
    <row r="1555" spans="3:8" x14ac:dyDescent="0.35">
      <c r="C1555" s="8">
        <f t="shared" ca="1" si="121"/>
        <v>0.82143448249200157</v>
      </c>
      <c r="D1555" s="7">
        <f t="shared" ca="1" si="122"/>
        <v>9.5883374428039597E-2</v>
      </c>
      <c r="E1555" s="7">
        <f t="shared" ca="1" si="123"/>
        <v>9.8663006648857965E-2</v>
      </c>
      <c r="F1555" s="7">
        <f t="shared" ca="1" si="124"/>
        <v>1.4442139274017822E-2</v>
      </c>
      <c r="G1555" s="7">
        <f t="shared" ca="1" si="120"/>
        <v>209.40918833423552</v>
      </c>
      <c r="H1555" s="7">
        <f ca="1">(G1555+DCF!$D$40+DCF!$D$41+DCF!$D$42-DCF!$D$43-DCF!$D$44)/DCF!$C$35</f>
        <v>1.8239992568813381</v>
      </c>
    </row>
    <row r="1556" spans="3:8" x14ac:dyDescent="0.35">
      <c r="C1556" s="8">
        <f t="shared" ca="1" si="121"/>
        <v>1.994539245877669E-3</v>
      </c>
      <c r="D1556" s="7">
        <f t="shared" ca="1" si="122"/>
        <v>7.098252582409055E-2</v>
      </c>
      <c r="E1556" s="7">
        <f t="shared" ca="1" si="123"/>
        <v>0.6763288162016331</v>
      </c>
      <c r="F1556" s="7">
        <f t="shared" ca="1" si="124"/>
        <v>2.1954241070000085E-2</v>
      </c>
      <c r="G1556" s="7">
        <f t="shared" ca="1" si="120"/>
        <v>344.7089502891294</v>
      </c>
      <c r="H1556" s="7">
        <f ca="1">(G1556+DCF!$D$40+DCF!$D$41+DCF!$D$42-DCF!$D$43-DCF!$D$44)/DCF!$C$35</f>
        <v>2.5876281199296169</v>
      </c>
    </row>
    <row r="1557" spans="3:8" x14ac:dyDescent="0.35">
      <c r="C1557" s="8">
        <f t="shared" ca="1" si="121"/>
        <v>0.89237373268614051</v>
      </c>
      <c r="D1557" s="7">
        <f t="shared" ca="1" si="122"/>
        <v>9.9040487496139848E-2</v>
      </c>
      <c r="E1557" s="7">
        <f t="shared" ca="1" si="123"/>
        <v>0.98167058530588669</v>
      </c>
      <c r="F1557" s="7">
        <f t="shared" ca="1" si="124"/>
        <v>2.8085350439682848E-2</v>
      </c>
      <c r="G1557" s="7">
        <f t="shared" ca="1" si="120"/>
        <v>227.02557365315923</v>
      </c>
      <c r="H1557" s="7">
        <f ca="1">(G1557+DCF!$D$40+DCF!$D$41+DCF!$D$42-DCF!$D$43-DCF!$D$44)/DCF!$C$35</f>
        <v>1.9234257458695065</v>
      </c>
    </row>
    <row r="1558" spans="3:8" x14ac:dyDescent="0.35">
      <c r="C1558" s="8">
        <f t="shared" ca="1" si="121"/>
        <v>0.7117936729060893</v>
      </c>
      <c r="D1558" s="7">
        <f t="shared" ca="1" si="122"/>
        <v>9.206572384965582E-2</v>
      </c>
      <c r="E1558" s="7">
        <f t="shared" ca="1" si="123"/>
        <v>0.73024386627237914</v>
      </c>
      <c r="F1558" s="7">
        <f t="shared" ca="1" si="124"/>
        <v>2.2654850120962529E-2</v>
      </c>
      <c r="G1558" s="7">
        <f t="shared" ca="1" si="120"/>
        <v>238.5523409812385</v>
      </c>
      <c r="H1558" s="7">
        <f ca="1">(G1558+DCF!$D$40+DCF!$D$41+DCF!$D$42-DCF!$D$43-DCF!$D$44)/DCF!$C$35</f>
        <v>1.9884825656464526</v>
      </c>
    </row>
    <row r="1559" spans="3:8" x14ac:dyDescent="0.35">
      <c r="C1559" s="8">
        <f t="shared" ca="1" si="121"/>
        <v>3.9382543606972464E-2</v>
      </c>
      <c r="D1559" s="7">
        <f t="shared" ca="1" si="122"/>
        <v>7.4365907821493105E-2</v>
      </c>
      <c r="E1559" s="7">
        <f t="shared" ca="1" si="123"/>
        <v>0.22268797178807032</v>
      </c>
      <c r="F1559" s="7">
        <f t="shared" ca="1" si="124"/>
        <v>1.6673649253415558E-2</v>
      </c>
      <c r="G1559" s="7">
        <f t="shared" ca="1" si="120"/>
        <v>298.64309278443289</v>
      </c>
      <c r="H1559" s="7">
        <f ca="1">(G1559+DCF!$D$40+DCF!$D$41+DCF!$D$42-DCF!$D$43-DCF!$D$44)/DCF!$C$35</f>
        <v>2.3276334393522569</v>
      </c>
    </row>
    <row r="1560" spans="3:8" x14ac:dyDescent="0.35">
      <c r="C1560" s="8">
        <f t="shared" ca="1" si="121"/>
        <v>0.88676262465566569</v>
      </c>
      <c r="D1560" s="7">
        <f t="shared" ca="1" si="122"/>
        <v>9.8758429340867135E-2</v>
      </c>
      <c r="E1560" s="7">
        <f t="shared" ca="1" si="123"/>
        <v>0.10973611518999027</v>
      </c>
      <c r="F1560" s="7">
        <f t="shared" ca="1" si="124"/>
        <v>1.468478633856423E-2</v>
      </c>
      <c r="G1560" s="7">
        <f t="shared" ca="1" si="120"/>
        <v>202.15470063670125</v>
      </c>
      <c r="H1560" s="7">
        <f ca="1">(G1560+DCF!$D$40+DCF!$D$41+DCF!$D$42-DCF!$D$43-DCF!$D$44)/DCF!$C$35</f>
        <v>1.7830550888175936</v>
      </c>
    </row>
    <row r="1561" spans="3:8" x14ac:dyDescent="0.35">
      <c r="C1561" s="8">
        <f t="shared" ca="1" si="121"/>
        <v>0.47584973742344527</v>
      </c>
      <c r="D1561" s="7">
        <f t="shared" ca="1" si="122"/>
        <v>8.5814225399308899E-2</v>
      </c>
      <c r="E1561" s="7">
        <f t="shared" ca="1" si="123"/>
        <v>0.69888110442044749</v>
      </c>
      <c r="F1561" s="7">
        <f t="shared" ca="1" si="124"/>
        <v>2.2239601871301286E-2</v>
      </c>
      <c r="G1561" s="7">
        <f t="shared" ca="1" si="120"/>
        <v>262.22470195311462</v>
      </c>
      <c r="H1561" s="7">
        <f ca="1">(G1561+DCF!$D$40+DCF!$D$41+DCF!$D$42-DCF!$D$43-DCF!$D$44)/DCF!$C$35</f>
        <v>2.1220888472350978</v>
      </c>
    </row>
    <row r="1562" spans="3:8" x14ac:dyDescent="0.35">
      <c r="C1562" s="8">
        <f t="shared" ca="1" si="121"/>
        <v>1.5393931070051159E-2</v>
      </c>
      <c r="D1562" s="7">
        <f t="shared" ca="1" si="122"/>
        <v>7.2729590195964366E-2</v>
      </c>
      <c r="E1562" s="7">
        <f t="shared" ca="1" si="123"/>
        <v>0.796392457242866</v>
      </c>
      <c r="F1562" s="7">
        <f t="shared" ca="1" si="124"/>
        <v>2.3618659345292184E-2</v>
      </c>
      <c r="G1562" s="7">
        <f t="shared" ca="1" si="120"/>
        <v>341.17416731359845</v>
      </c>
      <c r="H1562" s="7">
        <f ca="1">(G1562+DCF!$D$40+DCF!$D$41+DCF!$D$42-DCF!$D$43-DCF!$D$44)/DCF!$C$35</f>
        <v>2.5676778830206484</v>
      </c>
    </row>
    <row r="1563" spans="3:8" x14ac:dyDescent="0.35">
      <c r="C1563" s="8">
        <f t="shared" ca="1" si="121"/>
        <v>0.7828992016892744</v>
      </c>
      <c r="D1563" s="7">
        <f t="shared" ca="1" si="122"/>
        <v>9.4434509615345566E-2</v>
      </c>
      <c r="E1563" s="7">
        <f t="shared" ca="1" si="123"/>
        <v>0.82932564793157326</v>
      </c>
      <c r="F1563" s="7">
        <f t="shared" ca="1" si="124"/>
        <v>2.4157494508887017E-2</v>
      </c>
      <c r="G1563" s="7">
        <f t="shared" ca="1" si="120"/>
        <v>233.735253178211</v>
      </c>
      <c r="H1563" s="7">
        <f ca="1">(G1563+DCF!$D$40+DCF!$D$41+DCF!$D$42-DCF!$D$43-DCF!$D$44)/DCF!$C$35</f>
        <v>1.9612950286613104</v>
      </c>
    </row>
    <row r="1564" spans="3:8" x14ac:dyDescent="0.35">
      <c r="C1564" s="8">
        <f t="shared" ca="1" si="121"/>
        <v>0.85514392811274043</v>
      </c>
      <c r="D1564" s="7">
        <f t="shared" ca="1" si="122"/>
        <v>9.7285465945376459E-2</v>
      </c>
      <c r="E1564" s="7">
        <f t="shared" ca="1" si="123"/>
        <v>0.75565406535837309</v>
      </c>
      <c r="F1564" s="7">
        <f t="shared" ca="1" si="124"/>
        <v>2.3009350035345398E-2</v>
      </c>
      <c r="G1564" s="7">
        <f t="shared" ca="1" si="120"/>
        <v>221.68424744907171</v>
      </c>
      <c r="H1564" s="7">
        <f ca="1">(G1564+DCF!$D$40+DCF!$D$41+DCF!$D$42-DCF!$D$43-DCF!$D$44)/DCF!$C$35</f>
        <v>1.8932794189472382</v>
      </c>
    </row>
    <row r="1565" spans="3:8" x14ac:dyDescent="0.35">
      <c r="C1565" s="8">
        <f t="shared" ca="1" si="121"/>
        <v>0.68916509966557682</v>
      </c>
      <c r="D1565" s="7">
        <f t="shared" ca="1" si="122"/>
        <v>9.1374969831615943E-2</v>
      </c>
      <c r="E1565" s="7">
        <f t="shared" ca="1" si="123"/>
        <v>0.88253019050597792</v>
      </c>
      <c r="F1565" s="7">
        <f t="shared" ca="1" si="124"/>
        <v>2.5152942965179344E-2</v>
      </c>
      <c r="G1565" s="7">
        <f t="shared" ca="1" si="120"/>
        <v>247.62904495857836</v>
      </c>
      <c r="H1565" s="7">
        <f ca="1">(G1565+DCF!$D$40+DCF!$D$41+DCF!$D$42-DCF!$D$43-DCF!$D$44)/DCF!$C$35</f>
        <v>2.0397112820779904</v>
      </c>
    </row>
    <row r="1566" spans="3:8" x14ac:dyDescent="0.35">
      <c r="C1566" s="8">
        <f t="shared" ca="1" si="121"/>
        <v>0.47311283011449867</v>
      </c>
      <c r="D1566" s="7">
        <f t="shared" ca="1" si="122"/>
        <v>8.5751163294041935E-2</v>
      </c>
      <c r="E1566" s="7">
        <f t="shared" ca="1" si="123"/>
        <v>0.53819196207365094</v>
      </c>
      <c r="F1566" s="7">
        <f t="shared" ca="1" si="124"/>
        <v>2.0389505341280825E-2</v>
      </c>
      <c r="G1566" s="7">
        <f t="shared" ca="1" si="120"/>
        <v>257.01761209149458</v>
      </c>
      <c r="H1566" s="7">
        <f ca="1">(G1566+DCF!$D$40+DCF!$D$41+DCF!$D$42-DCF!$D$43-DCF!$D$44)/DCF!$C$35</f>
        <v>2.0927001472598179</v>
      </c>
    </row>
    <row r="1567" spans="3:8" x14ac:dyDescent="0.35">
      <c r="C1567" s="8">
        <f t="shared" ca="1" si="121"/>
        <v>0.43074493057701468</v>
      </c>
      <c r="D1567" s="7">
        <f t="shared" ca="1" si="122"/>
        <v>8.4795066802785382E-2</v>
      </c>
      <c r="E1567" s="7">
        <f t="shared" ca="1" si="123"/>
        <v>0.75527704449299748</v>
      </c>
      <c r="F1567" s="7">
        <f t="shared" ca="1" si="124"/>
        <v>2.3003958897962327E-2</v>
      </c>
      <c r="G1567" s="7">
        <f t="shared" ca="1" si="120"/>
        <v>269.16544101550289</v>
      </c>
      <c r="H1567" s="7">
        <f ca="1">(G1567+DCF!$D$40+DCF!$D$41+DCF!$D$42-DCF!$D$43-DCF!$D$44)/DCF!$C$35</f>
        <v>2.1612622249435764</v>
      </c>
    </row>
    <row r="1568" spans="3:8" x14ac:dyDescent="0.35">
      <c r="C1568" s="8">
        <f t="shared" ca="1" si="121"/>
        <v>0.7712216374737566</v>
      </c>
      <c r="D1568" s="7">
        <f t="shared" ca="1" si="122"/>
        <v>9.4021368876549924E-2</v>
      </c>
      <c r="E1568" s="7">
        <f t="shared" ca="1" si="123"/>
        <v>0.90822882536321392</v>
      </c>
      <c r="F1568" s="7">
        <f t="shared" ca="1" si="124"/>
        <v>2.5715815722058957E-2</v>
      </c>
      <c r="G1568" s="7">
        <f t="shared" ca="1" si="120"/>
        <v>239.03080945764538</v>
      </c>
      <c r="H1568" s="7">
        <f ca="1">(G1568+DCF!$D$40+DCF!$D$41+DCF!$D$42-DCF!$D$43-DCF!$D$44)/DCF!$C$35</f>
        <v>1.9911830311414682</v>
      </c>
    </row>
    <row r="1569" spans="3:8" x14ac:dyDescent="0.35">
      <c r="C1569" s="8">
        <f t="shared" ca="1" si="121"/>
        <v>0.48276617958615742</v>
      </c>
      <c r="D1569" s="7">
        <f t="shared" ca="1" si="122"/>
        <v>8.5974327406254616E-2</v>
      </c>
      <c r="E1569" s="7">
        <f t="shared" ca="1" si="123"/>
        <v>0.12407728321906231</v>
      </c>
      <c r="F1569" s="7">
        <f t="shared" ca="1" si="124"/>
        <v>1.4981511481850911E-2</v>
      </c>
      <c r="G1569" s="7">
        <f t="shared" ca="1" si="120"/>
        <v>241.82808185707128</v>
      </c>
      <c r="H1569" s="7">
        <f ca="1">(G1569+DCF!$D$40+DCF!$D$41+DCF!$D$42-DCF!$D$43-DCF!$D$44)/DCF!$C$35</f>
        <v>2.0069707746758736</v>
      </c>
    </row>
    <row r="1570" spans="3:8" x14ac:dyDescent="0.35">
      <c r="C1570" s="8">
        <f t="shared" ca="1" si="121"/>
        <v>0.5505174922549313</v>
      </c>
      <c r="D1570" s="7">
        <f t="shared" ca="1" si="122"/>
        <v>8.7603069883497503E-2</v>
      </c>
      <c r="E1570" s="7">
        <f t="shared" ca="1" si="123"/>
        <v>0.33442258080243126</v>
      </c>
      <c r="F1570" s="7">
        <f t="shared" ca="1" si="124"/>
        <v>1.8178295431230534E-2</v>
      </c>
      <c r="G1570" s="7">
        <f t="shared" ca="1" si="120"/>
        <v>243.77946626347156</v>
      </c>
      <c r="H1570" s="7">
        <f ca="1">(G1570+DCF!$D$40+DCF!$D$41+DCF!$D$42-DCF!$D$43-DCF!$D$44)/DCF!$C$35</f>
        <v>2.0179843450924007</v>
      </c>
    </row>
    <row r="1571" spans="3:8" x14ac:dyDescent="0.35">
      <c r="C1571" s="8">
        <f t="shared" ca="1" si="121"/>
        <v>0.37100685116265786</v>
      </c>
      <c r="D1571" s="7">
        <f t="shared" ca="1" si="122"/>
        <v>8.3505541067942654E-2</v>
      </c>
      <c r="E1571" s="7">
        <f t="shared" ca="1" si="123"/>
        <v>0.2928496880520185</v>
      </c>
      <c r="F1571" s="7">
        <f t="shared" ca="1" si="124"/>
        <v>1.7653099869360367E-2</v>
      </c>
      <c r="G1571" s="7">
        <f t="shared" ca="1" si="120"/>
        <v>258.46909474134071</v>
      </c>
      <c r="H1571" s="7">
        <f ca="1">(G1571+DCF!$D$40+DCF!$D$41+DCF!$D$42-DCF!$D$43-DCF!$D$44)/DCF!$C$35</f>
        <v>2.1008922832223766</v>
      </c>
    </row>
    <row r="1572" spans="3:8" x14ac:dyDescent="0.35">
      <c r="C1572" s="8">
        <f t="shared" ca="1" si="121"/>
        <v>0.4976221805026354</v>
      </c>
      <c r="D1572" s="7">
        <f t="shared" ca="1" si="122"/>
        <v>8.6321874091071754E-2</v>
      </c>
      <c r="E1572" s="7">
        <f t="shared" ca="1" si="123"/>
        <v>6.8051107407954614E-2</v>
      </c>
      <c r="F1572" s="7">
        <f t="shared" ca="1" si="124"/>
        <v>1.3689203366797624E-2</v>
      </c>
      <c r="G1572" s="7">
        <f t="shared" ca="1" si="120"/>
        <v>237.51759820208639</v>
      </c>
      <c r="H1572" s="7">
        <f ca="1">(G1572+DCF!$D$40+DCF!$D$41+DCF!$D$42-DCF!$D$43-DCF!$D$44)/DCF!$C$35</f>
        <v>1.9826425002939743</v>
      </c>
    </row>
    <row r="1573" spans="3:8" x14ac:dyDescent="0.35">
      <c r="C1573" s="8">
        <f t="shared" ca="1" si="121"/>
        <v>0.19800307830115227</v>
      </c>
      <c r="D1573" s="7">
        <f t="shared" ca="1" si="122"/>
        <v>7.9789458100311669E-2</v>
      </c>
      <c r="E1573" s="7">
        <f t="shared" ca="1" si="123"/>
        <v>0.53029612648689384</v>
      </c>
      <c r="F1573" s="7">
        <f t="shared" ca="1" si="124"/>
        <v>2.030769507791768E-2</v>
      </c>
      <c r="G1573" s="7">
        <f t="shared" ca="1" si="120"/>
        <v>283.95359940809618</v>
      </c>
      <c r="H1573" s="7">
        <f ca="1">(G1573+DCF!$D$40+DCF!$D$41+DCF!$D$42-DCF!$D$43-DCF!$D$44)/DCF!$C$35</f>
        <v>2.2447262637323409</v>
      </c>
    </row>
    <row r="1574" spans="3:8" x14ac:dyDescent="0.35">
      <c r="C1574" s="8">
        <f t="shared" ca="1" si="121"/>
        <v>0.46948052353288927</v>
      </c>
      <c r="D1574" s="7">
        <f t="shared" ca="1" si="122"/>
        <v>8.566772234793267E-2</v>
      </c>
      <c r="E1574" s="7">
        <f t="shared" ca="1" si="123"/>
        <v>0.50599661229003401</v>
      </c>
      <c r="F1574" s="7">
        <f t="shared" ca="1" si="124"/>
        <v>2.0060147006016979E-2</v>
      </c>
      <c r="G1574" s="7">
        <f t="shared" ca="1" si="120"/>
        <v>256.41798935198403</v>
      </c>
      <c r="H1574" s="7">
        <f ca="1">(G1574+DCF!$D$40+DCF!$D$41+DCF!$D$42-DCF!$D$43-DCF!$D$44)/DCF!$C$35</f>
        <v>2.0893158897843098</v>
      </c>
    </row>
    <row r="1575" spans="3:8" x14ac:dyDescent="0.35">
      <c r="C1575" s="8">
        <f t="shared" ca="1" si="121"/>
        <v>0.94382836547128801</v>
      </c>
      <c r="D1575" s="7">
        <f t="shared" ca="1" si="122"/>
        <v>0.10208245340183952</v>
      </c>
      <c r="E1575" s="7">
        <f t="shared" ca="1" si="123"/>
        <v>0.37442106577626033</v>
      </c>
      <c r="F1575" s="7">
        <f t="shared" ca="1" si="124"/>
        <v>1.8653566499152362E-2</v>
      </c>
      <c r="G1575" s="7">
        <f t="shared" ca="1" si="120"/>
        <v>200.03078818367152</v>
      </c>
      <c r="H1575" s="7">
        <f ca="1">(G1575+DCF!$D$40+DCF!$D$41+DCF!$D$42-DCF!$D$43-DCF!$D$44)/DCF!$C$35</f>
        <v>1.7710677739229681</v>
      </c>
    </row>
    <row r="1576" spans="3:8" x14ac:dyDescent="0.35">
      <c r="C1576" s="8">
        <f t="shared" ca="1" si="121"/>
        <v>0.66560448581485354</v>
      </c>
      <c r="D1576" s="7">
        <f t="shared" ca="1" si="122"/>
        <v>9.0681993016084109E-2</v>
      </c>
      <c r="E1576" s="7">
        <f t="shared" ca="1" si="123"/>
        <v>0.55067469200517227</v>
      </c>
      <c r="F1576" s="7">
        <f t="shared" ca="1" si="124"/>
        <v>2.0520281565417381E-2</v>
      </c>
      <c r="G1576" s="7">
        <f t="shared" ca="1" si="120"/>
        <v>238.323352010821</v>
      </c>
      <c r="H1576" s="7">
        <f ca="1">(G1576+DCF!$D$40+DCF!$D$41+DCF!$D$42-DCF!$D$43-DCF!$D$44)/DCF!$C$35</f>
        <v>1.9871901569636583</v>
      </c>
    </row>
    <row r="1577" spans="3:8" x14ac:dyDescent="0.35">
      <c r="C1577" s="8">
        <f t="shared" ca="1" si="121"/>
        <v>0.86515079888499502</v>
      </c>
      <c r="D1577" s="7">
        <f t="shared" ca="1" si="122"/>
        <v>9.7732493796849118E-2</v>
      </c>
      <c r="E1577" s="7">
        <f t="shared" ca="1" si="123"/>
        <v>0.43363837685842599</v>
      </c>
      <c r="F1577" s="7">
        <f t="shared" ca="1" si="124"/>
        <v>1.9312769479144495E-2</v>
      </c>
      <c r="G1577" s="7">
        <f t="shared" ca="1" si="120"/>
        <v>213.01657233765775</v>
      </c>
      <c r="H1577" s="7">
        <f ca="1">(G1577+DCF!$D$40+DCF!$D$41+DCF!$D$42-DCF!$D$43-DCF!$D$44)/DCF!$C$35</f>
        <v>1.8443592523854708</v>
      </c>
    </row>
    <row r="1578" spans="3:8" x14ac:dyDescent="0.35">
      <c r="C1578" s="8">
        <f t="shared" ca="1" si="121"/>
        <v>0.87098067132004486</v>
      </c>
      <c r="D1578" s="7">
        <f t="shared" ca="1" si="122"/>
        <v>9.8000601231443718E-2</v>
      </c>
      <c r="E1578" s="7">
        <f t="shared" ca="1" si="123"/>
        <v>7.1364302813842539E-2</v>
      </c>
      <c r="F1578" s="7">
        <f t="shared" ca="1" si="124"/>
        <v>1.3777943959717839E-2</v>
      </c>
      <c r="G1578" s="7">
        <f t="shared" ca="1" si="120"/>
        <v>202.64150775711005</v>
      </c>
      <c r="H1578" s="7">
        <f ca="1">(G1578+DCF!$D$40+DCF!$D$41+DCF!$D$42-DCF!$D$43-DCF!$D$44)/DCF!$C$35</f>
        <v>1.7858026174348687</v>
      </c>
    </row>
    <row r="1579" spans="3:8" x14ac:dyDescent="0.35">
      <c r="C1579" s="8">
        <f t="shared" ca="1" si="121"/>
        <v>0.53095622608001236</v>
      </c>
      <c r="D1579" s="7">
        <f t="shared" ca="1" si="122"/>
        <v>8.71209079792334E-2</v>
      </c>
      <c r="E1579" s="7">
        <f t="shared" ca="1" si="123"/>
        <v>0.89435473949269262</v>
      </c>
      <c r="F1579" s="7">
        <f t="shared" ca="1" si="124"/>
        <v>2.54033651328976E-2</v>
      </c>
      <c r="G1579" s="7">
        <f t="shared" ca="1" si="120"/>
        <v>266.31178055562532</v>
      </c>
      <c r="H1579" s="7">
        <f ca="1">(G1579+DCF!$D$40+DCF!$D$41+DCF!$D$42-DCF!$D$43-DCF!$D$44)/DCF!$C$35</f>
        <v>2.1451562284435335</v>
      </c>
    </row>
    <row r="1580" spans="3:8" x14ac:dyDescent="0.35">
      <c r="C1580" s="8">
        <f t="shared" ca="1" si="121"/>
        <v>0.53740608167827819</v>
      </c>
      <c r="D1580" s="7">
        <f t="shared" ca="1" si="122"/>
        <v>8.7278758554008518E-2</v>
      </c>
      <c r="E1580" s="7">
        <f t="shared" ca="1" si="123"/>
        <v>0.78816904075120819</v>
      </c>
      <c r="F1580" s="7">
        <f t="shared" ca="1" si="124"/>
        <v>2.3491068301959347E-2</v>
      </c>
      <c r="G1580" s="7">
        <f t="shared" ca="1" si="120"/>
        <v>259.69085776598939</v>
      </c>
      <c r="H1580" s="7">
        <f ca="1">(G1580+DCF!$D$40+DCF!$D$41+DCF!$D$42-DCF!$D$43-DCF!$D$44)/DCF!$C$35</f>
        <v>2.1077878867027282</v>
      </c>
    </row>
    <row r="1581" spans="3:8" x14ac:dyDescent="0.35">
      <c r="C1581" s="8">
        <f t="shared" ca="1" si="121"/>
        <v>0.42055589351848777</v>
      </c>
      <c r="D1581" s="7">
        <f t="shared" ca="1" si="122"/>
        <v>8.4570496999874983E-2</v>
      </c>
      <c r="E1581" s="7">
        <f t="shared" ca="1" si="123"/>
        <v>0.17907558522302824</v>
      </c>
      <c r="F1581" s="7">
        <f t="shared" ca="1" si="124"/>
        <v>1.5984573255012062E-2</v>
      </c>
      <c r="G1581" s="7">
        <f t="shared" ca="1" si="120"/>
        <v>249.61889684166192</v>
      </c>
      <c r="H1581" s="7">
        <f ca="1">(G1581+DCF!$D$40+DCF!$D$41+DCF!$D$42-DCF!$D$43-DCF!$D$44)/DCF!$C$35</f>
        <v>2.0509419620818483</v>
      </c>
    </row>
    <row r="1582" spans="3:8" x14ac:dyDescent="0.35">
      <c r="C1582" s="8">
        <f t="shared" ca="1" si="121"/>
        <v>7.4384466686792328E-2</v>
      </c>
      <c r="D1582" s="7">
        <f t="shared" ca="1" si="122"/>
        <v>7.6000173487192485E-2</v>
      </c>
      <c r="E1582" s="7">
        <f t="shared" ca="1" si="123"/>
        <v>0.72955226147469099</v>
      </c>
      <c r="F1582" s="7">
        <f t="shared" ca="1" si="124"/>
        <v>2.2645440345944443E-2</v>
      </c>
      <c r="G1582" s="7">
        <f t="shared" ca="1" si="120"/>
        <v>314.47915732186237</v>
      </c>
      <c r="H1582" s="7">
        <f ca="1">(G1582+DCF!$D$40+DCF!$D$41+DCF!$D$42-DCF!$D$43-DCF!$D$44)/DCF!$C$35</f>
        <v>2.417011837238189</v>
      </c>
    </row>
    <row r="1583" spans="3:8" x14ac:dyDescent="0.35">
      <c r="C1583" s="8">
        <f t="shared" ca="1" si="121"/>
        <v>0.4735506159229248</v>
      </c>
      <c r="D1583" s="7">
        <f t="shared" ca="1" si="122"/>
        <v>8.5761239457636959E-2</v>
      </c>
      <c r="E1583" s="7">
        <f t="shared" ca="1" si="123"/>
        <v>0.40106990982182944</v>
      </c>
      <c r="F1583" s="7">
        <f t="shared" ca="1" si="124"/>
        <v>1.895622587725242E-2</v>
      </c>
      <c r="G1583" s="7">
        <f t="shared" ca="1" si="120"/>
        <v>252.93978697579485</v>
      </c>
      <c r="H1583" s="7">
        <f ca="1">(G1583+DCF!$D$40+DCF!$D$41+DCF!$D$42-DCF!$D$43-DCF!$D$44)/DCF!$C$35</f>
        <v>2.0696849925262155</v>
      </c>
    </row>
    <row r="1584" spans="3:8" x14ac:dyDescent="0.35">
      <c r="C1584" s="8">
        <f t="shared" ca="1" si="121"/>
        <v>0.90019538576788538</v>
      </c>
      <c r="D1584" s="7">
        <f t="shared" ca="1" si="122"/>
        <v>9.9446235293363799E-2</v>
      </c>
      <c r="E1584" s="7">
        <f t="shared" ca="1" si="123"/>
        <v>0.23094751396370117</v>
      </c>
      <c r="F1584" s="7">
        <f t="shared" ca="1" si="124"/>
        <v>1.679628595578057E-2</v>
      </c>
      <c r="G1584" s="7">
        <f t="shared" ca="1" si="120"/>
        <v>203.83336020871877</v>
      </c>
      <c r="H1584" s="7">
        <f ca="1">(G1584+DCF!$D$40+DCF!$D$41+DCF!$D$42-DCF!$D$43-DCF!$D$44)/DCF!$C$35</f>
        <v>1.7925294063027359</v>
      </c>
    </row>
    <row r="1585" spans="3:8" x14ac:dyDescent="0.35">
      <c r="C1585" s="8">
        <f t="shared" ca="1" si="121"/>
        <v>0.67020320778182096</v>
      </c>
      <c r="D1585" s="7">
        <f t="shared" ca="1" si="122"/>
        <v>9.0815286811748067E-2</v>
      </c>
      <c r="E1585" s="7">
        <f t="shared" ca="1" si="123"/>
        <v>0.41067893467665395</v>
      </c>
      <c r="F1585" s="7">
        <f t="shared" ca="1" si="124"/>
        <v>1.9062879616067445E-2</v>
      </c>
      <c r="G1585" s="7">
        <f t="shared" ca="1" si="120"/>
        <v>234.38945695207332</v>
      </c>
      <c r="H1585" s="7">
        <f ca="1">(G1585+DCF!$D$40+DCF!$D$41+DCF!$D$42-DCF!$D$43-DCF!$D$44)/DCF!$C$35</f>
        <v>1.9649873402871278</v>
      </c>
    </row>
    <row r="1586" spans="3:8" x14ac:dyDescent="0.35">
      <c r="C1586" s="8">
        <f t="shared" ca="1" si="121"/>
        <v>0.40907293915392928</v>
      </c>
      <c r="D1586" s="7">
        <f t="shared" ca="1" si="122"/>
        <v>8.4319762464022757E-2</v>
      </c>
      <c r="E1586" s="7">
        <f t="shared" ca="1" si="123"/>
        <v>1.9151392386060895E-2</v>
      </c>
      <c r="F1586" s="7">
        <f t="shared" ca="1" si="124"/>
        <v>1.1957109725388992E-2</v>
      </c>
      <c r="G1586" s="7">
        <f t="shared" ca="1" si="120"/>
        <v>240.49447356643662</v>
      </c>
      <c r="H1586" s="7">
        <f ca="1">(G1586+DCF!$D$40+DCF!$D$41+DCF!$D$42-DCF!$D$43-DCF!$D$44)/DCF!$C$35</f>
        <v>1.9994439189888058</v>
      </c>
    </row>
    <row r="1587" spans="3:8" x14ac:dyDescent="0.35">
      <c r="C1587" s="8">
        <f t="shared" ca="1" si="121"/>
        <v>0.85262089877775238</v>
      </c>
      <c r="D1587" s="7">
        <f t="shared" ca="1" si="122"/>
        <v>9.7175216299522693E-2</v>
      </c>
      <c r="E1587" s="7">
        <f t="shared" ca="1" si="123"/>
        <v>0.76837129399605542</v>
      </c>
      <c r="F1587" s="7">
        <f t="shared" ca="1" si="124"/>
        <v>2.3193698419788546E-2</v>
      </c>
      <c r="G1587" s="7">
        <f t="shared" ca="1" si="120"/>
        <v>222.42112856128063</v>
      </c>
      <c r="H1587" s="7">
        <f ca="1">(G1587+DCF!$D$40+DCF!$D$41+DCF!$D$42-DCF!$D$43-DCF!$D$44)/DCF!$C$35</f>
        <v>1.8974383596414979</v>
      </c>
    </row>
    <row r="1588" spans="3:8" x14ac:dyDescent="0.35">
      <c r="C1588" s="8">
        <f t="shared" ca="1" si="121"/>
        <v>0.69984476154302977</v>
      </c>
      <c r="D1588" s="7">
        <f t="shared" ca="1" si="122"/>
        <v>9.1697725657231055E-2</v>
      </c>
      <c r="E1588" s="7">
        <f t="shared" ca="1" si="123"/>
        <v>0.49678156232658888</v>
      </c>
      <c r="F1588" s="7">
        <f t="shared" ca="1" si="124"/>
        <v>1.9967763664198591E-2</v>
      </c>
      <c r="G1588" s="7">
        <f t="shared" ca="1" si="120"/>
        <v>233.43709987762858</v>
      </c>
      <c r="H1588" s="7">
        <f ca="1">(G1588+DCF!$D$40+DCF!$D$41+DCF!$D$42-DCF!$D$43-DCF!$D$44)/DCF!$C$35</f>
        <v>1.9596122580292843</v>
      </c>
    </row>
    <row r="1589" spans="3:8" x14ac:dyDescent="0.35">
      <c r="C1589" s="8">
        <f t="shared" ca="1" si="121"/>
        <v>7.7566558932555818E-3</v>
      </c>
      <c r="D1589" s="7">
        <f t="shared" ca="1" si="122"/>
        <v>7.1937581340830808E-2</v>
      </c>
      <c r="E1589" s="7">
        <f t="shared" ca="1" si="123"/>
        <v>0.85483476235683931</v>
      </c>
      <c r="F1589" s="7">
        <f t="shared" ca="1" si="124"/>
        <v>2.4611767680525261E-2</v>
      </c>
      <c r="G1589" s="7">
        <f t="shared" ca="1" si="120"/>
        <v>352.76469554412483</v>
      </c>
      <c r="H1589" s="7">
        <f ca="1">(G1589+DCF!$D$40+DCF!$D$41+DCF!$D$42-DCF!$D$43-DCF!$D$44)/DCF!$C$35</f>
        <v>2.6330945679203346</v>
      </c>
    </row>
    <row r="1590" spans="3:8" x14ac:dyDescent="0.35">
      <c r="C1590" s="8">
        <f t="shared" ca="1" si="121"/>
        <v>0.91981295960056775</v>
      </c>
      <c r="D1590" s="7">
        <f t="shared" ca="1" si="122"/>
        <v>0.10054015131803017</v>
      </c>
      <c r="E1590" s="7">
        <f t="shared" ca="1" si="123"/>
        <v>0.71161893020472688</v>
      </c>
      <c r="F1590" s="7">
        <f t="shared" ca="1" si="124"/>
        <v>2.2405514239986053E-2</v>
      </c>
      <c r="G1590" s="7">
        <f t="shared" ca="1" si="120"/>
        <v>210.70623981261821</v>
      </c>
      <c r="H1590" s="7">
        <f ca="1">(G1590+DCF!$D$40+DCF!$D$41+DCF!$D$42-DCF!$D$43-DCF!$D$44)/DCF!$C$35</f>
        <v>1.8313197867288531</v>
      </c>
    </row>
    <row r="1591" spans="3:8" x14ac:dyDescent="0.35">
      <c r="C1591" s="8">
        <f t="shared" ca="1" si="121"/>
        <v>0.18743441130366956</v>
      </c>
      <c r="D1591" s="7">
        <f t="shared" ca="1" si="122"/>
        <v>7.9524613119228316E-2</v>
      </c>
      <c r="E1591" s="7">
        <f t="shared" ca="1" si="123"/>
        <v>0.69790059781111191</v>
      </c>
      <c r="F1591" s="7">
        <f t="shared" ca="1" si="124"/>
        <v>2.2226977393717574E-2</v>
      </c>
      <c r="G1591" s="7">
        <f t="shared" ca="1" si="120"/>
        <v>292.4892821335834</v>
      </c>
      <c r="H1591" s="7">
        <f ca="1">(G1591+DCF!$D$40+DCF!$D$41+DCF!$D$42-DCF!$D$43-DCF!$D$44)/DCF!$C$35</f>
        <v>2.2929014681881892</v>
      </c>
    </row>
    <row r="1592" spans="3:8" x14ac:dyDescent="0.35">
      <c r="C1592" s="8">
        <f t="shared" ca="1" si="121"/>
        <v>0.75180592557415449</v>
      </c>
      <c r="D1592" s="7">
        <f t="shared" ca="1" si="122"/>
        <v>9.3357146066276875E-2</v>
      </c>
      <c r="E1592" s="7">
        <f t="shared" ca="1" si="123"/>
        <v>0.68751701518150654</v>
      </c>
      <c r="F1592" s="7">
        <f t="shared" ca="1" si="124"/>
        <v>2.209452107942228E-2</v>
      </c>
      <c r="G1592" s="7">
        <f t="shared" ca="1" si="120"/>
        <v>232.64100097642054</v>
      </c>
      <c r="H1592" s="7">
        <f ca="1">(G1592+DCF!$D$40+DCF!$D$41+DCF!$D$42-DCF!$D$43-DCF!$D$44)/DCF!$C$35</f>
        <v>1.955119093444071</v>
      </c>
    </row>
    <row r="1593" spans="3:8" x14ac:dyDescent="0.35">
      <c r="C1593" s="8">
        <f t="shared" ca="1" si="121"/>
        <v>0.50610157476541529</v>
      </c>
      <c r="D1593" s="7">
        <f t="shared" ca="1" si="122"/>
        <v>8.6522550339489676E-2</v>
      </c>
      <c r="E1593" s="7">
        <f t="shared" ca="1" si="123"/>
        <v>5.6857957965939399E-2</v>
      </c>
      <c r="F1593" s="7">
        <f t="shared" ca="1" si="124"/>
        <v>1.3372179057106529E-2</v>
      </c>
      <c r="G1593" s="7">
        <f t="shared" ca="1" si="120"/>
        <v>236.09140085328022</v>
      </c>
      <c r="H1593" s="7">
        <f ca="1">(G1593+DCF!$D$40+DCF!$D$41+DCF!$D$42-DCF!$D$43-DCF!$D$44)/DCF!$C$35</f>
        <v>1.9745930740110633</v>
      </c>
    </row>
    <row r="1594" spans="3:8" x14ac:dyDescent="0.35">
      <c r="C1594" s="8">
        <f t="shared" ca="1" si="121"/>
        <v>3.5692146779873757E-2</v>
      </c>
      <c r="D1594" s="7">
        <f t="shared" ca="1" si="122"/>
        <v>7.415632037281282E-2</v>
      </c>
      <c r="E1594" s="7">
        <f t="shared" ca="1" si="123"/>
        <v>0.33364650539608731</v>
      </c>
      <c r="F1594" s="7">
        <f t="shared" ca="1" si="124"/>
        <v>1.8168800467585032E-2</v>
      </c>
      <c r="G1594" s="7">
        <f t="shared" ca="1" si="120"/>
        <v>305.88278122790945</v>
      </c>
      <c r="H1594" s="7">
        <f ca="1">(G1594+DCF!$D$40+DCF!$D$41+DCF!$D$42-DCF!$D$43-DCF!$D$44)/DCF!$C$35</f>
        <v>2.3684940807535244</v>
      </c>
    </row>
    <row r="1595" spans="3:8" x14ac:dyDescent="0.35">
      <c r="C1595" s="8">
        <f t="shared" ca="1" si="121"/>
        <v>0.2895349936879511</v>
      </c>
      <c r="D1595" s="7">
        <f t="shared" ca="1" si="122"/>
        <v>8.1837860319541211E-2</v>
      </c>
      <c r="E1595" s="7">
        <f t="shared" ca="1" si="123"/>
        <v>0.52930339160510687</v>
      </c>
      <c r="F1595" s="7">
        <f t="shared" ca="1" si="124"/>
        <v>2.0297457978499727E-2</v>
      </c>
      <c r="G1595" s="7">
        <f t="shared" ca="1" si="120"/>
        <v>273.98652532445124</v>
      </c>
      <c r="H1595" s="7">
        <f ca="1">(G1595+DCF!$D$40+DCF!$D$41+DCF!$D$42-DCF!$D$43-DCF!$D$44)/DCF!$C$35</f>
        <v>2.1884723181197154</v>
      </c>
    </row>
    <row r="1596" spans="3:8" x14ac:dyDescent="0.35">
      <c r="C1596" s="8">
        <f t="shared" ca="1" si="121"/>
        <v>0.6199050346353544</v>
      </c>
      <c r="D1596" s="7">
        <f t="shared" ca="1" si="122"/>
        <v>8.9404224186815776E-2</v>
      </c>
      <c r="E1596" s="7">
        <f t="shared" ca="1" si="123"/>
        <v>0.44723043885030378</v>
      </c>
      <c r="F1596" s="7">
        <f t="shared" ca="1" si="124"/>
        <v>1.9457594185101238E-2</v>
      </c>
      <c r="G1596" s="7">
        <f t="shared" ca="1" si="120"/>
        <v>240.3432983249424</v>
      </c>
      <c r="H1596" s="7">
        <f ca="1">(G1596+DCF!$D$40+DCF!$D$41+DCF!$D$42-DCF!$D$43-DCF!$D$44)/DCF!$C$35</f>
        <v>1.9985906892704728</v>
      </c>
    </row>
    <row r="1597" spans="3:8" x14ac:dyDescent="0.35">
      <c r="C1597" s="8">
        <f t="shared" ca="1" si="121"/>
        <v>0.77117547399067532</v>
      </c>
      <c r="D1597" s="7">
        <f t="shared" ca="1" si="122"/>
        <v>9.4019756853338993E-2</v>
      </c>
      <c r="E1597" s="7">
        <f t="shared" ca="1" si="123"/>
        <v>8.8743268565270039E-3</v>
      </c>
      <c r="F1597" s="7">
        <f t="shared" ca="1" si="124"/>
        <v>1.1332240733240581E-2</v>
      </c>
      <c r="G1597" s="7">
        <f t="shared" ca="1" si="120"/>
        <v>209.1100499268843</v>
      </c>
      <c r="H1597" s="7">
        <f ca="1">(G1597+DCF!$D$40+DCF!$D$41+DCF!$D$42-DCF!$D$43-DCF!$D$44)/DCF!$C$35</f>
        <v>1.8223109263285038</v>
      </c>
    </row>
    <row r="1598" spans="3:8" x14ac:dyDescent="0.35">
      <c r="C1598" s="8">
        <f t="shared" ca="1" si="121"/>
        <v>0.34810963004025441</v>
      </c>
      <c r="D1598" s="7">
        <f t="shared" ca="1" si="122"/>
        <v>8.302761314093475E-2</v>
      </c>
      <c r="E1598" s="7">
        <f t="shared" ca="1" si="123"/>
        <v>0.35443727722808749</v>
      </c>
      <c r="F1598" s="7">
        <f t="shared" ca="1" si="124"/>
        <v>1.8419468833935873E-2</v>
      </c>
      <c r="G1598" s="7">
        <f t="shared" ca="1" si="120"/>
        <v>262.73296271275643</v>
      </c>
      <c r="H1598" s="7">
        <f ca="1">(G1598+DCF!$D$40+DCF!$D$41+DCF!$D$42-DCF!$D$43-DCF!$D$44)/DCF!$C$35</f>
        <v>2.1249574597175549</v>
      </c>
    </row>
    <row r="1599" spans="3:8" x14ac:dyDescent="0.35">
      <c r="C1599" s="8">
        <f t="shared" ca="1" si="121"/>
        <v>0.60201880004268638</v>
      </c>
      <c r="D1599" s="7">
        <f t="shared" ca="1" si="122"/>
        <v>8.8925204172937714E-2</v>
      </c>
      <c r="E1599" s="7">
        <f t="shared" ca="1" si="123"/>
        <v>5.9858069739038955E-2</v>
      </c>
      <c r="F1599" s="7">
        <f t="shared" ca="1" si="124"/>
        <v>1.3460002015578574E-2</v>
      </c>
      <c r="G1599" s="7">
        <f t="shared" ca="1" si="120"/>
        <v>228.27256981703255</v>
      </c>
      <c r="H1599" s="7">
        <f ca="1">(G1599+DCF!$D$40+DCF!$D$41+DCF!$D$42-DCF!$D$43-DCF!$D$44)/DCF!$C$35</f>
        <v>1.9304637646293743</v>
      </c>
    </row>
    <row r="1600" spans="3:8" x14ac:dyDescent="0.35">
      <c r="C1600" s="8">
        <f t="shared" ca="1" si="121"/>
        <v>0.69283975026686062</v>
      </c>
      <c r="D1600" s="7">
        <f t="shared" ca="1" si="122"/>
        <v>9.1485388507932891E-2</v>
      </c>
      <c r="E1600" s="7">
        <f t="shared" ca="1" si="123"/>
        <v>0.14127703381202628</v>
      </c>
      <c r="F1600" s="7">
        <f t="shared" ca="1" si="124"/>
        <v>1.5315581507455722E-2</v>
      </c>
      <c r="G1600" s="7">
        <f t="shared" ca="1" si="120"/>
        <v>223.99541615846644</v>
      </c>
      <c r="H1600" s="7">
        <f ca="1">(G1600+DCF!$D$40+DCF!$D$41+DCF!$D$42-DCF!$D$43-DCF!$D$44)/DCF!$C$35</f>
        <v>1.906323604009857</v>
      </c>
    </row>
    <row r="1601" spans="3:8" x14ac:dyDescent="0.35">
      <c r="C1601" s="8">
        <f t="shared" ca="1" si="121"/>
        <v>0.23686482118849039</v>
      </c>
      <c r="D1601" s="7">
        <f t="shared" ca="1" si="122"/>
        <v>8.0707127227003017E-2</v>
      </c>
      <c r="E1601" s="7">
        <f t="shared" ca="1" si="123"/>
        <v>0.18305221826717466</v>
      </c>
      <c r="F1601" s="7">
        <f t="shared" ca="1" si="124"/>
        <v>1.6050656464668519E-2</v>
      </c>
      <c r="G1601" s="7">
        <f t="shared" ca="1" si="120"/>
        <v>265.63371365902066</v>
      </c>
      <c r="H1601" s="7">
        <f ca="1">(G1601+DCF!$D$40+DCF!$D$41+DCF!$D$42-DCF!$D$43-DCF!$D$44)/DCF!$C$35</f>
        <v>2.1413292338809158</v>
      </c>
    </row>
    <row r="1602" spans="3:8" x14ac:dyDescent="0.35">
      <c r="C1602" s="8">
        <f t="shared" ca="1" si="121"/>
        <v>0.28224810644340892</v>
      </c>
      <c r="D1602" s="7">
        <f t="shared" ca="1" si="122"/>
        <v>8.1687946077844908E-2</v>
      </c>
      <c r="E1602" s="7">
        <f t="shared" ca="1" si="123"/>
        <v>0.90895643840297546</v>
      </c>
      <c r="F1602" s="7">
        <f t="shared" ca="1" si="124"/>
        <v>2.5732833221046438E-2</v>
      </c>
      <c r="G1602" s="7">
        <f t="shared" ca="1" si="120"/>
        <v>294.59307977237722</v>
      </c>
      <c r="H1602" s="7">
        <f ca="1">(G1602+DCF!$D$40+DCF!$D$41+DCF!$D$42-DCF!$D$43-DCF!$D$44)/DCF!$C$35</f>
        <v>2.3047752555162955</v>
      </c>
    </row>
    <row r="1603" spans="3:8" x14ac:dyDescent="0.35">
      <c r="C1603" s="8">
        <f t="shared" ca="1" si="121"/>
        <v>0.94398701665583817</v>
      </c>
      <c r="D1603" s="7">
        <f t="shared" ca="1" si="122"/>
        <v>0.10209364246874172</v>
      </c>
      <c r="E1603" s="7">
        <f t="shared" ca="1" si="123"/>
        <v>0.76678420825409832</v>
      </c>
      <c r="F1603" s="7">
        <f t="shared" ca="1" si="124"/>
        <v>2.3170420338763129E-2</v>
      </c>
      <c r="G1603" s="7">
        <f t="shared" ca="1" si="120"/>
        <v>207.71425770976458</v>
      </c>
      <c r="H1603" s="7">
        <f ca="1">(G1603+DCF!$D$40+DCF!$D$41+DCF!$D$42-DCF!$D$43-DCF!$D$44)/DCF!$C$35</f>
        <v>1.8144331059361358</v>
      </c>
    </row>
    <row r="1604" spans="3:8" x14ac:dyDescent="0.35">
      <c r="C1604" s="8">
        <f t="shared" ca="1" si="121"/>
        <v>0.49280998900574735</v>
      </c>
      <c r="D1604" s="7">
        <f t="shared" ca="1" si="122"/>
        <v>8.6208740002480203E-2</v>
      </c>
      <c r="E1604" s="7">
        <f t="shared" ca="1" si="123"/>
        <v>0.76873675293594912</v>
      </c>
      <c r="F1604" s="7">
        <f t="shared" ca="1" si="124"/>
        <v>2.3199069959717995E-2</v>
      </c>
      <c r="G1604" s="7">
        <f t="shared" ca="1" si="120"/>
        <v>263.44314844217092</v>
      </c>
      <c r="H1604" s="7">
        <f ca="1">(G1604+DCF!$D$40+DCF!$D$41+DCF!$D$42-DCF!$D$43-DCF!$D$44)/DCF!$C$35</f>
        <v>2.1289657322619422</v>
      </c>
    </row>
    <row r="1605" spans="3:8" x14ac:dyDescent="0.35">
      <c r="C1605" s="8">
        <f t="shared" ca="1" si="121"/>
        <v>1.7192550274697016E-2</v>
      </c>
      <c r="D1605" s="7">
        <f t="shared" ca="1" si="122"/>
        <v>7.2884648043168077E-2</v>
      </c>
      <c r="E1605" s="7">
        <f t="shared" ca="1" si="123"/>
        <v>0.10309668668485394</v>
      </c>
      <c r="F1605" s="7">
        <f t="shared" ca="1" si="124"/>
        <v>1.4540852049667638E-2</v>
      </c>
      <c r="G1605" s="7">
        <f t="shared" ca="1" si="120"/>
        <v>298.33565186964211</v>
      </c>
      <c r="H1605" s="7">
        <f ca="1">(G1605+DCF!$D$40+DCF!$D$41+DCF!$D$42-DCF!$D$43-DCF!$D$44)/DCF!$C$35</f>
        <v>2.3258982496311216</v>
      </c>
    </row>
    <row r="1606" spans="3:8" x14ac:dyDescent="0.35">
      <c r="C1606" s="8">
        <f t="shared" ca="1" si="121"/>
        <v>0.10303436497119001</v>
      </c>
      <c r="D1606" s="7">
        <f t="shared" ca="1" si="122"/>
        <v>7.7061772627751199E-2</v>
      </c>
      <c r="E1606" s="7">
        <f t="shared" ca="1" si="123"/>
        <v>6.983237201416137E-3</v>
      </c>
      <c r="F1606" s="7">
        <f t="shared" ca="1" si="124"/>
        <v>1.1181798392401694E-2</v>
      </c>
      <c r="G1606" s="7">
        <f t="shared" ca="1" si="120"/>
        <v>266.80007607390314</v>
      </c>
      <c r="H1606" s="7">
        <f ca="1">(G1606+DCF!$D$40+DCF!$D$41+DCF!$D$42-DCF!$D$43-DCF!$D$44)/DCF!$C$35</f>
        <v>2.1479121575454516</v>
      </c>
    </row>
    <row r="1607" spans="3:8" x14ac:dyDescent="0.35">
      <c r="C1607" s="8">
        <f t="shared" ca="1" si="121"/>
        <v>0.88690258127276689</v>
      </c>
      <c r="D1607" s="7">
        <f t="shared" ca="1" si="122"/>
        <v>9.8765378542220839E-2</v>
      </c>
      <c r="E1607" s="7">
        <f t="shared" ca="1" si="123"/>
        <v>0.89725994337616566</v>
      </c>
      <c r="F1607" s="7">
        <f t="shared" ca="1" si="124"/>
        <v>2.546700856775938E-2</v>
      </c>
      <c r="G1607" s="7">
        <f t="shared" ca="1" si="120"/>
        <v>222.16844198874475</v>
      </c>
      <c r="H1607" s="7">
        <f ca="1">(G1607+DCF!$D$40+DCF!$D$41+DCF!$D$42-DCF!$D$43-DCF!$D$44)/DCF!$C$35</f>
        <v>1.8960122022166426</v>
      </c>
    </row>
    <row r="1608" spans="3:8" x14ac:dyDescent="0.35">
      <c r="C1608" s="8">
        <f t="shared" ca="1" si="121"/>
        <v>0.16229379517338272</v>
      </c>
      <c r="D1608" s="7">
        <f t="shared" ca="1" si="122"/>
        <v>7.8862854893538392E-2</v>
      </c>
      <c r="E1608" s="7">
        <f t="shared" ca="1" si="123"/>
        <v>0.90317139535950131</v>
      </c>
      <c r="F1608" s="7">
        <f t="shared" ca="1" si="124"/>
        <v>2.5599349942553969E-2</v>
      </c>
      <c r="G1608" s="7">
        <f t="shared" ca="1" si="120"/>
        <v>310.35487319156118</v>
      </c>
      <c r="H1608" s="7">
        <f ca="1">(G1608+DCF!$D$40+DCF!$D$41+DCF!$D$42-DCF!$D$43-DCF!$D$44)/DCF!$C$35</f>
        <v>2.3937344688540532</v>
      </c>
    </row>
    <row r="1609" spans="3:8" x14ac:dyDescent="0.35">
      <c r="C1609" s="8">
        <f t="shared" ca="1" si="121"/>
        <v>0.57501391054682904</v>
      </c>
      <c r="D1609" s="7">
        <f t="shared" ca="1" si="122"/>
        <v>8.8221926719065841E-2</v>
      </c>
      <c r="E1609" s="7">
        <f t="shared" ca="1" si="123"/>
        <v>0.79377096712908013</v>
      </c>
      <c r="F1609" s="7">
        <f t="shared" ca="1" si="124"/>
        <v>2.3577710176721701E-2</v>
      </c>
      <c r="G1609" s="7">
        <f t="shared" ca="1" si="120"/>
        <v>255.96405418244376</v>
      </c>
      <c r="H1609" s="7">
        <f ca="1">(G1609+DCF!$D$40+DCF!$D$41+DCF!$D$42-DCF!$D$43-DCF!$D$44)/DCF!$C$35</f>
        <v>2.0867538897304647</v>
      </c>
    </row>
    <row r="1610" spans="3:8" x14ac:dyDescent="0.35">
      <c r="C1610" s="8">
        <f t="shared" ca="1" si="121"/>
        <v>0.1301227646232439</v>
      </c>
      <c r="D1610" s="7">
        <f t="shared" ca="1" si="122"/>
        <v>7.7935957288043464E-2</v>
      </c>
      <c r="E1610" s="7">
        <f t="shared" ca="1" si="123"/>
        <v>0.36692573403415774</v>
      </c>
      <c r="F1610" s="7">
        <f t="shared" ca="1" si="124"/>
        <v>1.8566513106674825E-2</v>
      </c>
      <c r="G1610" s="7">
        <f t="shared" ca="1" si="120"/>
        <v>287.01748771393119</v>
      </c>
      <c r="H1610" s="7">
        <f ca="1">(G1610+DCF!$D$40+DCF!$D$41+DCF!$D$42-DCF!$D$43-DCF!$D$44)/DCF!$C$35</f>
        <v>2.2620187815438038</v>
      </c>
    </row>
    <row r="1611" spans="3:8" x14ac:dyDescent="0.35">
      <c r="C1611" s="8">
        <f t="shared" ca="1" si="121"/>
        <v>8.7484860760753569E-2</v>
      </c>
      <c r="D1611" s="7">
        <f t="shared" ca="1" si="122"/>
        <v>7.6507124757387454E-2</v>
      </c>
      <c r="E1611" s="7">
        <f t="shared" ca="1" si="123"/>
        <v>0.14844689811127654</v>
      </c>
      <c r="F1611" s="7">
        <f t="shared" ca="1" si="124"/>
        <v>1.5448796162663392E-2</v>
      </c>
      <c r="G1611" s="7">
        <f t="shared" ca="1" si="120"/>
        <v>283.05742699117786</v>
      </c>
      <c r="H1611" s="7">
        <f ca="1">(G1611+DCF!$D$40+DCF!$D$41+DCF!$D$42-DCF!$D$43-DCF!$D$44)/DCF!$C$35</f>
        <v>2.2396682864385249</v>
      </c>
    </row>
    <row r="1612" spans="3:8" x14ac:dyDescent="0.35">
      <c r="C1612" s="8">
        <f t="shared" ca="1" si="121"/>
        <v>0.72293677402980139</v>
      </c>
      <c r="D1612" s="7">
        <f t="shared" ca="1" si="122"/>
        <v>9.2415843489585814E-2</v>
      </c>
      <c r="E1612" s="7">
        <f t="shared" ca="1" si="123"/>
        <v>0.55269801567779286</v>
      </c>
      <c r="F1612" s="7">
        <f t="shared" ca="1" si="124"/>
        <v>2.0541649358136408E-2</v>
      </c>
      <c r="G1612" s="7">
        <f t="shared" ca="1" si="120"/>
        <v>232.29197517222474</v>
      </c>
      <c r="H1612" s="7">
        <f ca="1">(G1612+DCF!$D$40+DCF!$D$41+DCF!$D$42-DCF!$D$43-DCF!$D$44)/DCF!$C$35</f>
        <v>1.9531491995271741</v>
      </c>
    </row>
    <row r="1613" spans="3:8" x14ac:dyDescent="0.35">
      <c r="C1613" s="8">
        <f t="shared" ca="1" si="121"/>
        <v>0.84424254848059499</v>
      </c>
      <c r="D1613" s="7">
        <f t="shared" ca="1" si="122"/>
        <v>9.681571708830336E-2</v>
      </c>
      <c r="E1613" s="7">
        <f t="shared" ca="1" si="123"/>
        <v>0.3701430611266362</v>
      </c>
      <c r="F1613" s="7">
        <f t="shared" ca="1" si="124"/>
        <v>1.8603988158134993E-2</v>
      </c>
      <c r="G1613" s="7">
        <f t="shared" ca="1" si="120"/>
        <v>214.34617883767967</v>
      </c>
      <c r="H1613" s="7">
        <f ca="1">(G1613+DCF!$D$40+DCF!$D$41+DCF!$D$42-DCF!$D$43-DCF!$D$44)/DCF!$C$35</f>
        <v>1.8518635220548574</v>
      </c>
    </row>
    <row r="1614" spans="3:8" x14ac:dyDescent="0.35">
      <c r="C1614" s="8">
        <f t="shared" ca="1" si="121"/>
        <v>0.46497531827089944</v>
      </c>
      <c r="D1614" s="7">
        <f t="shared" ca="1" si="122"/>
        <v>8.5564625134660288E-2</v>
      </c>
      <c r="E1614" s="7">
        <f t="shared" ca="1" si="123"/>
        <v>6.3268158609731673E-2</v>
      </c>
      <c r="F1614" s="7">
        <f t="shared" ca="1" si="124"/>
        <v>1.3557194361002268E-2</v>
      </c>
      <c r="G1614" s="7">
        <f t="shared" ca="1" si="120"/>
        <v>239.87101228288586</v>
      </c>
      <c r="H1614" s="7">
        <f ca="1">(G1614+DCF!$D$40+DCF!$D$41+DCF!$D$42-DCF!$D$43-DCF!$D$44)/DCF!$C$35</f>
        <v>1.995925117298148</v>
      </c>
    </row>
    <row r="1615" spans="3:8" x14ac:dyDescent="0.35">
      <c r="C1615" s="8">
        <f t="shared" ca="1" si="121"/>
        <v>2.1315472216616671E-2</v>
      </c>
      <c r="D1615" s="7">
        <f t="shared" ca="1" si="122"/>
        <v>7.321196023525238E-2</v>
      </c>
      <c r="E1615" s="7">
        <f t="shared" ca="1" si="123"/>
        <v>0.88871501514977269</v>
      </c>
      <c r="F1615" s="7">
        <f t="shared" ca="1" si="124"/>
        <v>2.5282267814929989E-2</v>
      </c>
      <c r="G1615" s="7">
        <f t="shared" ca="1" si="120"/>
        <v>346.94784279727958</v>
      </c>
      <c r="H1615" s="7">
        <f ca="1">(G1615+DCF!$D$40+DCF!$D$41+DCF!$D$42-DCF!$D$43-DCF!$D$44)/DCF!$C$35</f>
        <v>2.6002643797114775</v>
      </c>
    </row>
    <row r="1616" spans="3:8" x14ac:dyDescent="0.35">
      <c r="C1616" s="8">
        <f t="shared" ca="1" si="121"/>
        <v>0.71731357439230514</v>
      </c>
      <c r="D1616" s="7">
        <f t="shared" ca="1" si="122"/>
        <v>9.2238298195888233E-2</v>
      </c>
      <c r="E1616" s="7">
        <f t="shared" ca="1" si="123"/>
        <v>3.0114946560626077E-2</v>
      </c>
      <c r="F1616" s="7">
        <f t="shared" ca="1" si="124"/>
        <v>1.2454177930005323E-2</v>
      </c>
      <c r="G1616" s="7">
        <f t="shared" ref="G1616:G1679" ca="1" si="125">$C$11/(1+D1616)^1
 +$D$11/(1+D1616)^2
 +$E$11/(1+D1616)^3
 +$F$11/(1+D1616)^4
 +$G$11/(1+D1616)^5
 +$H$11/(1+D1616)^6
 +$I$11/(1+D1616)^7
 + ( $I$11*(1+F1616)/(D1616-F1616) )/(1+D1616)^7</f>
        <v>216.12400148819574</v>
      </c>
      <c r="H1616" s="7">
        <f ca="1">(G1616+DCF!$D$40+DCF!$D$41+DCF!$D$42-DCF!$D$43-DCF!$D$44)/DCF!$C$35</f>
        <v>1.8618975137611227</v>
      </c>
    </row>
    <row r="1617" spans="3:8" x14ac:dyDescent="0.35">
      <c r="C1617" s="8">
        <f t="shared" ref="C1617:C1680" ca="1" si="126">RAND()</f>
        <v>0.56138119906808259</v>
      </c>
      <c r="D1617" s="7">
        <f t="shared" ref="D1617:D1680" ca="1" si="127">IF(C1617&lt;($C$6-0.07)/(0.11-0.07),0.07+SQRT(C1617*(0.11-0.07)*($C$6-0.07)),0.11-SQRT((1-C1617)*(0.11-0.07)*(0.11-$C$6)))</f>
        <v>8.7875385159510239E-2</v>
      </c>
      <c r="E1617" s="7">
        <f t="shared" ref="E1617:E1680" ca="1" si="128">RAND()</f>
        <v>0.36056994758672911</v>
      </c>
      <c r="F1617" s="7">
        <f t="shared" ref="F1617:F1680" ca="1" si="129">MIN(
 IF(E1617&lt;(0.02-0.01)/(0.03-0.01),
   0.01+SQRT(E1617*(0.03-0.01)*(0.02-0.01)),
   0.03-SQRT((1-E1617)*(0.03-0.01)*(0.03-0.02))
 ),
 D1617-0.005
)</f>
        <v>1.8491995614538778E-2</v>
      </c>
      <c r="G1617" s="7">
        <f t="shared" ca="1" si="125"/>
        <v>243.55869401041093</v>
      </c>
      <c r="H1617" s="7">
        <f ca="1">(G1617+DCF!$D$40+DCF!$D$41+DCF!$D$42-DCF!$D$43-DCF!$D$44)/DCF!$C$35</f>
        <v>2.0167383113805788</v>
      </c>
    </row>
    <row r="1618" spans="3:8" x14ac:dyDescent="0.35">
      <c r="C1618" s="8">
        <f t="shared" ca="1" si="126"/>
        <v>0.67732177996133491</v>
      </c>
      <c r="D1618" s="7">
        <f t="shared" ca="1" si="127"/>
        <v>9.1023464658606668E-2</v>
      </c>
      <c r="E1618" s="7">
        <f t="shared" ca="1" si="128"/>
        <v>0.66966019048707048</v>
      </c>
      <c r="F1618" s="7">
        <f t="shared" ca="1" si="129"/>
        <v>2.1871779905625964E-2</v>
      </c>
      <c r="G1618" s="7">
        <f t="shared" ca="1" si="125"/>
        <v>240.41355746979468</v>
      </c>
      <c r="H1618" s="7">
        <f ca="1">(G1618+DCF!$D$40+DCF!$D$41+DCF!$D$42-DCF!$D$43-DCF!$D$44)/DCF!$C$35</f>
        <v>1.9989872303295781</v>
      </c>
    </row>
    <row r="1619" spans="3:8" x14ac:dyDescent="0.35">
      <c r="C1619" s="8">
        <f t="shared" ca="1" si="126"/>
        <v>0.44166649643679345</v>
      </c>
      <c r="D1619" s="7">
        <f t="shared" ca="1" si="127"/>
        <v>8.5038025118662222E-2</v>
      </c>
      <c r="E1619" s="7">
        <f t="shared" ca="1" si="128"/>
        <v>0.59348587631384775</v>
      </c>
      <c r="F1619" s="7">
        <f t="shared" ca="1" si="129"/>
        <v>2.0983192098240615E-2</v>
      </c>
      <c r="G1619" s="7">
        <f t="shared" ca="1" si="125"/>
        <v>261.77904163062061</v>
      </c>
      <c r="H1619" s="7">
        <f ca="1">(G1619+DCF!$D$40+DCF!$D$41+DCF!$D$42-DCF!$D$43-DCF!$D$44)/DCF!$C$35</f>
        <v>2.1195735502349056</v>
      </c>
    </row>
    <row r="1620" spans="3:8" x14ac:dyDescent="0.35">
      <c r="C1620" s="8">
        <f t="shared" ca="1" si="126"/>
        <v>0.3648938179177571</v>
      </c>
      <c r="D1620" s="7">
        <f t="shared" ca="1" si="127"/>
        <v>8.3377105732024878E-2</v>
      </c>
      <c r="E1620" s="7">
        <f t="shared" ca="1" si="128"/>
        <v>0.47799382368987486</v>
      </c>
      <c r="F1620" s="7">
        <f t="shared" ca="1" si="129"/>
        <v>1.9777462080620666E-2</v>
      </c>
      <c r="G1620" s="7">
        <f t="shared" ca="1" si="125"/>
        <v>265.336161029854</v>
      </c>
      <c r="H1620" s="7">
        <f ca="1">(G1620+DCF!$D$40+DCF!$D$41+DCF!$D$42-DCF!$D$43-DCF!$D$44)/DCF!$C$35</f>
        <v>2.1396498534250705</v>
      </c>
    </row>
    <row r="1621" spans="3:8" x14ac:dyDescent="0.35">
      <c r="C1621" s="8">
        <f t="shared" ca="1" si="126"/>
        <v>0.31575670964765878</v>
      </c>
      <c r="D1621" s="7">
        <f t="shared" ca="1" si="127"/>
        <v>8.2366406096325215E-2</v>
      </c>
      <c r="E1621" s="7">
        <f t="shared" ca="1" si="128"/>
        <v>0.37583121951287879</v>
      </c>
      <c r="F1621" s="7">
        <f t="shared" ca="1" si="129"/>
        <v>1.8669846821171395E-2</v>
      </c>
      <c r="G1621" s="7">
        <f t="shared" ca="1" si="125"/>
        <v>266.37246538423295</v>
      </c>
      <c r="H1621" s="7">
        <f ca="1">(G1621+DCF!$D$40+DCF!$D$41+DCF!$D$42-DCF!$D$43-DCF!$D$44)/DCF!$C$35</f>
        <v>2.1454987322735803</v>
      </c>
    </row>
    <row r="1622" spans="3:8" x14ac:dyDescent="0.35">
      <c r="C1622" s="8">
        <f t="shared" ca="1" si="126"/>
        <v>0.54382561299167942</v>
      </c>
      <c r="D1622" s="7">
        <f t="shared" ca="1" si="127"/>
        <v>8.7436963504410908E-2</v>
      </c>
      <c r="E1622" s="7">
        <f t="shared" ca="1" si="128"/>
        <v>0.95016132608471726</v>
      </c>
      <c r="F1622" s="7">
        <f t="shared" ca="1" si="129"/>
        <v>2.6842828040309404E-2</v>
      </c>
      <c r="G1622" s="7">
        <f t="shared" ca="1" si="125"/>
        <v>269.55519136694863</v>
      </c>
      <c r="H1622" s="7">
        <f ca="1">(G1622+DCF!$D$40+DCF!$D$41+DCF!$D$42-DCF!$D$43-DCF!$D$44)/DCF!$C$35</f>
        <v>2.163461967304146</v>
      </c>
    </row>
    <row r="1623" spans="3:8" x14ac:dyDescent="0.35">
      <c r="C1623" s="8">
        <f t="shared" ca="1" si="126"/>
        <v>7.5294139787212111E-2</v>
      </c>
      <c r="D1623" s="7">
        <f t="shared" ca="1" si="127"/>
        <v>7.6036751084566159E-2</v>
      </c>
      <c r="E1623" s="7">
        <f t="shared" ca="1" si="128"/>
        <v>2.138851230229033E-2</v>
      </c>
      <c r="F1623" s="7">
        <f t="shared" ca="1" si="129"/>
        <v>1.2068260733190587E-2</v>
      </c>
      <c r="G1623" s="7">
        <f t="shared" ca="1" si="125"/>
        <v>274.05652630249256</v>
      </c>
      <c r="H1623" s="7">
        <f ca="1">(G1623+DCF!$D$40+DCF!$D$41+DCF!$D$42-DCF!$D$43-DCF!$D$44)/DCF!$C$35</f>
        <v>2.1888674020910517</v>
      </c>
    </row>
    <row r="1624" spans="3:8" x14ac:dyDescent="0.35">
      <c r="C1624" s="8">
        <f t="shared" ca="1" si="126"/>
        <v>0.86290738259533217</v>
      </c>
      <c r="D1624" s="7">
        <f t="shared" ca="1" si="127"/>
        <v>9.7630870644074857E-2</v>
      </c>
      <c r="E1624" s="7">
        <f t="shared" ca="1" si="128"/>
        <v>0.2678419446800574</v>
      </c>
      <c r="F1624" s="7">
        <f t="shared" ca="1" si="129"/>
        <v>1.7319042897538686E-2</v>
      </c>
      <c r="G1624" s="7">
        <f t="shared" ca="1" si="125"/>
        <v>209.65896545752102</v>
      </c>
      <c r="H1624" s="7">
        <f ca="1">(G1624+DCF!$D$40+DCF!$D$41+DCF!$D$42-DCF!$D$43-DCF!$D$44)/DCF!$C$35</f>
        <v>1.8254089934389943</v>
      </c>
    </row>
    <row r="1625" spans="3:8" x14ac:dyDescent="0.35">
      <c r="C1625" s="8">
        <f t="shared" ca="1" si="126"/>
        <v>0.40982567688315474</v>
      </c>
      <c r="D1625" s="7">
        <f t="shared" ca="1" si="127"/>
        <v>8.4336123741757196E-2</v>
      </c>
      <c r="E1625" s="7">
        <f t="shared" ca="1" si="128"/>
        <v>6.7304204539632151E-2</v>
      </c>
      <c r="F1625" s="7">
        <f t="shared" ca="1" si="129"/>
        <v>1.3668901866761556E-2</v>
      </c>
      <c r="G1625" s="7">
        <f t="shared" ca="1" si="125"/>
        <v>244.58471083952406</v>
      </c>
      <c r="H1625" s="7">
        <f ca="1">(G1625+DCF!$D$40+DCF!$D$41+DCF!$D$42-DCF!$D$43-DCF!$D$44)/DCF!$C$35</f>
        <v>2.0225291276640931</v>
      </c>
    </row>
    <row r="1626" spans="3:8" x14ac:dyDescent="0.35">
      <c r="C1626" s="8">
        <f t="shared" ca="1" si="126"/>
        <v>0.47722453327797909</v>
      </c>
      <c r="D1626" s="7">
        <f t="shared" ca="1" si="127"/>
        <v>8.5845964708525929E-2</v>
      </c>
      <c r="E1626" s="7">
        <f t="shared" ca="1" si="128"/>
        <v>0.79548119251385863</v>
      </c>
      <c r="F1626" s="7">
        <f t="shared" ca="1" si="129"/>
        <v>2.3604395142191141E-2</v>
      </c>
      <c r="G1626" s="7">
        <f t="shared" ca="1" si="125"/>
        <v>266.32446859155118</v>
      </c>
      <c r="H1626" s="7">
        <f ca="1">(G1626+DCF!$D$40+DCF!$D$41+DCF!$D$42-DCF!$D$43-DCF!$D$44)/DCF!$C$35</f>
        <v>2.1452278394375841</v>
      </c>
    </row>
    <row r="1627" spans="3:8" x14ac:dyDescent="0.35">
      <c r="C1627" s="8">
        <f t="shared" ca="1" si="126"/>
        <v>0.40425566578880223</v>
      </c>
      <c r="D1627" s="7">
        <f t="shared" ca="1" si="127"/>
        <v>8.421530149527251E-2</v>
      </c>
      <c r="E1627" s="7">
        <f t="shared" ca="1" si="128"/>
        <v>0.88629695515389806</v>
      </c>
      <c r="F1627" s="7">
        <f t="shared" ca="1" si="129"/>
        <v>2.5231288542046145E-2</v>
      </c>
      <c r="G1627" s="7">
        <f t="shared" ca="1" si="125"/>
        <v>279.49525280674072</v>
      </c>
      <c r="H1627" s="7">
        <f ca="1">(G1627+DCF!$D$40+DCF!$D$41+DCF!$D$42-DCF!$D$43-DCF!$D$44)/DCF!$C$35</f>
        <v>2.2195634541525044</v>
      </c>
    </row>
    <row r="1628" spans="3:8" x14ac:dyDescent="0.35">
      <c r="C1628" s="8">
        <f t="shared" ca="1" si="126"/>
        <v>0.63183026590639668</v>
      </c>
      <c r="D1628" s="7">
        <f t="shared" ca="1" si="127"/>
        <v>8.9729888425357368E-2</v>
      </c>
      <c r="E1628" s="7">
        <f t="shared" ca="1" si="128"/>
        <v>0.27593502872651199</v>
      </c>
      <c r="F1628" s="7">
        <f t="shared" ca="1" si="129"/>
        <v>1.7428795712987562E-2</v>
      </c>
      <c r="G1628" s="7">
        <f t="shared" ca="1" si="125"/>
        <v>234.35966270474614</v>
      </c>
      <c r="H1628" s="7">
        <f ca="1">(G1628+DCF!$D$40+DCF!$D$41+DCF!$D$42-DCF!$D$43-DCF!$D$44)/DCF!$C$35</f>
        <v>1.9648191822143928</v>
      </c>
    </row>
    <row r="1629" spans="3:8" x14ac:dyDescent="0.35">
      <c r="C1629" s="8">
        <f t="shared" ca="1" si="126"/>
        <v>0.68898097767139055</v>
      </c>
      <c r="D1629" s="7">
        <f t="shared" ca="1" si="127"/>
        <v>9.1369454411673073E-2</v>
      </c>
      <c r="E1629" s="7">
        <f t="shared" ca="1" si="128"/>
        <v>0.4153594083733273</v>
      </c>
      <c r="F1629" s="7">
        <f t="shared" ca="1" si="129"/>
        <v>1.9114377744786831E-2</v>
      </c>
      <c r="G1629" s="7">
        <f t="shared" ca="1" si="125"/>
        <v>232.60210503909695</v>
      </c>
      <c r="H1629" s="7">
        <f ca="1">(G1629+DCF!$D$40+DCF!$D$41+DCF!$D$42-DCF!$D$43-DCF!$D$44)/DCF!$C$35</f>
        <v>1.9548995656343657</v>
      </c>
    </row>
    <row r="1630" spans="3:8" x14ac:dyDescent="0.35">
      <c r="C1630" s="8">
        <f t="shared" ca="1" si="126"/>
        <v>0.12244524744042495</v>
      </c>
      <c r="D1630" s="7">
        <f t="shared" ca="1" si="127"/>
        <v>7.7698279012946056E-2</v>
      </c>
      <c r="E1630" s="7">
        <f t="shared" ca="1" si="128"/>
        <v>0.1703154180185581</v>
      </c>
      <c r="F1630" s="7">
        <f t="shared" ca="1" si="129"/>
        <v>1.5836358762422991E-2</v>
      </c>
      <c r="G1630" s="7">
        <f t="shared" ca="1" si="125"/>
        <v>278.63325923278296</v>
      </c>
      <c r="H1630" s="7">
        <f ca="1">(G1630+DCF!$D$40+DCF!$D$41+DCF!$D$42-DCF!$D$43-DCF!$D$44)/DCF!$C$35</f>
        <v>2.2146983814921715</v>
      </c>
    </row>
    <row r="1631" spans="3:8" x14ac:dyDescent="0.35">
      <c r="C1631" s="8">
        <f t="shared" ca="1" si="126"/>
        <v>0.87135297178344362</v>
      </c>
      <c r="D1631" s="7">
        <f t="shared" ca="1" si="127"/>
        <v>9.8017926578021775E-2</v>
      </c>
      <c r="E1631" s="7">
        <f t="shared" ca="1" si="128"/>
        <v>0.18043767709568681</v>
      </c>
      <c r="F1631" s="7">
        <f t="shared" ca="1" si="129"/>
        <v>1.6007290189356375E-2</v>
      </c>
      <c r="G1631" s="7">
        <f t="shared" ca="1" si="125"/>
        <v>206.30664896565423</v>
      </c>
      <c r="H1631" s="7">
        <f ca="1">(G1631+DCF!$D$40+DCF!$D$41+DCF!$D$42-DCF!$D$43-DCF!$D$44)/DCF!$C$35</f>
        <v>1.8064885933268666</v>
      </c>
    </row>
    <row r="1632" spans="3:8" x14ac:dyDescent="0.35">
      <c r="C1632" s="8">
        <f t="shared" ca="1" si="126"/>
        <v>0.20889770960085019</v>
      </c>
      <c r="D1632" s="7">
        <f t="shared" ca="1" si="127"/>
        <v>8.0055172372804531E-2</v>
      </c>
      <c r="E1632" s="7">
        <f t="shared" ca="1" si="128"/>
        <v>0.5858643672900602</v>
      </c>
      <c r="F1632" s="7">
        <f t="shared" ca="1" si="129"/>
        <v>2.0899059029859168E-2</v>
      </c>
      <c r="G1632" s="7">
        <f t="shared" ca="1" si="125"/>
        <v>284.75011765461011</v>
      </c>
      <c r="H1632" s="7">
        <f ca="1">(G1632+DCF!$D$40+DCF!$D$41+DCF!$D$42-DCF!$D$43-DCF!$D$44)/DCF!$C$35</f>
        <v>2.2492217950931828</v>
      </c>
    </row>
    <row r="1633" spans="3:8" x14ac:dyDescent="0.35">
      <c r="C1633" s="8">
        <f t="shared" ca="1" si="126"/>
        <v>8.277197066159836E-2</v>
      </c>
      <c r="D1633" s="7">
        <f t="shared" ca="1" si="127"/>
        <v>7.6329426024547065E-2</v>
      </c>
      <c r="E1633" s="7">
        <f t="shared" ca="1" si="128"/>
        <v>0.26528702238281554</v>
      </c>
      <c r="F1633" s="7">
        <f t="shared" ca="1" si="129"/>
        <v>1.7284051377946419E-2</v>
      </c>
      <c r="G1633" s="7">
        <f t="shared" ca="1" si="125"/>
        <v>290.54571744296271</v>
      </c>
      <c r="H1633" s="7">
        <f ca="1">(G1633+DCF!$D$40+DCF!$D$41+DCF!$D$42-DCF!$D$43-DCF!$D$44)/DCF!$C$35</f>
        <v>2.2819320320745158</v>
      </c>
    </row>
    <row r="1634" spans="3:8" x14ac:dyDescent="0.35">
      <c r="C1634" s="8">
        <f t="shared" ca="1" si="126"/>
        <v>0.86268451418004621</v>
      </c>
      <c r="D1634" s="7">
        <f t="shared" ca="1" si="127"/>
        <v>9.7620820617865325E-2</v>
      </c>
      <c r="E1634" s="7">
        <f t="shared" ca="1" si="128"/>
        <v>0.96543445331733246</v>
      </c>
      <c r="F1634" s="7">
        <f t="shared" ca="1" si="129"/>
        <v>2.7370720757216246E-2</v>
      </c>
      <c r="G1634" s="7">
        <f t="shared" ca="1" si="125"/>
        <v>230.21660929899556</v>
      </c>
      <c r="H1634" s="7">
        <f ca="1">(G1634+DCF!$D$40+DCF!$D$41+DCF!$D$42-DCF!$D$43-DCF!$D$44)/DCF!$C$35</f>
        <v>1.9414358804548792</v>
      </c>
    </row>
    <row r="1635" spans="3:8" x14ac:dyDescent="0.35">
      <c r="C1635" s="8">
        <f t="shared" ca="1" si="126"/>
        <v>1.4316041067207186E-3</v>
      </c>
      <c r="D1635" s="7">
        <f t="shared" ca="1" si="127"/>
        <v>7.0832403981040959E-2</v>
      </c>
      <c r="E1635" s="7">
        <f t="shared" ca="1" si="128"/>
        <v>0.39998391331223093</v>
      </c>
      <c r="F1635" s="7">
        <f t="shared" ca="1" si="129"/>
        <v>1.8944092053553907E-2</v>
      </c>
      <c r="G1635" s="7">
        <f t="shared" ca="1" si="125"/>
        <v>329.95239177057442</v>
      </c>
      <c r="H1635" s="7">
        <f ca="1">(G1635+DCF!$D$40+DCF!$D$41+DCF!$D$42-DCF!$D$43-DCF!$D$44)/DCF!$C$35</f>
        <v>2.5043424301307957</v>
      </c>
    </row>
    <row r="1636" spans="3:8" x14ac:dyDescent="0.35">
      <c r="C1636" s="8">
        <f t="shared" ca="1" si="126"/>
        <v>0.2914535311131885</v>
      </c>
      <c r="D1636" s="7">
        <f t="shared" ca="1" si="127"/>
        <v>8.1877015999769612E-2</v>
      </c>
      <c r="E1636" s="7">
        <f t="shared" ca="1" si="128"/>
        <v>0.54958388241802236</v>
      </c>
      <c r="F1636" s="7">
        <f t="shared" ca="1" si="129"/>
        <v>2.0508781768582313E-2</v>
      </c>
      <c r="G1636" s="7">
        <f t="shared" ca="1" si="125"/>
        <v>274.5058106234635</v>
      </c>
      <c r="H1636" s="7">
        <f ca="1">(G1636+DCF!$D$40+DCF!$D$41+DCF!$D$42-DCF!$D$43-DCF!$D$44)/DCF!$C$35</f>
        <v>2.1914031528584688</v>
      </c>
    </row>
    <row r="1637" spans="3:8" x14ac:dyDescent="0.35">
      <c r="C1637" s="8">
        <f t="shared" ca="1" si="126"/>
        <v>0.62300136597839795</v>
      </c>
      <c r="D1637" s="7">
        <f t="shared" ca="1" si="127"/>
        <v>8.9488284431376602E-2</v>
      </c>
      <c r="E1637" s="7">
        <f t="shared" ca="1" si="128"/>
        <v>0.32215793847800134</v>
      </c>
      <c r="F1637" s="7">
        <f t="shared" ca="1" si="129"/>
        <v>1.802692890809432E-2</v>
      </c>
      <c r="G1637" s="7">
        <f t="shared" ca="1" si="125"/>
        <v>236.59375023371388</v>
      </c>
      <c r="H1637" s="7">
        <f ca="1">(G1637+DCF!$D$40+DCF!$D$41+DCF!$D$42-DCF!$D$43-DCF!$D$44)/DCF!$C$35</f>
        <v>1.9774283228000555</v>
      </c>
    </row>
    <row r="1638" spans="3:8" x14ac:dyDescent="0.35">
      <c r="C1638" s="8">
        <f t="shared" ca="1" si="126"/>
        <v>0.69741866706606581</v>
      </c>
      <c r="D1638" s="7">
        <f t="shared" ca="1" si="127"/>
        <v>9.1623907718062836E-2</v>
      </c>
      <c r="E1638" s="7">
        <f t="shared" ca="1" si="128"/>
        <v>7.7952877870357651E-2</v>
      </c>
      <c r="F1638" s="7">
        <f t="shared" ca="1" si="129"/>
        <v>1.394849029048718E-2</v>
      </c>
      <c r="G1638" s="7">
        <f t="shared" ca="1" si="125"/>
        <v>220.81543422509424</v>
      </c>
      <c r="H1638" s="7">
        <f ca="1">(G1638+DCF!$D$40+DCF!$D$41+DCF!$D$42-DCF!$D$43-DCF!$D$44)/DCF!$C$35</f>
        <v>1.888375856333075</v>
      </c>
    </row>
    <row r="1639" spans="3:8" x14ac:dyDescent="0.35">
      <c r="C1639" s="8">
        <f t="shared" ca="1" si="126"/>
        <v>8.0201732380244528E-2</v>
      </c>
      <c r="D1639" s="7">
        <f t="shared" ca="1" si="127"/>
        <v>7.623038028309978E-2</v>
      </c>
      <c r="E1639" s="7">
        <f t="shared" ca="1" si="128"/>
        <v>0.9687210759461935</v>
      </c>
      <c r="F1639" s="7">
        <f t="shared" ca="1" si="129"/>
        <v>2.7498843305436203E-2</v>
      </c>
      <c r="G1639" s="7">
        <f t="shared" ca="1" si="125"/>
        <v>337.16603162875958</v>
      </c>
      <c r="H1639" s="7">
        <f ca="1">(G1639+DCF!$D$40+DCF!$D$41+DCF!$D$42-DCF!$D$43-DCF!$D$44)/DCF!$C$35</f>
        <v>2.5450560538929881</v>
      </c>
    </row>
    <row r="1640" spans="3:8" x14ac:dyDescent="0.35">
      <c r="C1640" s="8">
        <f t="shared" ca="1" si="126"/>
        <v>0.21291517482415623</v>
      </c>
      <c r="D1640" s="7">
        <f t="shared" ca="1" si="127"/>
        <v>8.0151401115850548E-2</v>
      </c>
      <c r="E1640" s="7">
        <f t="shared" ca="1" si="128"/>
        <v>0.89348348233877228</v>
      </c>
      <c r="F1640" s="7">
        <f t="shared" ca="1" si="129"/>
        <v>2.5384449812617615E-2</v>
      </c>
      <c r="G1640" s="7">
        <f t="shared" ca="1" si="125"/>
        <v>301.79906583476793</v>
      </c>
      <c r="H1640" s="7">
        <f ca="1">(G1640+DCF!$D$40+DCF!$D$41+DCF!$D$42-DCF!$D$43-DCF!$D$44)/DCF!$C$35</f>
        <v>2.3454456814243589</v>
      </c>
    </row>
    <row r="1641" spans="3:8" x14ac:dyDescent="0.35">
      <c r="C1641" s="8">
        <f t="shared" ca="1" si="126"/>
        <v>0.93549930036087225</v>
      </c>
      <c r="D1641" s="7">
        <f t="shared" ca="1" si="127"/>
        <v>0.10151573333768518</v>
      </c>
      <c r="E1641" s="7">
        <f t="shared" ca="1" si="128"/>
        <v>0.22503729960555752</v>
      </c>
      <c r="F1641" s="7">
        <f t="shared" ca="1" si="129"/>
        <v>1.6708759939147583E-2</v>
      </c>
      <c r="G1641" s="7">
        <f t="shared" ca="1" si="125"/>
        <v>198.37094658840999</v>
      </c>
      <c r="H1641" s="7">
        <f ca="1">(G1641+DCF!$D$40+DCF!$D$41+DCF!$D$42-DCF!$D$43-DCF!$D$44)/DCF!$C$35</f>
        <v>1.7616996646823004</v>
      </c>
    </row>
    <row r="1642" spans="3:8" x14ac:dyDescent="0.35">
      <c r="C1642" s="8">
        <f t="shared" ca="1" si="126"/>
        <v>0.46787597110192802</v>
      </c>
      <c r="D1642" s="7">
        <f t="shared" ca="1" si="127"/>
        <v>8.5630953727110118E-2</v>
      </c>
      <c r="E1642" s="7">
        <f t="shared" ca="1" si="128"/>
        <v>9.99681527184485E-2</v>
      </c>
      <c r="F1642" s="7">
        <f t="shared" ca="1" si="129"/>
        <v>1.4471423771427809E-2</v>
      </c>
      <c r="G1642" s="7">
        <f t="shared" ca="1" si="125"/>
        <v>241.82951410758781</v>
      </c>
      <c r="H1642" s="7">
        <f ca="1">(G1642+DCF!$D$40+DCF!$D$41+DCF!$D$42-DCF!$D$43-DCF!$D$44)/DCF!$C$35</f>
        <v>2.006978858266101</v>
      </c>
    </row>
    <row r="1643" spans="3:8" x14ac:dyDescent="0.35">
      <c r="C1643" s="8">
        <f t="shared" ca="1" si="126"/>
        <v>2.218234283590359E-2</v>
      </c>
      <c r="D1643" s="7">
        <f t="shared" ca="1" si="127"/>
        <v>7.3276622335969988E-2</v>
      </c>
      <c r="E1643" s="7">
        <f t="shared" ca="1" si="128"/>
        <v>0.32905292807260722</v>
      </c>
      <c r="F1643" s="7">
        <f t="shared" ca="1" si="129"/>
        <v>1.8112372378935856E-2</v>
      </c>
      <c r="G1643" s="7">
        <f t="shared" ca="1" si="125"/>
        <v>310.76572736076685</v>
      </c>
      <c r="H1643" s="7">
        <f ca="1">(G1643+DCF!$D$40+DCF!$D$41+DCF!$D$42-DCF!$D$43-DCF!$D$44)/DCF!$C$35</f>
        <v>2.3960533206951506</v>
      </c>
    </row>
    <row r="1644" spans="3:8" x14ac:dyDescent="0.35">
      <c r="C1644" s="8">
        <f t="shared" ca="1" si="126"/>
        <v>0.49691627500835744</v>
      </c>
      <c r="D1644" s="7">
        <f t="shared" ca="1" si="127"/>
        <v>8.6305244523509572E-2</v>
      </c>
      <c r="E1644" s="7">
        <f t="shared" ca="1" si="128"/>
        <v>0.77857858967937998</v>
      </c>
      <c r="F1644" s="7">
        <f t="shared" ca="1" si="129"/>
        <v>2.334535635333311E-2</v>
      </c>
      <c r="G1644" s="7">
        <f t="shared" ca="1" si="125"/>
        <v>263.47111539202695</v>
      </c>
      <c r="H1644" s="7">
        <f ca="1">(G1644+DCF!$D$40+DCF!$D$41+DCF!$D$42-DCF!$D$43-DCF!$D$44)/DCF!$C$35</f>
        <v>2.1291235771081776</v>
      </c>
    </row>
    <row r="1645" spans="3:8" x14ac:dyDescent="0.35">
      <c r="C1645" s="8">
        <f t="shared" ca="1" si="126"/>
        <v>0.69403244434109501</v>
      </c>
      <c r="D1645" s="7">
        <f t="shared" ca="1" si="127"/>
        <v>9.1521369311679562E-2</v>
      </c>
      <c r="E1645" s="7">
        <f t="shared" ca="1" si="128"/>
        <v>0.85371529017395442</v>
      </c>
      <c r="F1645" s="7">
        <f t="shared" ca="1" si="129"/>
        <v>2.4591031339967932E-2</v>
      </c>
      <c r="G1645" s="7">
        <f t="shared" ca="1" si="125"/>
        <v>245.54761200949832</v>
      </c>
      <c r="H1645" s="7">
        <f ca="1">(G1645+DCF!$D$40+DCF!$D$41+DCF!$D$42-DCF!$D$43-DCF!$D$44)/DCF!$C$35</f>
        <v>2.0279637205638239</v>
      </c>
    </row>
    <row r="1646" spans="3:8" x14ac:dyDescent="0.35">
      <c r="C1646" s="8">
        <f t="shared" ca="1" si="126"/>
        <v>0.89439816918021275</v>
      </c>
      <c r="D1646" s="7">
        <f t="shared" ca="1" si="127"/>
        <v>9.914405033196623E-2</v>
      </c>
      <c r="E1646" s="7">
        <f t="shared" ca="1" si="128"/>
        <v>0.61146828460460023</v>
      </c>
      <c r="F1646" s="7">
        <f t="shared" ca="1" si="129"/>
        <v>2.1184879860201566E-2</v>
      </c>
      <c r="G1646" s="7">
        <f t="shared" ca="1" si="125"/>
        <v>212.44454531027782</v>
      </c>
      <c r="H1646" s="7">
        <f ca="1">(G1646+DCF!$D$40+DCF!$D$41+DCF!$D$42-DCF!$D$43-DCF!$D$44)/DCF!$C$35</f>
        <v>1.8411307444986895</v>
      </c>
    </row>
    <row r="1647" spans="3:8" x14ac:dyDescent="0.35">
      <c r="C1647" s="8">
        <f t="shared" ca="1" si="126"/>
        <v>0.91285292905591742</v>
      </c>
      <c r="D1647" s="7">
        <f t="shared" ca="1" si="127"/>
        <v>0.10013814768040019</v>
      </c>
      <c r="E1647" s="7">
        <f t="shared" ca="1" si="128"/>
        <v>0.73739040695844438</v>
      </c>
      <c r="F1647" s="7">
        <f t="shared" ca="1" si="129"/>
        <v>2.2752799257070966E-2</v>
      </c>
      <c r="G1647" s="7">
        <f t="shared" ca="1" si="125"/>
        <v>212.51907603236054</v>
      </c>
      <c r="H1647" s="7">
        <f ca="1">(G1647+DCF!$D$40+DCF!$D$41+DCF!$D$42-DCF!$D$43-DCF!$D$44)/DCF!$C$35</f>
        <v>1.8415513942451773</v>
      </c>
    </row>
    <row r="1648" spans="3:8" x14ac:dyDescent="0.35">
      <c r="C1648" s="8">
        <f t="shared" ca="1" si="126"/>
        <v>0.88244724896151028</v>
      </c>
      <c r="D1648" s="7">
        <f t="shared" ca="1" si="127"/>
        <v>9.8546228998318747E-2</v>
      </c>
      <c r="E1648" s="7">
        <f t="shared" ca="1" si="128"/>
        <v>0.83389071815878313</v>
      </c>
      <c r="F1648" s="7">
        <f t="shared" ca="1" si="129"/>
        <v>2.4236159581646679E-2</v>
      </c>
      <c r="G1648" s="7">
        <f t="shared" ca="1" si="125"/>
        <v>220.27355568615008</v>
      </c>
      <c r="H1648" s="7">
        <f ca="1">(G1648+DCF!$D$40+DCF!$D$41+DCF!$D$42-DCF!$D$43-DCF!$D$44)/DCF!$C$35</f>
        <v>1.8853175058480081</v>
      </c>
    </row>
    <row r="1649" spans="3:8" x14ac:dyDescent="0.35">
      <c r="C1649" s="8">
        <f t="shared" ca="1" si="126"/>
        <v>0.75192197136518291</v>
      </c>
      <c r="D1649" s="7">
        <f t="shared" ca="1" si="127"/>
        <v>9.3361037293254845E-2</v>
      </c>
      <c r="E1649" s="7">
        <f t="shared" ca="1" si="128"/>
        <v>0.87121780523343717</v>
      </c>
      <c r="F1649" s="7">
        <f t="shared" ca="1" si="129"/>
        <v>2.4924919808188981E-2</v>
      </c>
      <c r="G1649" s="7">
        <f t="shared" ca="1" si="125"/>
        <v>239.47178634821779</v>
      </c>
      <c r="H1649" s="7">
        <f ca="1">(G1649+DCF!$D$40+DCF!$D$41+DCF!$D$42-DCF!$D$43-DCF!$D$44)/DCF!$C$35</f>
        <v>1.9936718949555128</v>
      </c>
    </row>
    <row r="1650" spans="3:8" x14ac:dyDescent="0.35">
      <c r="C1650" s="8">
        <f t="shared" ca="1" si="126"/>
        <v>0.5208095890834995</v>
      </c>
      <c r="D1650" s="7">
        <f t="shared" ca="1" si="127"/>
        <v>8.6874764896701817E-2</v>
      </c>
      <c r="E1650" s="7">
        <f t="shared" ca="1" si="128"/>
        <v>0.75592668772737337</v>
      </c>
      <c r="F1650" s="7">
        <f t="shared" ca="1" si="129"/>
        <v>2.301325093805958E-2</v>
      </c>
      <c r="G1650" s="7">
        <f t="shared" ca="1" si="125"/>
        <v>259.988436439157</v>
      </c>
      <c r="H1650" s="7">
        <f ca="1">(G1650+DCF!$D$40+DCF!$D$41+DCF!$D$42-DCF!$D$43-DCF!$D$44)/DCF!$C$35</f>
        <v>2.1094674141503384</v>
      </c>
    </row>
    <row r="1651" spans="3:8" x14ac:dyDescent="0.35">
      <c r="C1651" s="8">
        <f t="shared" ca="1" si="126"/>
        <v>0.33997987493760218</v>
      </c>
      <c r="D1651" s="7">
        <f t="shared" ca="1" si="127"/>
        <v>8.285994731822291E-2</v>
      </c>
      <c r="E1651" s="7">
        <f t="shared" ca="1" si="128"/>
        <v>0.71056980195309949</v>
      </c>
      <c r="F1651" s="7">
        <f t="shared" ca="1" si="129"/>
        <v>2.2391712439097738E-2</v>
      </c>
      <c r="G1651" s="7">
        <f t="shared" ca="1" si="125"/>
        <v>276.19419649285101</v>
      </c>
      <c r="H1651" s="7">
        <f ca="1">(G1651+DCF!$D$40+DCF!$D$41+DCF!$D$42-DCF!$D$43-DCF!$D$44)/DCF!$C$35</f>
        <v>2.2009323653507789</v>
      </c>
    </row>
    <row r="1652" spans="3:8" x14ac:dyDescent="0.35">
      <c r="C1652" s="8">
        <f t="shared" ca="1" si="126"/>
        <v>0.73901587645896261</v>
      </c>
      <c r="D1652" s="7">
        <f t="shared" ca="1" si="127"/>
        <v>9.2933709194092662E-2</v>
      </c>
      <c r="E1652" s="7">
        <f t="shared" ca="1" si="128"/>
        <v>0.76992456185415636</v>
      </c>
      <c r="F1652" s="7">
        <f t="shared" ca="1" si="129"/>
        <v>2.3216557833284881E-2</v>
      </c>
      <c r="G1652" s="7">
        <f t="shared" ca="1" si="125"/>
        <v>236.79726131737769</v>
      </c>
      <c r="H1652" s="7">
        <f ca="1">(G1652+DCF!$D$40+DCF!$D$41+DCF!$D$42-DCF!$D$43-DCF!$D$44)/DCF!$C$35</f>
        <v>1.9785769348536948</v>
      </c>
    </row>
    <row r="1653" spans="3:8" x14ac:dyDescent="0.35">
      <c r="C1653" s="8">
        <f t="shared" ca="1" si="126"/>
        <v>0.14450781720737105</v>
      </c>
      <c r="D1653" s="7">
        <f t="shared" ca="1" si="127"/>
        <v>7.8363120442057954E-2</v>
      </c>
      <c r="E1653" s="7">
        <f t="shared" ca="1" si="128"/>
        <v>0.80203283758152388</v>
      </c>
      <c r="F1653" s="7">
        <f t="shared" ca="1" si="129"/>
        <v>2.3707668756041588E-2</v>
      </c>
      <c r="G1653" s="7">
        <f t="shared" ca="1" si="125"/>
        <v>305.01544123757731</v>
      </c>
      <c r="H1653" s="7">
        <f ca="1">(G1653+DCF!$D$40+DCF!$D$41+DCF!$D$42-DCF!$D$43-DCF!$D$44)/DCF!$C$35</f>
        <v>2.3635988330374609</v>
      </c>
    </row>
    <row r="1654" spans="3:8" x14ac:dyDescent="0.35">
      <c r="C1654" s="8">
        <f t="shared" ca="1" si="126"/>
        <v>0.48798292484401695</v>
      </c>
      <c r="D1654" s="7">
        <f t="shared" ca="1" si="127"/>
        <v>8.6095794180226837E-2</v>
      </c>
      <c r="E1654" s="7">
        <f t="shared" ca="1" si="128"/>
        <v>0.61676549725969676</v>
      </c>
      <c r="F1654" s="7">
        <f t="shared" ca="1" si="129"/>
        <v>2.1245178439964603E-2</v>
      </c>
      <c r="G1654" s="7">
        <f t="shared" ca="1" si="125"/>
        <v>258.06039848597158</v>
      </c>
      <c r="H1654" s="7">
        <f ca="1">(G1654+DCF!$D$40+DCF!$D$41+DCF!$D$42-DCF!$D$43-DCF!$D$44)/DCF!$C$35</f>
        <v>2.0985856105992298</v>
      </c>
    </row>
    <row r="1655" spans="3:8" x14ac:dyDescent="0.35">
      <c r="C1655" s="8">
        <f t="shared" ca="1" si="126"/>
        <v>9.9849449980060401E-2</v>
      </c>
      <c r="D1655" s="7">
        <f t="shared" ca="1" si="127"/>
        <v>7.6951771989237652E-2</v>
      </c>
      <c r="E1655" s="7">
        <f t="shared" ca="1" si="128"/>
        <v>0.71859365967809208</v>
      </c>
      <c r="F1655" s="7">
        <f t="shared" ca="1" si="129"/>
        <v>2.2497915751980548E-2</v>
      </c>
      <c r="G1655" s="7">
        <f t="shared" ca="1" si="125"/>
        <v>308.07744328845968</v>
      </c>
      <c r="H1655" s="7">
        <f ca="1">(G1655+DCF!$D$40+DCF!$D$41+DCF!$D$42-DCF!$D$43-DCF!$D$44)/DCF!$C$35</f>
        <v>2.3808807048677032</v>
      </c>
    </row>
    <row r="1656" spans="3:8" x14ac:dyDescent="0.35">
      <c r="C1656" s="8">
        <f t="shared" ca="1" si="126"/>
        <v>0.18183916484579798</v>
      </c>
      <c r="D1656" s="7">
        <f t="shared" ca="1" si="127"/>
        <v>7.9381372809209025E-2</v>
      </c>
      <c r="E1656" s="7">
        <f t="shared" ca="1" si="128"/>
        <v>0.79685497631535085</v>
      </c>
      <c r="F1656" s="7">
        <f t="shared" ca="1" si="129"/>
        <v>2.3625911458339331E-2</v>
      </c>
      <c r="G1656" s="7">
        <f t="shared" ca="1" si="125"/>
        <v>298.85042589922938</v>
      </c>
      <c r="H1656" s="7">
        <f ca="1">(G1656+DCF!$D$40+DCF!$D$41+DCF!$D$42-DCF!$D$43-DCF!$D$44)/DCF!$C$35</f>
        <v>2.3288036228650491</v>
      </c>
    </row>
    <row r="1657" spans="3:8" x14ac:dyDescent="0.35">
      <c r="C1657" s="8">
        <f t="shared" ca="1" si="126"/>
        <v>4.1526981442870814E-2</v>
      </c>
      <c r="D1657" s="7">
        <f t="shared" ca="1" si="127"/>
        <v>7.4483197410147084E-2</v>
      </c>
      <c r="E1657" s="7">
        <f t="shared" ca="1" si="128"/>
        <v>0.97739313128000571</v>
      </c>
      <c r="F1657" s="7">
        <f t="shared" ca="1" si="129"/>
        <v>2.7873647784585332E-2</v>
      </c>
      <c r="G1657" s="7">
        <f t="shared" ca="1" si="125"/>
        <v>352.42739809263855</v>
      </c>
      <c r="H1657" s="7">
        <f ca="1">(G1657+DCF!$D$40+DCF!$D$41+DCF!$D$42-DCF!$D$43-DCF!$D$44)/DCF!$C$35</f>
        <v>2.6311908685666476</v>
      </c>
    </row>
    <row r="1658" spans="3:8" x14ac:dyDescent="0.35">
      <c r="C1658" s="8">
        <f t="shared" ca="1" si="126"/>
        <v>5.0063405550493378E-2</v>
      </c>
      <c r="D1658" s="7">
        <f t="shared" ca="1" si="127"/>
        <v>7.4922467702935064E-2</v>
      </c>
      <c r="E1658" s="7">
        <f t="shared" ca="1" si="128"/>
        <v>0.37720305777486762</v>
      </c>
      <c r="F1658" s="7">
        <f t="shared" ca="1" si="129"/>
        <v>1.8685655505197837E-2</v>
      </c>
      <c r="G1658" s="7">
        <f t="shared" ca="1" si="125"/>
        <v>303.66223691949398</v>
      </c>
      <c r="H1658" s="7">
        <f ca="1">(G1658+DCF!$D$40+DCF!$D$41+DCF!$D$42-DCF!$D$43-DCF!$D$44)/DCF!$C$35</f>
        <v>2.355961377805023</v>
      </c>
    </row>
    <row r="1659" spans="3:8" x14ac:dyDescent="0.35">
      <c r="C1659" s="8">
        <f t="shared" ca="1" si="126"/>
        <v>2.8270785194730252E-2</v>
      </c>
      <c r="D1659" s="7">
        <f t="shared" ca="1" si="127"/>
        <v>7.3699062047904773E-2</v>
      </c>
      <c r="E1659" s="7">
        <f t="shared" ca="1" si="128"/>
        <v>0.47751524939630374</v>
      </c>
      <c r="F1659" s="7">
        <f t="shared" ca="1" si="129"/>
        <v>1.977256618699821E-2</v>
      </c>
      <c r="G1659" s="7">
        <f t="shared" ca="1" si="125"/>
        <v>315.57043668741426</v>
      </c>
      <c r="H1659" s="7">
        <f ca="1">(G1659+DCF!$D$40+DCF!$D$41+DCF!$D$42-DCF!$D$43-DCF!$D$44)/DCF!$C$35</f>
        <v>2.42317099383347</v>
      </c>
    </row>
    <row r="1660" spans="3:8" x14ac:dyDescent="0.35">
      <c r="C1660" s="8">
        <f t="shared" ca="1" si="126"/>
        <v>0.45953531104459222</v>
      </c>
      <c r="D1660" s="7">
        <f t="shared" ca="1" si="127"/>
        <v>8.5440712696125826E-2</v>
      </c>
      <c r="E1660" s="7">
        <f t="shared" ca="1" si="128"/>
        <v>0.57840168081023591</v>
      </c>
      <c r="F1660" s="7">
        <f t="shared" ca="1" si="129"/>
        <v>2.0817426077730013E-2</v>
      </c>
      <c r="G1660" s="7">
        <f t="shared" ca="1" si="125"/>
        <v>259.56574104594392</v>
      </c>
      <c r="H1660" s="7">
        <f ca="1">(G1660+DCF!$D$40+DCF!$D$41+DCF!$D$42-DCF!$D$43-DCF!$D$44)/DCF!$C$35</f>
        <v>2.107081730702923</v>
      </c>
    </row>
    <row r="1661" spans="3:8" x14ac:dyDescent="0.35">
      <c r="C1661" s="8">
        <f t="shared" ca="1" si="126"/>
        <v>0.33611837821289114</v>
      </c>
      <c r="D1661" s="7">
        <f t="shared" ca="1" si="127"/>
        <v>8.2780670656417463E-2</v>
      </c>
      <c r="E1661" s="7">
        <f t="shared" ca="1" si="128"/>
        <v>0.93886608071868005</v>
      </c>
      <c r="F1661" s="7">
        <f t="shared" ca="1" si="129"/>
        <v>2.6503318164850569E-2</v>
      </c>
      <c r="G1661" s="7">
        <f t="shared" ca="1" si="125"/>
        <v>291.70029007242329</v>
      </c>
      <c r="H1661" s="7">
        <f ca="1">(G1661+DCF!$D$40+DCF!$D$41+DCF!$D$42-DCF!$D$43-DCF!$D$44)/DCF!$C$35</f>
        <v>2.2884484144509725</v>
      </c>
    </row>
    <row r="1662" spans="3:8" x14ac:dyDescent="0.35">
      <c r="C1662" s="8">
        <f t="shared" ca="1" si="126"/>
        <v>0.1101037969237646</v>
      </c>
      <c r="D1662" s="7">
        <f t="shared" ca="1" si="127"/>
        <v>7.7300016281564188E-2</v>
      </c>
      <c r="E1662" s="7">
        <f t="shared" ca="1" si="128"/>
        <v>0.258771700061035</v>
      </c>
      <c r="F1662" s="7">
        <f t="shared" ca="1" si="129"/>
        <v>1.7194048930345623E-2</v>
      </c>
      <c r="G1662" s="7">
        <f t="shared" ca="1" si="125"/>
        <v>285.27691507692703</v>
      </c>
      <c r="H1662" s="7">
        <f ca="1">(G1662+DCF!$D$40+DCF!$D$41+DCF!$D$42-DCF!$D$43-DCF!$D$44)/DCF!$C$35</f>
        <v>2.2521950280896661</v>
      </c>
    </row>
    <row r="1663" spans="3:8" x14ac:dyDescent="0.35">
      <c r="C1663" s="8">
        <f t="shared" ca="1" si="126"/>
        <v>0.96444306225562904</v>
      </c>
      <c r="D1663" s="7">
        <f t="shared" ca="1" si="127"/>
        <v>0.10370067126411726</v>
      </c>
      <c r="E1663" s="7">
        <f t="shared" ca="1" si="128"/>
        <v>0.61918531392395459</v>
      </c>
      <c r="F1663" s="7">
        <f t="shared" ca="1" si="129"/>
        <v>2.1272862026115946E-2</v>
      </c>
      <c r="G1663" s="7">
        <f t="shared" ca="1" si="125"/>
        <v>200.1298155751283</v>
      </c>
      <c r="H1663" s="7">
        <f ca="1">(G1663+DCF!$D$40+DCF!$D$41+DCF!$D$42-DCF!$D$43-DCF!$D$44)/DCF!$C$35</f>
        <v>1.7716266823294293</v>
      </c>
    </row>
    <row r="1664" spans="3:8" x14ac:dyDescent="0.35">
      <c r="C1664" s="8">
        <f t="shared" ca="1" si="126"/>
        <v>0.99622376787275102</v>
      </c>
      <c r="D1664" s="7">
        <f t="shared" ca="1" si="127"/>
        <v>0.10794713004454499</v>
      </c>
      <c r="E1664" s="7">
        <f t="shared" ca="1" si="128"/>
        <v>0.93542628997527044</v>
      </c>
      <c r="F1664" s="7">
        <f t="shared" ca="1" si="129"/>
        <v>2.6406291329984313E-2</v>
      </c>
      <c r="G1664" s="7">
        <f t="shared" ca="1" si="125"/>
        <v>197.60191106889573</v>
      </c>
      <c r="H1664" s="7">
        <f ca="1">(G1664+DCF!$D$40+DCF!$D$41+DCF!$D$42-DCF!$D$43-DCF!$D$44)/DCF!$C$35</f>
        <v>1.7573592452246061</v>
      </c>
    </row>
    <row r="1665" spans="3:8" x14ac:dyDescent="0.35">
      <c r="C1665" s="8">
        <f t="shared" ca="1" si="126"/>
        <v>0.86214189124641727</v>
      </c>
      <c r="D1665" s="7">
        <f t="shared" ca="1" si="127"/>
        <v>9.759638563284885E-2</v>
      </c>
      <c r="E1665" s="7">
        <f t="shared" ca="1" si="128"/>
        <v>0.23867558971291569</v>
      </c>
      <c r="F1665" s="7">
        <f t="shared" ca="1" si="129"/>
        <v>1.6909060568744722E-2</v>
      </c>
      <c r="G1665" s="7">
        <f t="shared" ca="1" si="125"/>
        <v>209.02577166992501</v>
      </c>
      <c r="H1665" s="7">
        <f ca="1">(G1665+DCF!$D$40+DCF!$D$41+DCF!$D$42-DCF!$D$43-DCF!$D$44)/DCF!$C$35</f>
        <v>1.8218352617108307</v>
      </c>
    </row>
    <row r="1666" spans="3:8" x14ac:dyDescent="0.35">
      <c r="C1666" s="8">
        <f t="shared" ca="1" si="126"/>
        <v>0.86729472746252778</v>
      </c>
      <c r="D1666" s="7">
        <f t="shared" ca="1" si="127"/>
        <v>9.7830403287215345E-2</v>
      </c>
      <c r="E1666" s="7">
        <f t="shared" ca="1" si="128"/>
        <v>0.88784643590450318</v>
      </c>
      <c r="F1666" s="7">
        <f t="shared" ca="1" si="129"/>
        <v>2.5263892651227238E-2</v>
      </c>
      <c r="G1666" s="7">
        <f t="shared" ca="1" si="125"/>
        <v>224.75401965115964</v>
      </c>
      <c r="H1666" s="7">
        <f ca="1">(G1666+DCF!$D$40+DCF!$D$41+DCF!$D$42-DCF!$D$43-DCF!$D$44)/DCF!$C$35</f>
        <v>1.9106051453389752</v>
      </c>
    </row>
    <row r="1667" spans="3:8" x14ac:dyDescent="0.35">
      <c r="C1667" s="8">
        <f t="shared" ca="1" si="126"/>
        <v>0.17772800136532241</v>
      </c>
      <c r="D1667" s="7">
        <f t="shared" ca="1" si="127"/>
        <v>7.92747157725084E-2</v>
      </c>
      <c r="E1667" s="7">
        <f t="shared" ca="1" si="128"/>
        <v>1.8272708318781694E-2</v>
      </c>
      <c r="F1667" s="7">
        <f t="shared" ca="1" si="129"/>
        <v>1.1911685555669745E-2</v>
      </c>
      <c r="G1667" s="7">
        <f t="shared" ca="1" si="125"/>
        <v>259.61375529661262</v>
      </c>
      <c r="H1667" s="7">
        <f ca="1">(G1667+DCF!$D$40+DCF!$D$41+DCF!$D$42-DCF!$D$43-DCF!$D$44)/DCF!$C$35</f>
        <v>2.1073527220714112</v>
      </c>
    </row>
    <row r="1668" spans="3:8" x14ac:dyDescent="0.35">
      <c r="C1668" s="8">
        <f t="shared" ca="1" si="126"/>
        <v>0.87037930180657974</v>
      </c>
      <c r="D1668" s="7">
        <f t="shared" ca="1" si="127"/>
        <v>9.7972668659097442E-2</v>
      </c>
      <c r="E1668" s="7">
        <f t="shared" ca="1" si="128"/>
        <v>0.26324429954118944</v>
      </c>
      <c r="F1668" s="7">
        <f t="shared" ca="1" si="129"/>
        <v>1.7255953411388324E-2</v>
      </c>
      <c r="G1668" s="7">
        <f t="shared" ca="1" si="125"/>
        <v>208.59890248363169</v>
      </c>
      <c r="H1668" s="7">
        <f ca="1">(G1668+DCF!$D$40+DCF!$D$41+DCF!$D$42-DCF!$D$43-DCF!$D$44)/DCF!$C$35</f>
        <v>1.8194260214676132</v>
      </c>
    </row>
    <row r="1669" spans="3:8" x14ac:dyDescent="0.35">
      <c r="C1669" s="8">
        <f t="shared" ca="1" si="126"/>
        <v>0.52579263126974429</v>
      </c>
      <c r="D1669" s="7">
        <f t="shared" ca="1" si="127"/>
        <v>8.699531735704738E-2</v>
      </c>
      <c r="E1669" s="7">
        <f t="shared" ca="1" si="128"/>
        <v>0.44523170358757558</v>
      </c>
      <c r="F1669" s="7">
        <f t="shared" ca="1" si="129"/>
        <v>1.9436436865550213E-2</v>
      </c>
      <c r="G1669" s="7">
        <f t="shared" ca="1" si="125"/>
        <v>249.3662839863095</v>
      </c>
      <c r="H1669" s="7">
        <f ca="1">(G1669+DCF!$D$40+DCF!$D$41+DCF!$D$42-DCF!$D$43-DCF!$D$44)/DCF!$C$35</f>
        <v>2.0495162207151454</v>
      </c>
    </row>
    <row r="1670" spans="3:8" x14ac:dyDescent="0.35">
      <c r="C1670" s="8">
        <f t="shared" ca="1" si="126"/>
        <v>0.20476000553808626</v>
      </c>
      <c r="D1670" s="7">
        <f t="shared" ca="1" si="127"/>
        <v>7.9955091294429889E-2</v>
      </c>
      <c r="E1670" s="7">
        <f t="shared" ca="1" si="128"/>
        <v>0.74674581990906475</v>
      </c>
      <c r="F1670" s="7">
        <f t="shared" ca="1" si="129"/>
        <v>2.2883059925910079E-2</v>
      </c>
      <c r="G1670" s="7">
        <f t="shared" ca="1" si="125"/>
        <v>292.73259504028863</v>
      </c>
      <c r="H1670" s="7">
        <f ca="1">(G1670+DCF!$D$40+DCF!$D$41+DCF!$D$42-DCF!$D$43-DCF!$D$44)/DCF!$C$35</f>
        <v>2.294274720850483</v>
      </c>
    </row>
    <row r="1671" spans="3:8" x14ac:dyDescent="0.35">
      <c r="C1671" s="8">
        <f t="shared" ca="1" si="126"/>
        <v>0.37912851506883616</v>
      </c>
      <c r="D1671" s="7">
        <f t="shared" ca="1" si="127"/>
        <v>8.3677147244586525E-2</v>
      </c>
      <c r="E1671" s="7">
        <f t="shared" ca="1" si="128"/>
        <v>0.41242745099719891</v>
      </c>
      <c r="F1671" s="7">
        <f t="shared" ca="1" si="129"/>
        <v>1.9082152288936789E-2</v>
      </c>
      <c r="G1671" s="7">
        <f t="shared" ca="1" si="125"/>
        <v>261.927071561638</v>
      </c>
      <c r="H1671" s="7">
        <f ca="1">(G1671+DCF!$D$40+DCF!$D$41+DCF!$D$42-DCF!$D$43-DCF!$D$44)/DCF!$C$35</f>
        <v>2.1204090278904952</v>
      </c>
    </row>
    <row r="1672" spans="3:8" x14ac:dyDescent="0.35">
      <c r="C1672" s="8">
        <f t="shared" ca="1" si="126"/>
        <v>0.19283460558047805</v>
      </c>
      <c r="D1672" s="7">
        <f t="shared" ca="1" si="127"/>
        <v>7.9660846189695364E-2</v>
      </c>
      <c r="E1672" s="7">
        <f t="shared" ca="1" si="128"/>
        <v>0.72146960079675404</v>
      </c>
      <c r="F1672" s="7">
        <f t="shared" ca="1" si="129"/>
        <v>2.2536349429357696E-2</v>
      </c>
      <c r="G1672" s="7">
        <f t="shared" ca="1" si="125"/>
        <v>292.96170661148443</v>
      </c>
      <c r="H1672" s="7">
        <f ca="1">(G1672+DCF!$D$40+DCF!$D$41+DCF!$D$42-DCF!$D$43-DCF!$D$44)/DCF!$C$35</f>
        <v>2.2955678214893576</v>
      </c>
    </row>
    <row r="1673" spans="3:8" x14ac:dyDescent="0.35">
      <c r="C1673" s="8">
        <f t="shared" ca="1" si="126"/>
        <v>0.7585292966659426</v>
      </c>
      <c r="D1673" s="7">
        <f t="shared" ca="1" si="127"/>
        <v>9.3584114251103967E-2</v>
      </c>
      <c r="E1673" s="7">
        <f t="shared" ca="1" si="128"/>
        <v>0.44670292868822237</v>
      </c>
      <c r="F1673" s="7">
        <f t="shared" ca="1" si="129"/>
        <v>1.9452014903587722E-2</v>
      </c>
      <c r="G1673" s="7">
        <f t="shared" ca="1" si="125"/>
        <v>225.98668580527175</v>
      </c>
      <c r="H1673" s="7">
        <f ca="1">(G1673+DCF!$D$40+DCF!$D$41+DCF!$D$42-DCF!$D$43-DCF!$D$44)/DCF!$C$35</f>
        <v>1.9175622858407932</v>
      </c>
    </row>
    <row r="1674" spans="3:8" x14ac:dyDescent="0.35">
      <c r="C1674" s="8">
        <f t="shared" ca="1" si="126"/>
        <v>0.86980625334226391</v>
      </c>
      <c r="D1674" s="7">
        <f t="shared" ca="1" si="127"/>
        <v>9.7946111777935163E-2</v>
      </c>
      <c r="E1674" s="7">
        <f t="shared" ca="1" si="128"/>
        <v>0.22688998368337077</v>
      </c>
      <c r="F1674" s="7">
        <f t="shared" ca="1" si="129"/>
        <v>1.6736319227640132E-2</v>
      </c>
      <c r="G1674" s="7">
        <f t="shared" ca="1" si="125"/>
        <v>207.76019311759279</v>
      </c>
      <c r="H1674" s="7">
        <f ca="1">(G1674+DCF!$D$40+DCF!$D$41+DCF!$D$42-DCF!$D$43-DCF!$D$44)/DCF!$C$35</f>
        <v>1.8146923643616253</v>
      </c>
    </row>
    <row r="1675" spans="3:8" x14ac:dyDescent="0.35">
      <c r="C1675" s="8">
        <f t="shared" ca="1" si="126"/>
        <v>0.66971266559032161</v>
      </c>
      <c r="D1675" s="7">
        <f t="shared" ca="1" si="127"/>
        <v>9.0801024371045189E-2</v>
      </c>
      <c r="E1675" s="7">
        <f t="shared" ca="1" si="128"/>
        <v>0.50094331642730661</v>
      </c>
      <c r="F1675" s="7">
        <f t="shared" ca="1" si="129"/>
        <v>2.0009437617704462E-2</v>
      </c>
      <c r="G1675" s="7">
        <f t="shared" ca="1" si="125"/>
        <v>236.6681857366309</v>
      </c>
      <c r="H1675" s="7">
        <f ca="1">(G1675+DCF!$D$40+DCF!$D$41+DCF!$D$42-DCF!$D$43-DCF!$D$44)/DCF!$C$35</f>
        <v>1.977848435131679</v>
      </c>
    </row>
    <row r="1676" spans="3:8" x14ac:dyDescent="0.35">
      <c r="C1676" s="8">
        <f t="shared" ca="1" si="126"/>
        <v>0.39366561759039631</v>
      </c>
      <c r="D1676" s="7">
        <f t="shared" ca="1" si="127"/>
        <v>8.3987134514453859E-2</v>
      </c>
      <c r="E1676" s="7">
        <f t="shared" ca="1" si="128"/>
        <v>0.23450408848484794</v>
      </c>
      <c r="F1676" s="7">
        <f t="shared" ca="1" si="129"/>
        <v>1.6848417167270813E-2</v>
      </c>
      <c r="G1676" s="7">
        <f t="shared" ca="1" si="125"/>
        <v>254.24068987649835</v>
      </c>
      <c r="H1676" s="7">
        <f ca="1">(G1676+DCF!$D$40+DCF!$D$41+DCF!$D$42-DCF!$D$43-DCF!$D$44)/DCF!$C$35</f>
        <v>2.0770272597160981</v>
      </c>
    </row>
    <row r="1677" spans="3:8" x14ac:dyDescent="0.35">
      <c r="C1677" s="8">
        <f t="shared" ca="1" si="126"/>
        <v>0.97827016541509404</v>
      </c>
      <c r="D1677" s="7">
        <f t="shared" ca="1" si="127"/>
        <v>0.1050755207994393</v>
      </c>
      <c r="E1677" s="7">
        <f t="shared" ca="1" si="128"/>
        <v>0.59408030218191454</v>
      </c>
      <c r="F1677" s="7">
        <f t="shared" ca="1" si="129"/>
        <v>2.0989786930176564E-2</v>
      </c>
      <c r="G1677" s="7">
        <f t="shared" ca="1" si="125"/>
        <v>196.18858736330358</v>
      </c>
      <c r="H1677" s="7">
        <f ca="1">(G1677+DCF!$D$40+DCF!$D$41+DCF!$D$42-DCF!$D$43-DCF!$D$44)/DCF!$C$35</f>
        <v>1.7493824774991733</v>
      </c>
    </row>
    <row r="1678" spans="3:8" x14ac:dyDescent="0.35">
      <c r="C1678" s="8">
        <f t="shared" ca="1" si="126"/>
        <v>0.84338139759116504</v>
      </c>
      <c r="D1678" s="7">
        <f t="shared" ca="1" si="127"/>
        <v>9.6779320732721039E-2</v>
      </c>
      <c r="E1678" s="7">
        <f t="shared" ca="1" si="128"/>
        <v>0.20520022223092749</v>
      </c>
      <c r="F1678" s="7">
        <f t="shared" ca="1" si="129"/>
        <v>1.6406250420190074E-2</v>
      </c>
      <c r="G1678" s="7">
        <f t="shared" ca="1" si="125"/>
        <v>210.40383610154853</v>
      </c>
      <c r="H1678" s="7">
        <f ca="1">(G1678+DCF!$D$40+DCF!$D$41+DCF!$D$42-DCF!$D$43-DCF!$D$44)/DCF!$C$35</f>
        <v>1.8296130268740747</v>
      </c>
    </row>
    <row r="1679" spans="3:8" x14ac:dyDescent="0.35">
      <c r="C1679" s="8">
        <f t="shared" ca="1" si="126"/>
        <v>0.74905034147296123</v>
      </c>
      <c r="D1679" s="7">
        <f t="shared" ca="1" si="127"/>
        <v>9.3265012132774786E-2</v>
      </c>
      <c r="E1679" s="7">
        <f t="shared" ca="1" si="128"/>
        <v>0.22140598195455941</v>
      </c>
      <c r="F1679" s="7">
        <f t="shared" ca="1" si="129"/>
        <v>1.6654411799018144E-2</v>
      </c>
      <c r="G1679" s="7">
        <f t="shared" ca="1" si="125"/>
        <v>221.18626572141454</v>
      </c>
      <c r="H1679" s="7">
        <f ca="1">(G1679+DCF!$D$40+DCF!$D$41+DCF!$D$42-DCF!$D$43-DCF!$D$44)/DCF!$C$35</f>
        <v>1.8904688210938849</v>
      </c>
    </row>
    <row r="1680" spans="3:8" x14ac:dyDescent="0.35">
      <c r="C1680" s="8">
        <f t="shared" ca="1" si="126"/>
        <v>0.85942044218067126</v>
      </c>
      <c r="D1680" s="7">
        <f t="shared" ca="1" si="127"/>
        <v>9.7474554438010161E-2</v>
      </c>
      <c r="E1680" s="7">
        <f t="shared" ca="1" si="128"/>
        <v>0.97158462364559872</v>
      </c>
      <c r="F1680" s="7">
        <f t="shared" ca="1" si="129"/>
        <v>2.7616079852243312E-2</v>
      </c>
      <c r="G1680" s="7">
        <f t="shared" ref="G1680:G1743" ca="1" si="130">$C$11/(1+D1680)^1
 +$D$11/(1+D1680)^2
 +$E$11/(1+D1680)^3
 +$F$11/(1+D1680)^4
 +$G$11/(1+D1680)^5
 +$H$11/(1+D1680)^6
 +$I$11/(1+D1680)^7
 + ( $I$11*(1+F1680)/(D1680-F1680) )/(1+D1680)^7</f>
        <v>231.29971352021036</v>
      </c>
      <c r="H1680" s="7">
        <f ca="1">(G1680+DCF!$D$40+DCF!$D$41+DCF!$D$42-DCF!$D$43-DCF!$D$44)/DCF!$C$35</f>
        <v>1.9475488967163923</v>
      </c>
    </row>
    <row r="1681" spans="3:8" x14ac:dyDescent="0.35">
      <c r="C1681" s="8">
        <f t="shared" ref="C1681:C1744" ca="1" si="131">RAND()</f>
        <v>0.16852026278917032</v>
      </c>
      <c r="D1681" s="7">
        <f t="shared" ref="D1681:D1744" ca="1" si="132">IF(C1681&lt;($C$6-0.07)/(0.11-0.07),0.07+SQRT(C1681*(0.11-0.07)*($C$6-0.07)),0.11-SQRT((1-C1681)*(0.11-0.07)*(0.11-$C$6)))</f>
        <v>7.9031268304615834E-2</v>
      </c>
      <c r="E1681" s="7">
        <f t="shared" ref="E1681:E1744" ca="1" si="133">RAND()</f>
        <v>0.286276039951603</v>
      </c>
      <c r="F1681" s="7">
        <f t="shared" ref="F1681:F1744" ca="1" si="134">MIN(
 IF(E1681&lt;(0.02-0.01)/(0.03-0.01),
   0.01+SQRT(E1681*(0.03-0.01)*(0.02-0.01)),
   0.03-SQRT((1-E1681)*(0.03-0.01)*(0.03-0.02))
 ),
 D1681-0.005
)</f>
        <v>1.7566717121071766E-2</v>
      </c>
      <c r="G1681" s="7">
        <f t="shared" ca="1" si="130"/>
        <v>278.11313649870772</v>
      </c>
      <c r="H1681" s="7">
        <f ca="1">(G1681+DCF!$D$40+DCF!$D$41+DCF!$D$42-DCF!$D$43-DCF!$D$44)/DCF!$C$35</f>
        <v>2.2117628202884507</v>
      </c>
    </row>
    <row r="1682" spans="3:8" x14ac:dyDescent="0.35">
      <c r="C1682" s="8">
        <f t="shared" ca="1" si="131"/>
        <v>0.92831456781005373</v>
      </c>
      <c r="D1682" s="7">
        <f t="shared" ca="1" si="132"/>
        <v>0.10105567541264406</v>
      </c>
      <c r="E1682" s="7">
        <f t="shared" ca="1" si="133"/>
        <v>0.54468762852570962</v>
      </c>
      <c r="F1682" s="7">
        <f t="shared" ca="1" si="134"/>
        <v>2.0457334004857025E-2</v>
      </c>
      <c r="G1682" s="7">
        <f t="shared" ca="1" si="130"/>
        <v>205.7651280222247</v>
      </c>
      <c r="H1682" s="7">
        <f ca="1">(G1682+DCF!$D$40+DCF!$D$41+DCF!$D$42-DCF!$D$43-DCF!$D$44)/DCF!$C$35</f>
        <v>1.8034322611029725</v>
      </c>
    </row>
    <row r="1683" spans="3:8" x14ac:dyDescent="0.35">
      <c r="C1683" s="8">
        <f t="shared" ca="1" si="131"/>
        <v>0.38435613364837307</v>
      </c>
      <c r="D1683" s="7">
        <f t="shared" ca="1" si="132"/>
        <v>8.3788198176233369E-2</v>
      </c>
      <c r="E1683" s="7">
        <f t="shared" ca="1" si="133"/>
        <v>0.34549434004277157</v>
      </c>
      <c r="F1683" s="7">
        <f t="shared" ca="1" si="134"/>
        <v>1.8312572887413038E-2</v>
      </c>
      <c r="G1683" s="7">
        <f t="shared" ca="1" si="130"/>
        <v>259.19422938573132</v>
      </c>
      <c r="H1683" s="7">
        <f ca="1">(G1683+DCF!$D$40+DCF!$D$41+DCF!$D$42-DCF!$D$43-DCF!$D$44)/DCF!$C$35</f>
        <v>2.1049849271121532</v>
      </c>
    </row>
    <row r="1684" spans="3:8" x14ac:dyDescent="0.35">
      <c r="C1684" s="8">
        <f t="shared" ca="1" si="131"/>
        <v>0.28098765675550874</v>
      </c>
      <c r="D1684" s="7">
        <f t="shared" ca="1" si="132"/>
        <v>8.166181914924367E-2</v>
      </c>
      <c r="E1684" s="7">
        <f t="shared" ca="1" si="133"/>
        <v>0.7469112142146227</v>
      </c>
      <c r="F1684" s="7">
        <f t="shared" ca="1" si="134"/>
        <v>2.2885384257946499E-2</v>
      </c>
      <c r="G1684" s="7">
        <f t="shared" ca="1" si="130"/>
        <v>283.84010593735661</v>
      </c>
      <c r="H1684" s="7">
        <f ca="1">(G1684+DCF!$D$40+DCF!$D$41+DCF!$D$42-DCF!$D$43-DCF!$D$44)/DCF!$C$35</f>
        <v>2.244085709094461</v>
      </c>
    </row>
    <row r="1685" spans="3:8" x14ac:dyDescent="0.35">
      <c r="C1685" s="8">
        <f t="shared" ca="1" si="131"/>
        <v>0.59849028316934683</v>
      </c>
      <c r="D1685" s="7">
        <f t="shared" ca="1" si="132"/>
        <v>8.8831985355659615E-2</v>
      </c>
      <c r="E1685" s="7">
        <f t="shared" ca="1" si="133"/>
        <v>0.19796824551210213</v>
      </c>
      <c r="F1685" s="7">
        <f t="shared" ca="1" si="134"/>
        <v>1.629234845684983E-2</v>
      </c>
      <c r="G1685" s="7">
        <f t="shared" ca="1" si="130"/>
        <v>234.83772126052324</v>
      </c>
      <c r="H1685" s="7">
        <f ca="1">(G1685+DCF!$D$40+DCF!$D$41+DCF!$D$42-DCF!$D$43-DCF!$D$44)/DCF!$C$35</f>
        <v>1.9675173341264434</v>
      </c>
    </row>
    <row r="1686" spans="3:8" x14ac:dyDescent="0.35">
      <c r="C1686" s="8">
        <f t="shared" ca="1" si="131"/>
        <v>0.56852690955978236</v>
      </c>
      <c r="D1686" s="7">
        <f t="shared" ca="1" si="132"/>
        <v>8.8056345588501381E-2</v>
      </c>
      <c r="E1686" s="7">
        <f t="shared" ca="1" si="133"/>
        <v>0.96216322847322444</v>
      </c>
      <c r="F1686" s="7">
        <f t="shared" ca="1" si="134"/>
        <v>2.7249117540614445E-2</v>
      </c>
      <c r="G1686" s="7">
        <f t="shared" ca="1" si="130"/>
        <v>268.02604764152579</v>
      </c>
      <c r="H1686" s="7">
        <f ca="1">(G1686+DCF!$D$40+DCF!$D$41+DCF!$D$42-DCF!$D$43-DCF!$D$44)/DCF!$C$35</f>
        <v>2.1548315139492367</v>
      </c>
    </row>
    <row r="1687" spans="3:8" x14ac:dyDescent="0.35">
      <c r="C1687" s="8">
        <f t="shared" ca="1" si="131"/>
        <v>0.35623716501480607</v>
      </c>
      <c r="D1687" s="7">
        <f t="shared" ca="1" si="132"/>
        <v>8.3196281529543781E-2</v>
      </c>
      <c r="E1687" s="7">
        <f t="shared" ca="1" si="133"/>
        <v>0.86779994664013216</v>
      </c>
      <c r="F1687" s="7">
        <f t="shared" ca="1" si="134"/>
        <v>2.4858014909397971E-2</v>
      </c>
      <c r="G1687" s="7">
        <f t="shared" ca="1" si="130"/>
        <v>283.26251099312532</v>
      </c>
      <c r="H1687" s="7">
        <f ca="1">(G1687+DCF!$D$40+DCF!$D$41+DCF!$D$42-DCF!$D$43-DCF!$D$44)/DCF!$C$35</f>
        <v>2.2408257760081574</v>
      </c>
    </row>
    <row r="1688" spans="3:8" x14ac:dyDescent="0.35">
      <c r="C1688" s="8">
        <f t="shared" ca="1" si="131"/>
        <v>6.001693327438884E-2</v>
      </c>
      <c r="D1688" s="7">
        <f t="shared" ca="1" si="132"/>
        <v>7.5389637808313675E-2</v>
      </c>
      <c r="E1688" s="7">
        <f t="shared" ca="1" si="133"/>
        <v>0.78686097293827739</v>
      </c>
      <c r="F1688" s="7">
        <f t="shared" ca="1" si="134"/>
        <v>2.3471002725353261E-2</v>
      </c>
      <c r="G1688" s="7">
        <f t="shared" ca="1" si="130"/>
        <v>322.21020604794393</v>
      </c>
      <c r="H1688" s="7">
        <f ca="1">(G1688+DCF!$D$40+DCF!$D$41+DCF!$D$42-DCF!$D$43-DCF!$D$44)/DCF!$C$35</f>
        <v>2.4606457052034312</v>
      </c>
    </row>
    <row r="1689" spans="3:8" x14ac:dyDescent="0.35">
      <c r="C1689" s="8">
        <f t="shared" ca="1" si="131"/>
        <v>0.20973176040177133</v>
      </c>
      <c r="D1689" s="7">
        <f t="shared" ca="1" si="132"/>
        <v>8.0075225656751195E-2</v>
      </c>
      <c r="E1689" s="7">
        <f t="shared" ca="1" si="133"/>
        <v>0.82800362281770423</v>
      </c>
      <c r="F1689" s="7">
        <f t="shared" ca="1" si="134"/>
        <v>2.4134910449408367E-2</v>
      </c>
      <c r="G1689" s="7">
        <f t="shared" ca="1" si="130"/>
        <v>297.0544757992792</v>
      </c>
      <c r="H1689" s="7">
        <f ca="1">(G1689+DCF!$D$40+DCF!$D$41+DCF!$D$42-DCF!$D$43-DCF!$D$44)/DCF!$C$35</f>
        <v>2.3186673202352366</v>
      </c>
    </row>
    <row r="1690" spans="3:8" x14ac:dyDescent="0.35">
      <c r="C1690" s="8">
        <f t="shared" ca="1" si="131"/>
        <v>3.9876747947873437E-3</v>
      </c>
      <c r="D1690" s="7">
        <f t="shared" ca="1" si="132"/>
        <v>7.1389256851945346E-2</v>
      </c>
      <c r="E1690" s="7">
        <f t="shared" ca="1" si="133"/>
        <v>0.56638415634061468</v>
      </c>
      <c r="F1690" s="7">
        <f t="shared" ca="1" si="134"/>
        <v>2.0687472484235171E-2</v>
      </c>
      <c r="G1690" s="7">
        <f t="shared" ca="1" si="130"/>
        <v>335.0205311271551</v>
      </c>
      <c r="H1690" s="7">
        <f ca="1">(G1690+DCF!$D$40+DCF!$D$41+DCF!$D$42-DCF!$D$43-DCF!$D$44)/DCF!$C$35</f>
        <v>2.532946896529829</v>
      </c>
    </row>
    <row r="1691" spans="3:8" x14ac:dyDescent="0.35">
      <c r="C1691" s="8">
        <f t="shared" ca="1" si="131"/>
        <v>0.68432843941576471</v>
      </c>
      <c r="D1691" s="7">
        <f t="shared" ca="1" si="132"/>
        <v>9.1230624368082824E-2</v>
      </c>
      <c r="E1691" s="7">
        <f t="shared" ca="1" si="133"/>
        <v>0.34857427554922593</v>
      </c>
      <c r="F1691" s="7">
        <f t="shared" ca="1" si="134"/>
        <v>1.8349542209597194E-2</v>
      </c>
      <c r="G1691" s="7">
        <f t="shared" ca="1" si="130"/>
        <v>231.3406921295408</v>
      </c>
      <c r="H1691" s="7">
        <f ca="1">(G1691+DCF!$D$40+DCF!$D$41+DCF!$D$42-DCF!$D$43-DCF!$D$44)/DCF!$C$35</f>
        <v>1.9477801790808262</v>
      </c>
    </row>
    <row r="1692" spans="3:8" x14ac:dyDescent="0.35">
      <c r="C1692" s="8">
        <f t="shared" ca="1" si="131"/>
        <v>0.33561636357663416</v>
      </c>
      <c r="D1692" s="7">
        <f t="shared" ca="1" si="132"/>
        <v>8.2770381232039336E-2</v>
      </c>
      <c r="E1692" s="7">
        <f t="shared" ca="1" si="133"/>
        <v>0.89577732775066155</v>
      </c>
      <c r="F1692" s="7">
        <f t="shared" ca="1" si="134"/>
        <v>2.5434418498168312E-2</v>
      </c>
      <c r="G1692" s="7">
        <f t="shared" ca="1" si="130"/>
        <v>287.61345201917197</v>
      </c>
      <c r="H1692" s="7">
        <f ca="1">(G1692+DCF!$D$40+DCF!$D$41+DCF!$D$42-DCF!$D$43-DCF!$D$44)/DCF!$C$35</f>
        <v>2.2653823908972344</v>
      </c>
    </row>
    <row r="1693" spans="3:8" x14ac:dyDescent="0.35">
      <c r="C1693" s="8">
        <f t="shared" ca="1" si="131"/>
        <v>0.77151740597271634</v>
      </c>
      <c r="D1693" s="7">
        <f t="shared" ca="1" si="132"/>
        <v>9.4031700937969365E-2</v>
      </c>
      <c r="E1693" s="7">
        <f t="shared" ca="1" si="133"/>
        <v>0.86046740698159352</v>
      </c>
      <c r="F1693" s="7">
        <f t="shared" ca="1" si="134"/>
        <v>2.4717337924523158E-2</v>
      </c>
      <c r="G1693" s="7">
        <f t="shared" ca="1" si="130"/>
        <v>236.51509758076475</v>
      </c>
      <c r="H1693" s="7">
        <f ca="1">(G1693+DCF!$D$40+DCF!$D$41+DCF!$D$42-DCF!$D$43-DCF!$D$44)/DCF!$C$35</f>
        <v>1.976984408966953</v>
      </c>
    </row>
    <row r="1694" spans="3:8" x14ac:dyDescent="0.35">
      <c r="C1694" s="8">
        <f t="shared" ca="1" si="131"/>
        <v>0.39827208575208617</v>
      </c>
      <c r="D1694" s="7">
        <f t="shared" ca="1" si="132"/>
        <v>8.4086135905645565E-2</v>
      </c>
      <c r="E1694" s="7">
        <f t="shared" ca="1" si="133"/>
        <v>0.55190827995854952</v>
      </c>
      <c r="F1694" s="7">
        <f t="shared" ca="1" si="134"/>
        <v>2.0533303426839428E-2</v>
      </c>
      <c r="G1694" s="7">
        <f t="shared" ca="1" si="130"/>
        <v>264.54759635490507</v>
      </c>
      <c r="H1694" s="7">
        <f ca="1">(G1694+DCF!$D$40+DCF!$D$41+DCF!$D$42-DCF!$D$43-DCF!$D$44)/DCF!$C$35</f>
        <v>2.1351992118461736</v>
      </c>
    </row>
    <row r="1695" spans="3:8" x14ac:dyDescent="0.35">
      <c r="C1695" s="8">
        <f t="shared" ca="1" si="131"/>
        <v>0.93883259919707629</v>
      </c>
      <c r="D1695" s="7">
        <f t="shared" ca="1" si="132"/>
        <v>0.10173786835640687</v>
      </c>
      <c r="E1695" s="7">
        <f t="shared" ca="1" si="133"/>
        <v>0.86671637324845729</v>
      </c>
      <c r="F1695" s="7">
        <f t="shared" ca="1" si="134"/>
        <v>2.4836984858601658E-2</v>
      </c>
      <c r="G1695" s="7">
        <f t="shared" ca="1" si="130"/>
        <v>211.81995018485543</v>
      </c>
      <c r="H1695" s="7">
        <f ca="1">(G1695+DCF!$D$40+DCF!$D$41+DCF!$D$42-DCF!$D$43-DCF!$D$44)/DCF!$C$35</f>
        <v>1.8376055434295937</v>
      </c>
    </row>
    <row r="1696" spans="3:8" x14ac:dyDescent="0.35">
      <c r="C1696" s="8">
        <f t="shared" ca="1" si="131"/>
        <v>0.87961692816161652</v>
      </c>
      <c r="D1696" s="7">
        <f t="shared" ca="1" si="132"/>
        <v>9.8409162749324972E-2</v>
      </c>
      <c r="E1696" s="7">
        <f t="shared" ca="1" si="133"/>
        <v>0.42534062368163505</v>
      </c>
      <c r="F1696" s="7">
        <f t="shared" ca="1" si="134"/>
        <v>1.9223238299877488E-2</v>
      </c>
      <c r="G1696" s="7">
        <f t="shared" ca="1" si="130"/>
        <v>210.91268247106098</v>
      </c>
      <c r="H1696" s="7">
        <f ca="1">(G1696+DCF!$D$40+DCF!$D$41+DCF!$D$42-DCF!$D$43-DCF!$D$44)/DCF!$C$35</f>
        <v>1.8324849445256854</v>
      </c>
    </row>
    <row r="1697" spans="3:8" x14ac:dyDescent="0.35">
      <c r="C1697" s="8">
        <f t="shared" ca="1" si="131"/>
        <v>0.55399082411989031</v>
      </c>
      <c r="D1697" s="7">
        <f t="shared" ca="1" si="132"/>
        <v>8.7689772742479688E-2</v>
      </c>
      <c r="E1697" s="7">
        <f t="shared" ca="1" si="133"/>
        <v>6.0735472550792924E-2</v>
      </c>
      <c r="F1697" s="7">
        <f t="shared" ca="1" si="134"/>
        <v>1.3485268212083339E-2</v>
      </c>
      <c r="G1697" s="7">
        <f t="shared" ca="1" si="130"/>
        <v>232.38682598868465</v>
      </c>
      <c r="H1697" s="7">
        <f ca="1">(G1697+DCF!$D$40+DCF!$D$41+DCF!$D$42-DCF!$D$43-DCF!$D$44)/DCF!$C$35</f>
        <v>1.9536845354367574</v>
      </c>
    </row>
    <row r="1698" spans="3:8" x14ac:dyDescent="0.35">
      <c r="C1698" s="8">
        <f t="shared" ca="1" si="131"/>
        <v>0.48364281885193983</v>
      </c>
      <c r="D1698" s="7">
        <f t="shared" ca="1" si="132"/>
        <v>8.5994696124372119E-2</v>
      </c>
      <c r="E1698" s="7">
        <f t="shared" ca="1" si="133"/>
        <v>2.7596727873401061E-2</v>
      </c>
      <c r="F1698" s="7">
        <f t="shared" ca="1" si="134"/>
        <v>1.2349328749809232E-2</v>
      </c>
      <c r="G1698" s="7">
        <f t="shared" ca="1" si="130"/>
        <v>235.57280885419107</v>
      </c>
      <c r="H1698" s="7">
        <f ca="1">(G1698+DCF!$D$40+DCF!$D$41+DCF!$D$42-DCF!$D$43-DCF!$D$44)/DCF!$C$35</f>
        <v>1.9716661522417376</v>
      </c>
    </row>
    <row r="1699" spans="3:8" x14ac:dyDescent="0.35">
      <c r="C1699" s="8">
        <f t="shared" ca="1" si="131"/>
        <v>0.9031745418391347</v>
      </c>
      <c r="D1699" s="7">
        <f t="shared" ca="1" si="132"/>
        <v>9.9604942938707572E-2</v>
      </c>
      <c r="E1699" s="7">
        <f t="shared" ca="1" si="133"/>
        <v>0.8490548743237859</v>
      </c>
      <c r="F1699" s="7">
        <f t="shared" ca="1" si="134"/>
        <v>2.4505545965681136E-2</v>
      </c>
      <c r="G1699" s="7">
        <f t="shared" ca="1" si="130"/>
        <v>217.54439402480264</v>
      </c>
      <c r="H1699" s="7">
        <f ca="1">(G1699+DCF!$D$40+DCF!$D$41+DCF!$D$42-DCF!$D$43-DCF!$D$44)/DCF!$C$35</f>
        <v>1.8699141778124089</v>
      </c>
    </row>
    <row r="1700" spans="3:8" x14ac:dyDescent="0.35">
      <c r="C1700" s="8">
        <f t="shared" ca="1" si="131"/>
        <v>0.52146533278395069</v>
      </c>
      <c r="D1700" s="7">
        <f t="shared" ca="1" si="132"/>
        <v>8.6890593070935135E-2</v>
      </c>
      <c r="E1700" s="7">
        <f t="shared" ca="1" si="133"/>
        <v>0.56871597256959805</v>
      </c>
      <c r="F1700" s="7">
        <f t="shared" ca="1" si="134"/>
        <v>2.0712545801669847E-2</v>
      </c>
      <c r="G1700" s="7">
        <f t="shared" ca="1" si="130"/>
        <v>253.26926290515343</v>
      </c>
      <c r="H1700" s="7">
        <f ca="1">(G1700+DCF!$D$40+DCF!$D$41+DCF!$D$42-DCF!$D$43-DCF!$D$44)/DCF!$C$35</f>
        <v>2.07154454738206</v>
      </c>
    </row>
    <row r="1701" spans="3:8" x14ac:dyDescent="0.35">
      <c r="C1701" s="8">
        <f t="shared" ca="1" si="131"/>
        <v>0.61660298182602746</v>
      </c>
      <c r="D1701" s="7">
        <f t="shared" ca="1" si="132"/>
        <v>8.9314955347349304E-2</v>
      </c>
      <c r="E1701" s="7">
        <f t="shared" ca="1" si="133"/>
        <v>5.7020014635516425E-2</v>
      </c>
      <c r="F1701" s="7">
        <f t="shared" ca="1" si="134"/>
        <v>1.3376981333543803E-2</v>
      </c>
      <c r="G1701" s="7">
        <f t="shared" ca="1" si="130"/>
        <v>226.84610057807677</v>
      </c>
      <c r="H1701" s="7">
        <f ca="1">(G1701+DCF!$D$40+DCF!$D$41+DCF!$D$42-DCF!$D$43-DCF!$D$44)/DCF!$C$35</f>
        <v>1.9224128038044741</v>
      </c>
    </row>
    <row r="1702" spans="3:8" x14ac:dyDescent="0.35">
      <c r="C1702" s="8">
        <f t="shared" ca="1" si="131"/>
        <v>0.40296974094519022</v>
      </c>
      <c r="D1702" s="7">
        <f t="shared" ca="1" si="132"/>
        <v>8.4187488128716195E-2</v>
      </c>
      <c r="E1702" s="7">
        <f t="shared" ca="1" si="133"/>
        <v>0.94517039543394621</v>
      </c>
      <c r="F1702" s="7">
        <f t="shared" ca="1" si="134"/>
        <v>2.6688516810670668E-2</v>
      </c>
      <c r="G1702" s="7">
        <f t="shared" ca="1" si="130"/>
        <v>284.96590234849327</v>
      </c>
      <c r="H1702" s="7">
        <f ca="1">(G1702+DCF!$D$40+DCF!$D$41+DCF!$D$42-DCF!$D$43-DCF!$D$44)/DCF!$C$35</f>
        <v>2.2504396791313539</v>
      </c>
    </row>
    <row r="1703" spans="3:8" x14ac:dyDescent="0.35">
      <c r="C1703" s="8">
        <f t="shared" ca="1" si="131"/>
        <v>0.85096435271544968</v>
      </c>
      <c r="D1703" s="7">
        <f t="shared" ca="1" si="132"/>
        <v>9.7103342201579582E-2</v>
      </c>
      <c r="E1703" s="7">
        <f t="shared" ca="1" si="133"/>
        <v>0.50395561149869705</v>
      </c>
      <c r="F1703" s="7">
        <f t="shared" ca="1" si="134"/>
        <v>2.0039634660301835E-2</v>
      </c>
      <c r="G1703" s="7">
        <f t="shared" ca="1" si="130"/>
        <v>216.25173632976657</v>
      </c>
      <c r="H1703" s="7">
        <f ca="1">(G1703+DCF!$D$40+DCF!$D$41+DCF!$D$42-DCF!$D$43-DCF!$D$44)/DCF!$C$35</f>
        <v>1.8626184463808926</v>
      </c>
    </row>
    <row r="1704" spans="3:8" x14ac:dyDescent="0.35">
      <c r="C1704" s="8">
        <f t="shared" ca="1" si="131"/>
        <v>0.62884387360144878</v>
      </c>
      <c r="D1704" s="7">
        <f t="shared" ca="1" si="132"/>
        <v>8.9647844412426902E-2</v>
      </c>
      <c r="E1704" s="7">
        <f t="shared" ca="1" si="133"/>
        <v>8.8951941526331679E-2</v>
      </c>
      <c r="F1704" s="7">
        <f t="shared" ca="1" si="134"/>
        <v>1.421786537306092E-2</v>
      </c>
      <c r="G1704" s="7">
        <f t="shared" ca="1" si="130"/>
        <v>227.54758116037453</v>
      </c>
      <c r="H1704" s="7">
        <f ca="1">(G1704+DCF!$D$40+DCF!$D$41+DCF!$D$42-DCF!$D$43-DCF!$D$44)/DCF!$C$35</f>
        <v>1.9263719446911305</v>
      </c>
    </row>
    <row r="1705" spans="3:8" x14ac:dyDescent="0.35">
      <c r="C1705" s="8">
        <f t="shared" ca="1" si="131"/>
        <v>0.13440163528010463</v>
      </c>
      <c r="D1705" s="7">
        <f t="shared" ca="1" si="132"/>
        <v>7.8065382289487006E-2</v>
      </c>
      <c r="E1705" s="7">
        <f t="shared" ca="1" si="133"/>
        <v>1.7990878819822642E-2</v>
      </c>
      <c r="F1705" s="7">
        <f t="shared" ca="1" si="134"/>
        <v>1.1896885806780295E-2</v>
      </c>
      <c r="G1705" s="7">
        <f t="shared" ca="1" si="130"/>
        <v>264.61854421430468</v>
      </c>
      <c r="H1705" s="7">
        <f ca="1">(G1705+DCF!$D$40+DCF!$D$41+DCF!$D$42-DCF!$D$43-DCF!$D$44)/DCF!$C$35</f>
        <v>2.1355996399949468</v>
      </c>
    </row>
    <row r="1706" spans="3:8" x14ac:dyDescent="0.35">
      <c r="C1706" s="8">
        <f t="shared" ca="1" si="131"/>
        <v>0.52155181903287018</v>
      </c>
      <c r="D1706" s="7">
        <f t="shared" ca="1" si="132"/>
        <v>8.6892681463239474E-2</v>
      </c>
      <c r="E1706" s="7">
        <f t="shared" ca="1" si="133"/>
        <v>0.77243846679823525</v>
      </c>
      <c r="F1706" s="7">
        <f t="shared" ca="1" si="134"/>
        <v>2.3253719051184354E-2</v>
      </c>
      <c r="G1706" s="7">
        <f t="shared" ca="1" si="130"/>
        <v>260.63464293767623</v>
      </c>
      <c r="H1706" s="7">
        <f ca="1">(G1706+DCF!$D$40+DCF!$D$41+DCF!$D$42-DCF!$D$43-DCF!$D$44)/DCF!$C$35</f>
        <v>2.1131145893310546</v>
      </c>
    </row>
    <row r="1707" spans="3:8" x14ac:dyDescent="0.35">
      <c r="C1707" s="8">
        <f t="shared" ca="1" si="131"/>
        <v>0.73074843523148514</v>
      </c>
      <c r="D1707" s="7">
        <f t="shared" ca="1" si="132"/>
        <v>9.2665504152653802E-2</v>
      </c>
      <c r="E1707" s="7">
        <f t="shared" ca="1" si="133"/>
        <v>0.75807077773781295</v>
      </c>
      <c r="F1707" s="7">
        <f t="shared" ca="1" si="134"/>
        <v>2.304400658047771E-2</v>
      </c>
      <c r="G1707" s="7">
        <f t="shared" ca="1" si="130"/>
        <v>237.34001816418669</v>
      </c>
      <c r="H1707" s="7">
        <f ca="1">(G1707+DCF!$D$40+DCF!$D$41+DCF!$D$42-DCF!$D$43-DCF!$D$44)/DCF!$C$35</f>
        <v>1.981640242488919</v>
      </c>
    </row>
    <row r="1708" spans="3:8" x14ac:dyDescent="0.35">
      <c r="C1708" s="8">
        <f t="shared" ca="1" si="131"/>
        <v>0.87788659228933241</v>
      </c>
      <c r="D1708" s="7">
        <f t="shared" ca="1" si="132"/>
        <v>9.8326159029475141E-2</v>
      </c>
      <c r="E1708" s="7">
        <f t="shared" ca="1" si="133"/>
        <v>0.31218007815823701</v>
      </c>
      <c r="F1708" s="7">
        <f t="shared" ca="1" si="134"/>
        <v>1.7901646387408602E-2</v>
      </c>
      <c r="G1708" s="7">
        <f t="shared" ca="1" si="130"/>
        <v>208.76413903924538</v>
      </c>
      <c r="H1708" s="7">
        <f ca="1">(G1708+DCF!$D$40+DCF!$D$41+DCF!$D$42-DCF!$D$43-DCF!$D$44)/DCF!$C$35</f>
        <v>1.8203586129317382</v>
      </c>
    </row>
    <row r="1709" spans="3:8" x14ac:dyDescent="0.35">
      <c r="C1709" s="8">
        <f t="shared" ca="1" si="131"/>
        <v>0.7965247833917567</v>
      </c>
      <c r="D1709" s="7">
        <f t="shared" ca="1" si="132"/>
        <v>9.4930881189173685E-2</v>
      </c>
      <c r="E1709" s="7">
        <f t="shared" ca="1" si="133"/>
        <v>0.51657588275784561</v>
      </c>
      <c r="F1709" s="7">
        <f t="shared" ca="1" si="134"/>
        <v>2.0167155882023204E-2</v>
      </c>
      <c r="G1709" s="7">
        <f t="shared" ca="1" si="130"/>
        <v>223.18810398246762</v>
      </c>
      <c r="H1709" s="7">
        <f ca="1">(G1709+DCF!$D$40+DCF!$D$41+DCF!$D$42-DCF!$D$43-DCF!$D$44)/DCF!$C$35</f>
        <v>1.9017671519498116</v>
      </c>
    </row>
    <row r="1710" spans="3:8" x14ac:dyDescent="0.35">
      <c r="C1710" s="8">
        <f t="shared" ca="1" si="131"/>
        <v>0.60683577097158992</v>
      </c>
      <c r="D1710" s="7">
        <f t="shared" ca="1" si="132"/>
        <v>8.9053131986005507E-2</v>
      </c>
      <c r="E1710" s="7">
        <f t="shared" ca="1" si="133"/>
        <v>0.38226709043919715</v>
      </c>
      <c r="F1710" s="7">
        <f t="shared" ca="1" si="134"/>
        <v>1.8743764526097408E-2</v>
      </c>
      <c r="G1710" s="7">
        <f t="shared" ca="1" si="130"/>
        <v>239.865518081327</v>
      </c>
      <c r="H1710" s="7">
        <f ca="1">(G1710+DCF!$D$40+DCF!$D$41+DCF!$D$42-DCF!$D$43-DCF!$D$44)/DCF!$C$35</f>
        <v>1.9958941081461055</v>
      </c>
    </row>
    <row r="1711" spans="3:8" x14ac:dyDescent="0.35">
      <c r="C1711" s="8">
        <f t="shared" ca="1" si="131"/>
        <v>0.94741155021982137</v>
      </c>
      <c r="D1711" s="7">
        <f t="shared" ca="1" si="132"/>
        <v>0.10233914430662741</v>
      </c>
      <c r="E1711" s="7">
        <f t="shared" ca="1" si="133"/>
        <v>0.17770393189485101</v>
      </c>
      <c r="F1711" s="7">
        <f t="shared" ca="1" si="134"/>
        <v>1.5961609378261056E-2</v>
      </c>
      <c r="G1711" s="7">
        <f t="shared" ca="1" si="130"/>
        <v>195.19357861418308</v>
      </c>
      <c r="H1711" s="7">
        <f ca="1">(G1711+DCF!$D$40+DCF!$D$41+DCF!$D$42-DCF!$D$43-DCF!$D$44)/DCF!$C$35</f>
        <v>1.7437666701331023</v>
      </c>
    </row>
    <row r="1712" spans="3:8" x14ac:dyDescent="0.35">
      <c r="C1712" s="8">
        <f t="shared" ca="1" si="131"/>
        <v>0.416590346631727</v>
      </c>
      <c r="D1712" s="7">
        <f t="shared" ca="1" si="132"/>
        <v>8.4483629310597635E-2</v>
      </c>
      <c r="E1712" s="7">
        <f t="shared" ca="1" si="133"/>
        <v>0.85703376802957221</v>
      </c>
      <c r="F1712" s="7">
        <f t="shared" ca="1" si="134"/>
        <v>2.4652734680784431E-2</v>
      </c>
      <c r="G1712" s="7">
        <f t="shared" ca="1" si="130"/>
        <v>276.14909861561108</v>
      </c>
      <c r="H1712" s="7">
        <f ca="1">(G1712+DCF!$D$40+DCF!$D$41+DCF!$D$42-DCF!$D$43-DCF!$D$44)/DCF!$C$35</f>
        <v>2.2006778339294</v>
      </c>
    </row>
    <row r="1713" spans="3:8" x14ac:dyDescent="0.35">
      <c r="C1713" s="8">
        <f t="shared" ca="1" si="131"/>
        <v>0.909420408746896</v>
      </c>
      <c r="D1713" s="7">
        <f t="shared" ca="1" si="132"/>
        <v>9.9945805659404433E-2</v>
      </c>
      <c r="E1713" s="7">
        <f t="shared" ca="1" si="133"/>
        <v>0.62088809337568152</v>
      </c>
      <c r="F1713" s="7">
        <f t="shared" ca="1" si="134"/>
        <v>2.1292395201614644E-2</v>
      </c>
      <c r="G1713" s="7">
        <f t="shared" ca="1" si="130"/>
        <v>210.34436917968156</v>
      </c>
      <c r="H1713" s="7">
        <f ca="1">(G1713+DCF!$D$40+DCF!$D$41+DCF!$D$42-DCF!$D$43-DCF!$D$44)/DCF!$C$35</f>
        <v>1.8292773968827269</v>
      </c>
    </row>
    <row r="1714" spans="3:8" x14ac:dyDescent="0.35">
      <c r="C1714" s="8">
        <f t="shared" ca="1" si="131"/>
        <v>0.90563950042122487</v>
      </c>
      <c r="D1714" s="7">
        <f t="shared" ca="1" si="132"/>
        <v>9.9738113354265065E-2</v>
      </c>
      <c r="E1714" s="7">
        <f t="shared" ca="1" si="133"/>
        <v>0.61755033060524289</v>
      </c>
      <c r="F1714" s="7">
        <f t="shared" ca="1" si="134"/>
        <v>2.125414761850216E-2</v>
      </c>
      <c r="G1714" s="7">
        <f t="shared" ca="1" si="130"/>
        <v>210.86553951987923</v>
      </c>
      <c r="H1714" s="7">
        <f ca="1">(G1714+DCF!$D$40+DCF!$D$41+DCF!$D$42-DCF!$D$43-DCF!$D$44)/DCF!$C$35</f>
        <v>1.8322188707522249</v>
      </c>
    </row>
    <row r="1715" spans="3:8" x14ac:dyDescent="0.35">
      <c r="C1715" s="8">
        <f t="shared" ca="1" si="131"/>
        <v>0.53190470116425637</v>
      </c>
      <c r="D1715" s="7">
        <f t="shared" ca="1" si="132"/>
        <v>8.7144052119837834E-2</v>
      </c>
      <c r="E1715" s="7">
        <f t="shared" ca="1" si="133"/>
        <v>0.48861429910536791</v>
      </c>
      <c r="F1715" s="7">
        <f t="shared" ca="1" si="134"/>
        <v>1.9885487333514397E-2</v>
      </c>
      <c r="G1715" s="7">
        <f t="shared" ca="1" si="130"/>
        <v>249.99053486381942</v>
      </c>
      <c r="H1715" s="7">
        <f ca="1">(G1715+DCF!$D$40+DCF!$D$41+DCF!$D$42-DCF!$D$43-DCF!$D$44)/DCF!$C$35</f>
        <v>2.0530394788566397</v>
      </c>
    </row>
    <row r="1716" spans="3:8" x14ac:dyDescent="0.35">
      <c r="C1716" s="8">
        <f t="shared" ca="1" si="131"/>
        <v>0.99164744525369397</v>
      </c>
      <c r="D1716" s="7">
        <f t="shared" ca="1" si="132"/>
        <v>0.10694689484346223</v>
      </c>
      <c r="E1716" s="7">
        <f t="shared" ca="1" si="133"/>
        <v>0.98121402448500017</v>
      </c>
      <c r="F1716" s="7">
        <f t="shared" ca="1" si="134"/>
        <v>2.8061651449558165E-2</v>
      </c>
      <c r="G1716" s="7">
        <f t="shared" ca="1" si="130"/>
        <v>203.05591919780329</v>
      </c>
      <c r="H1716" s="7">
        <f ca="1">(G1716+DCF!$D$40+DCF!$D$41+DCF!$D$42-DCF!$D$43-DCF!$D$44)/DCF!$C$35</f>
        <v>1.7881415464375396</v>
      </c>
    </row>
    <row r="1717" spans="3:8" x14ac:dyDescent="0.35">
      <c r="C1717" s="8">
        <f t="shared" ca="1" si="131"/>
        <v>0.22068927459524867</v>
      </c>
      <c r="D1717" s="7">
        <f t="shared" ca="1" si="132"/>
        <v>8.0335066952086018E-2</v>
      </c>
      <c r="E1717" s="7">
        <f t="shared" ca="1" si="133"/>
        <v>0.96950162453330913</v>
      </c>
      <c r="F1717" s="7">
        <f t="shared" ca="1" si="134"/>
        <v>2.7530247969261248E-2</v>
      </c>
      <c r="G1717" s="7">
        <f t="shared" ca="1" si="130"/>
        <v>310.1178023501692</v>
      </c>
      <c r="H1717" s="7">
        <f ca="1">(G1717+DCF!$D$40+DCF!$D$41+DCF!$D$42-DCF!$D$43-DCF!$D$44)/DCF!$C$35</f>
        <v>2.3923964462702854</v>
      </c>
    </row>
    <row r="1718" spans="3:8" x14ac:dyDescent="0.35">
      <c r="C1718" s="8">
        <f t="shared" ca="1" si="131"/>
        <v>0.37781389206901361</v>
      </c>
      <c r="D1718" s="7">
        <f t="shared" ca="1" si="132"/>
        <v>8.3649294194443669E-2</v>
      </c>
      <c r="E1718" s="7">
        <f t="shared" ca="1" si="133"/>
        <v>0.16755926509735164</v>
      </c>
      <c r="F1718" s="7">
        <f t="shared" ca="1" si="134"/>
        <v>1.5788942305764529E-2</v>
      </c>
      <c r="G1718" s="7">
        <f t="shared" ca="1" si="130"/>
        <v>252.69469634075563</v>
      </c>
      <c r="H1718" s="7">
        <f ca="1">(G1718+DCF!$D$40+DCF!$D$41+DCF!$D$42-DCF!$D$43-DCF!$D$44)/DCF!$C$35</f>
        <v>2.0683017064045357</v>
      </c>
    </row>
    <row r="1719" spans="3:8" x14ac:dyDescent="0.35">
      <c r="C1719" s="8">
        <f t="shared" ca="1" si="131"/>
        <v>0.89793108038664038</v>
      </c>
      <c r="D1719" s="7">
        <f t="shared" ca="1" si="132"/>
        <v>9.9327188079587028E-2</v>
      </c>
      <c r="E1719" s="7">
        <f t="shared" ca="1" si="133"/>
        <v>0.4833341632331577</v>
      </c>
      <c r="F1719" s="7">
        <f t="shared" ca="1" si="134"/>
        <v>1.9831929243369864E-2</v>
      </c>
      <c r="G1719" s="7">
        <f t="shared" ca="1" si="130"/>
        <v>209.42941545974173</v>
      </c>
      <c r="H1719" s="7">
        <f ca="1">(G1719+DCF!$D$40+DCF!$D$41+DCF!$D$42-DCF!$D$43-DCF!$D$44)/DCF!$C$35</f>
        <v>1.8241134183301824</v>
      </c>
    </row>
    <row r="1720" spans="3:8" x14ac:dyDescent="0.35">
      <c r="C1720" s="8">
        <f t="shared" ca="1" si="131"/>
        <v>0.44455526478996543</v>
      </c>
      <c r="D1720" s="7">
        <f t="shared" ca="1" si="132"/>
        <v>8.5102684391798411E-2</v>
      </c>
      <c r="E1720" s="7">
        <f t="shared" ca="1" si="133"/>
        <v>0.66742795470092375</v>
      </c>
      <c r="F1720" s="7">
        <f t="shared" ca="1" si="134"/>
        <v>2.184436335656037E-2</v>
      </c>
      <c r="G1720" s="7">
        <f t="shared" ca="1" si="130"/>
        <v>264.12141391144229</v>
      </c>
      <c r="H1720" s="7">
        <f ca="1">(G1720+DCF!$D$40+DCF!$D$41+DCF!$D$42-DCF!$D$43-DCF!$D$44)/DCF!$C$35</f>
        <v>2.1327938475642978</v>
      </c>
    </row>
    <row r="1721" spans="3:8" x14ac:dyDescent="0.35">
      <c r="C1721" s="8">
        <f t="shared" ca="1" si="131"/>
        <v>0.88103830769756597</v>
      </c>
      <c r="D1721" s="7">
        <f t="shared" ca="1" si="132"/>
        <v>9.8477793240463171E-2</v>
      </c>
      <c r="E1721" s="7">
        <f t="shared" ca="1" si="133"/>
        <v>0.65142765061442354</v>
      </c>
      <c r="F1721" s="7">
        <f t="shared" ca="1" si="134"/>
        <v>2.1650480859527581E-2</v>
      </c>
      <c r="G1721" s="7">
        <f t="shared" ca="1" si="130"/>
        <v>215.28959686183669</v>
      </c>
      <c r="H1721" s="7">
        <f ca="1">(G1721+DCF!$D$40+DCF!$D$41+DCF!$D$42-DCF!$D$43-DCF!$D$44)/DCF!$C$35</f>
        <v>1.8571881525106484</v>
      </c>
    </row>
    <row r="1722" spans="3:8" x14ac:dyDescent="0.35">
      <c r="C1722" s="8">
        <f t="shared" ca="1" si="131"/>
        <v>0.34599639473750976</v>
      </c>
      <c r="D1722" s="7">
        <f t="shared" ca="1" si="132"/>
        <v>8.2983930273392126E-2</v>
      </c>
      <c r="E1722" s="7">
        <f t="shared" ca="1" si="133"/>
        <v>0.5348727665081956</v>
      </c>
      <c r="F1722" s="7">
        <f t="shared" ca="1" si="134"/>
        <v>2.035502997939543E-2</v>
      </c>
      <c r="G1722" s="7">
        <f t="shared" ca="1" si="130"/>
        <v>268.89840896413125</v>
      </c>
      <c r="H1722" s="7">
        <f ca="1">(G1722+DCF!$D$40+DCF!$D$41+DCF!$D$42-DCF!$D$43-DCF!$D$44)/DCF!$C$35</f>
        <v>2.1597551019535568</v>
      </c>
    </row>
    <row r="1723" spans="3:8" x14ac:dyDescent="0.35">
      <c r="C1723" s="8">
        <f t="shared" ca="1" si="131"/>
        <v>0.6336184157398761</v>
      </c>
      <c r="D1723" s="7">
        <f t="shared" ca="1" si="132"/>
        <v>8.9779172914188243E-2</v>
      </c>
      <c r="E1723" s="7">
        <f t="shared" ca="1" si="133"/>
        <v>0.97218807164042664</v>
      </c>
      <c r="F1723" s="7">
        <f t="shared" ca="1" si="134"/>
        <v>2.7641528954616006E-2</v>
      </c>
      <c r="G1723" s="7">
        <f t="shared" ca="1" si="130"/>
        <v>261.51406126556481</v>
      </c>
      <c r="H1723" s="7">
        <f ca="1">(G1723+DCF!$D$40+DCF!$D$41+DCF!$D$42-DCF!$D$43-DCF!$D$44)/DCF!$C$35</f>
        <v>2.1180780069170604</v>
      </c>
    </row>
    <row r="1724" spans="3:8" x14ac:dyDescent="0.35">
      <c r="C1724" s="8">
        <f t="shared" ca="1" si="131"/>
        <v>0.55993366068394146</v>
      </c>
      <c r="D1724" s="7">
        <f t="shared" ca="1" si="132"/>
        <v>8.7838907186767137E-2</v>
      </c>
      <c r="E1724" s="7">
        <f t="shared" ca="1" si="133"/>
        <v>0.94545083554679588</v>
      </c>
      <c r="F1724" s="7">
        <f t="shared" ca="1" si="134"/>
        <v>2.6696996383495649E-2</v>
      </c>
      <c r="G1724" s="7">
        <f t="shared" ca="1" si="130"/>
        <v>267.22071457193198</v>
      </c>
      <c r="H1724" s="7">
        <f ca="1">(G1724+DCF!$D$40+DCF!$D$41+DCF!$D$42-DCF!$D$43-DCF!$D$44)/DCF!$C$35</f>
        <v>2.1502862319219549</v>
      </c>
    </row>
    <row r="1725" spans="3:8" x14ac:dyDescent="0.35">
      <c r="C1725" s="8">
        <f t="shared" ca="1" si="131"/>
        <v>0.54451137591614174</v>
      </c>
      <c r="D1725" s="7">
        <f t="shared" ca="1" si="132"/>
        <v>8.7453929289617094E-2</v>
      </c>
      <c r="E1725" s="7">
        <f t="shared" ca="1" si="133"/>
        <v>0.94073850471877807</v>
      </c>
      <c r="F1725" s="7">
        <f t="shared" ca="1" si="134"/>
        <v>2.6557283186748524E-2</v>
      </c>
      <c r="G1725" s="7">
        <f t="shared" ca="1" si="130"/>
        <v>268.5336961789269</v>
      </c>
      <c r="H1725" s="7">
        <f ca="1">(G1725+DCF!$D$40+DCF!$D$41+DCF!$D$42-DCF!$D$43-DCF!$D$44)/DCF!$C$35</f>
        <v>2.1576966710629129</v>
      </c>
    </row>
    <row r="1726" spans="3:8" x14ac:dyDescent="0.35">
      <c r="C1726" s="8">
        <f t="shared" ca="1" si="131"/>
        <v>0.10771396506358122</v>
      </c>
      <c r="D1726" s="7">
        <f t="shared" ca="1" si="132"/>
        <v>7.7220357268914977E-2</v>
      </c>
      <c r="E1726" s="7">
        <f t="shared" ca="1" si="133"/>
        <v>0.11485390306228527</v>
      </c>
      <c r="F1726" s="7">
        <f t="shared" ca="1" si="134"/>
        <v>1.4792784223440176E-2</v>
      </c>
      <c r="G1726" s="7">
        <f t="shared" ca="1" si="130"/>
        <v>277.41315509267349</v>
      </c>
      <c r="H1726" s="7">
        <f ca="1">(G1726+DCF!$D$40+DCF!$D$41+DCF!$D$42-DCF!$D$43-DCF!$D$44)/DCF!$C$35</f>
        <v>2.2078121407194575</v>
      </c>
    </row>
    <row r="1727" spans="3:8" x14ac:dyDescent="0.35">
      <c r="C1727" s="8">
        <f t="shared" ca="1" si="131"/>
        <v>0.32429373035597253</v>
      </c>
      <c r="D1727" s="7">
        <f t="shared" ca="1" si="132"/>
        <v>8.2539333640227613E-2</v>
      </c>
      <c r="E1727" s="7">
        <f t="shared" ca="1" si="133"/>
        <v>0.82871922923491181</v>
      </c>
      <c r="F1727" s="7">
        <f t="shared" ca="1" si="134"/>
        <v>2.4147124283481015E-2</v>
      </c>
      <c r="G1727" s="7">
        <f t="shared" ca="1" si="130"/>
        <v>283.99724078673205</v>
      </c>
      <c r="H1727" s="7">
        <f ca="1">(G1727+DCF!$D$40+DCF!$D$41+DCF!$D$42-DCF!$D$43-DCF!$D$44)/DCF!$C$35</f>
        <v>2.2449725747078229</v>
      </c>
    </row>
    <row r="1728" spans="3:8" x14ac:dyDescent="0.35">
      <c r="C1728" s="8">
        <f t="shared" ca="1" si="131"/>
        <v>0.90077130552536566</v>
      </c>
      <c r="D1728" s="7">
        <f t="shared" ca="1" si="132"/>
        <v>9.9476729451653742E-2</v>
      </c>
      <c r="E1728" s="7">
        <f t="shared" ca="1" si="133"/>
        <v>0.20711860449455888</v>
      </c>
      <c r="F1728" s="7">
        <f t="shared" ca="1" si="134"/>
        <v>1.6436126233916777E-2</v>
      </c>
      <c r="G1728" s="7">
        <f t="shared" ca="1" si="130"/>
        <v>203.15464771191932</v>
      </c>
      <c r="H1728" s="7">
        <f ca="1">(G1728+DCF!$D$40+DCF!$D$41+DCF!$D$42-DCF!$D$43-DCF!$D$44)/DCF!$C$35</f>
        <v>1.788698767986902</v>
      </c>
    </row>
    <row r="1729" spans="3:8" x14ac:dyDescent="0.35">
      <c r="C1729" s="8">
        <f t="shared" ca="1" si="131"/>
        <v>0.65722165239685015</v>
      </c>
      <c r="D1729" s="7">
        <f t="shared" ca="1" si="132"/>
        <v>9.0441353934254162E-2</v>
      </c>
      <c r="E1729" s="7">
        <f t="shared" ca="1" si="133"/>
        <v>0.42888605413195258</v>
      </c>
      <c r="F1729" s="7">
        <f t="shared" ca="1" si="134"/>
        <v>1.926159871870891E-2</v>
      </c>
      <c r="G1729" s="7">
        <f t="shared" ca="1" si="130"/>
        <v>236.16038293880874</v>
      </c>
      <c r="H1729" s="7">
        <f ca="1">(G1729+DCF!$D$40+DCF!$D$41+DCF!$D$42-DCF!$D$43-DCF!$D$44)/DCF!$C$35</f>
        <v>1.9749824073755997</v>
      </c>
    </row>
    <row r="1730" spans="3:8" x14ac:dyDescent="0.35">
      <c r="C1730" s="8">
        <f t="shared" ca="1" si="131"/>
        <v>0.57985206612383577</v>
      </c>
      <c r="D1730" s="7">
        <f t="shared" ca="1" si="132"/>
        <v>8.8346245263100462E-2</v>
      </c>
      <c r="E1730" s="7">
        <f t="shared" ca="1" si="133"/>
        <v>0.36783323989155836</v>
      </c>
      <c r="F1730" s="7">
        <f t="shared" ca="1" si="134"/>
        <v>1.8577100208013876E-2</v>
      </c>
      <c r="G1730" s="7">
        <f t="shared" ca="1" si="130"/>
        <v>242.03130537947357</v>
      </c>
      <c r="H1730" s="7">
        <f ca="1">(G1730+DCF!$D$40+DCF!$D$41+DCF!$D$42-DCF!$D$43-DCF!$D$44)/DCF!$C$35</f>
        <v>2.0081177637401146</v>
      </c>
    </row>
    <row r="1731" spans="3:8" x14ac:dyDescent="0.35">
      <c r="C1731" s="8">
        <f t="shared" ca="1" si="131"/>
        <v>0.31804641463391958</v>
      </c>
      <c r="D1731" s="7">
        <f t="shared" ca="1" si="132"/>
        <v>8.241268042617142E-2</v>
      </c>
      <c r="E1731" s="7">
        <f t="shared" ca="1" si="133"/>
        <v>0.13397219859916332</v>
      </c>
      <c r="F1731" s="7">
        <f t="shared" ca="1" si="134"/>
        <v>1.5176334583451176E-2</v>
      </c>
      <c r="G1731" s="7">
        <f t="shared" ca="1" si="130"/>
        <v>255.95670435704525</v>
      </c>
      <c r="H1731" s="7">
        <f ca="1">(G1731+DCF!$D$40+DCF!$D$41+DCF!$D$42-DCF!$D$43-DCF!$D$44)/DCF!$C$35</f>
        <v>2.0867124074785264</v>
      </c>
    </row>
    <row r="1732" spans="3:8" x14ac:dyDescent="0.35">
      <c r="C1732" s="8">
        <f t="shared" ca="1" si="131"/>
        <v>1.2528018610245439E-2</v>
      </c>
      <c r="D1732" s="7">
        <f t="shared" ca="1" si="132"/>
        <v>7.2462429898973543E-2</v>
      </c>
      <c r="E1732" s="7">
        <f t="shared" ca="1" si="133"/>
        <v>0.39612403226087267</v>
      </c>
      <c r="F1732" s="7">
        <f t="shared" ca="1" si="134"/>
        <v>1.8900831784287045E-2</v>
      </c>
      <c r="G1732" s="7">
        <f t="shared" ca="1" si="130"/>
        <v>319.23822129349708</v>
      </c>
      <c r="H1732" s="7">
        <f ca="1">(G1732+DCF!$D$40+DCF!$D$41+DCF!$D$42-DCF!$D$43-DCF!$D$44)/DCF!$C$35</f>
        <v>2.4438718890026925</v>
      </c>
    </row>
    <row r="1733" spans="3:8" x14ac:dyDescent="0.35">
      <c r="C1733" s="8">
        <f t="shared" ca="1" si="131"/>
        <v>0.4888873702646136</v>
      </c>
      <c r="D1733" s="7">
        <f t="shared" ca="1" si="132"/>
        <v>8.6116916137468955E-2</v>
      </c>
      <c r="E1733" s="7">
        <f t="shared" ca="1" si="133"/>
        <v>0.65403711005346454</v>
      </c>
      <c r="F1733" s="7">
        <f t="shared" ca="1" si="134"/>
        <v>2.1681792381209333E-2</v>
      </c>
      <c r="G1733" s="7">
        <f t="shared" ca="1" si="130"/>
        <v>259.25384438852882</v>
      </c>
      <c r="H1733" s="7">
        <f ca="1">(G1733+DCF!$D$40+DCF!$D$41+DCF!$D$42-DCF!$D$43-DCF!$D$44)/DCF!$C$35</f>
        <v>2.1053213928689964</v>
      </c>
    </row>
    <row r="1734" spans="3:8" x14ac:dyDescent="0.35">
      <c r="C1734" s="8">
        <f t="shared" ca="1" si="131"/>
        <v>0.42384888941920573</v>
      </c>
      <c r="D1734" s="7">
        <f t="shared" ca="1" si="132"/>
        <v>8.4642858216901373E-2</v>
      </c>
      <c r="E1734" s="7">
        <f t="shared" ca="1" si="133"/>
        <v>0.63747050721169918</v>
      </c>
      <c r="F1734" s="7">
        <f t="shared" ca="1" si="134"/>
        <v>2.148496044884933E-2</v>
      </c>
      <c r="G1734" s="7">
        <f t="shared" ca="1" si="130"/>
        <v>265.03548115351134</v>
      </c>
      <c r="H1734" s="7">
        <f ca="1">(G1734+DCF!$D$40+DCF!$D$41+DCF!$D$42-DCF!$D$43-DCF!$D$44)/DCF!$C$35</f>
        <v>2.1379528228553522</v>
      </c>
    </row>
    <row r="1735" spans="3:8" x14ac:dyDescent="0.35">
      <c r="C1735" s="8">
        <f t="shared" ca="1" si="131"/>
        <v>0.86046249856409318</v>
      </c>
      <c r="D1735" s="7">
        <f t="shared" ca="1" si="132"/>
        <v>9.7521063683050871E-2</v>
      </c>
      <c r="E1735" s="7">
        <f t="shared" ca="1" si="133"/>
        <v>0.51476661874401386</v>
      </c>
      <c r="F1735" s="7">
        <f t="shared" ca="1" si="134"/>
        <v>2.0148772855567827E-2</v>
      </c>
      <c r="G1735" s="7">
        <f t="shared" ca="1" si="130"/>
        <v>215.22230549651437</v>
      </c>
      <c r="H1735" s="7">
        <f ca="1">(G1735+DCF!$D$40+DCF!$D$41+DCF!$D$42-DCF!$D$43-DCF!$D$44)/DCF!$C$35</f>
        <v>1.8568083615335498</v>
      </c>
    </row>
    <row r="1736" spans="3:8" x14ac:dyDescent="0.35">
      <c r="C1736" s="8">
        <f t="shared" ca="1" si="131"/>
        <v>0.60868007949398795</v>
      </c>
      <c r="D1736" s="7">
        <f t="shared" ca="1" si="132"/>
        <v>8.9102319954485157E-2</v>
      </c>
      <c r="E1736" s="7">
        <f t="shared" ca="1" si="133"/>
        <v>0.75269630788835129</v>
      </c>
      <c r="F1736" s="7">
        <f t="shared" ca="1" si="134"/>
        <v>2.2967167112583314E-2</v>
      </c>
      <c r="G1736" s="7">
        <f t="shared" ca="1" si="130"/>
        <v>250.64576695606362</v>
      </c>
      <c r="H1736" s="7">
        <f ca="1">(G1736+DCF!$D$40+DCF!$D$41+DCF!$D$42-DCF!$D$43-DCF!$D$44)/DCF!$C$35</f>
        <v>2.0567375942886534</v>
      </c>
    </row>
    <row r="1737" spans="3:8" x14ac:dyDescent="0.35">
      <c r="C1737" s="8">
        <f t="shared" ca="1" si="131"/>
        <v>0.60439721805475066</v>
      </c>
      <c r="D1737" s="7">
        <f t="shared" ca="1" si="132"/>
        <v>8.898827221166955E-2</v>
      </c>
      <c r="E1737" s="7">
        <f t="shared" ca="1" si="133"/>
        <v>0.16195770508882457</v>
      </c>
      <c r="F1737" s="7">
        <f t="shared" ca="1" si="134"/>
        <v>1.5691356693949599E-2</v>
      </c>
      <c r="G1737" s="7">
        <f t="shared" ca="1" si="130"/>
        <v>232.93824099084884</v>
      </c>
      <c r="H1737" s="7">
        <f ca="1">(G1737+DCF!$D$40+DCF!$D$41+DCF!$D$42-DCF!$D$43-DCF!$D$44)/DCF!$C$35</f>
        <v>1.9567967095092496</v>
      </c>
    </row>
    <row r="1738" spans="3:8" x14ac:dyDescent="0.35">
      <c r="C1738" s="8">
        <f t="shared" ca="1" si="131"/>
        <v>0.96381927504407106</v>
      </c>
      <c r="D1738" s="7">
        <f t="shared" ca="1" si="132"/>
        <v>0.10364565589137505</v>
      </c>
      <c r="E1738" s="7">
        <f t="shared" ca="1" si="133"/>
        <v>0.68377206888058439</v>
      </c>
      <c r="F1738" s="7">
        <f t="shared" ca="1" si="134"/>
        <v>2.2047290636274759E-2</v>
      </c>
      <c r="G1738" s="7">
        <f t="shared" ca="1" si="130"/>
        <v>201.55679022165566</v>
      </c>
      <c r="H1738" s="7">
        <f ca="1">(G1738+DCF!$D$40+DCF!$D$41+DCF!$D$42-DCF!$D$43-DCF!$D$44)/DCF!$C$35</f>
        <v>1.7796804956634815</v>
      </c>
    </row>
    <row r="1739" spans="3:8" x14ac:dyDescent="0.35">
      <c r="C1739" s="8">
        <f t="shared" ca="1" si="131"/>
        <v>0.14378705914499168</v>
      </c>
      <c r="D1739" s="7">
        <f t="shared" ca="1" si="132"/>
        <v>7.8342238106538079E-2</v>
      </c>
      <c r="E1739" s="7">
        <f t="shared" ca="1" si="133"/>
        <v>0.68546897376410632</v>
      </c>
      <c r="F1739" s="7">
        <f t="shared" ca="1" si="134"/>
        <v>2.2068656781655534E-2</v>
      </c>
      <c r="G1739" s="7">
        <f t="shared" ca="1" si="130"/>
        <v>298.3060444902041</v>
      </c>
      <c r="H1739" s="7">
        <f ca="1">(G1739+DCF!$D$40+DCF!$D$41+DCF!$D$42-DCF!$D$43-DCF!$D$44)/DCF!$C$35</f>
        <v>2.3257311462366186</v>
      </c>
    </row>
    <row r="1740" spans="3:8" x14ac:dyDescent="0.35">
      <c r="C1740" s="8">
        <f t="shared" ca="1" si="131"/>
        <v>0.25173234620060747</v>
      </c>
      <c r="D1740" s="7">
        <f t="shared" ca="1" si="132"/>
        <v>8.1038045821661284E-2</v>
      </c>
      <c r="E1740" s="7">
        <f t="shared" ca="1" si="133"/>
        <v>0.67938762029759181</v>
      </c>
      <c r="F1740" s="7">
        <f t="shared" ca="1" si="134"/>
        <v>2.1992348912416224E-2</v>
      </c>
      <c r="G1740" s="7">
        <f t="shared" ca="1" si="130"/>
        <v>283.74938328237357</v>
      </c>
      <c r="H1740" s="7">
        <f ca="1">(G1740+DCF!$D$40+DCF!$D$41+DCF!$D$42-DCF!$D$43-DCF!$D$44)/DCF!$C$35</f>
        <v>2.2435736724369204</v>
      </c>
    </row>
    <row r="1741" spans="3:8" x14ac:dyDescent="0.35">
      <c r="C1741" s="8">
        <f t="shared" ca="1" si="131"/>
        <v>0.72684671534843437</v>
      </c>
      <c r="D1741" s="7">
        <f t="shared" ca="1" si="132"/>
        <v>9.2540358947814899E-2</v>
      </c>
      <c r="E1741" s="7">
        <f t="shared" ca="1" si="133"/>
        <v>0.81785594800707007</v>
      </c>
      <c r="F1741" s="7">
        <f t="shared" ca="1" si="134"/>
        <v>2.3964371582131154E-2</v>
      </c>
      <c r="G1741" s="7">
        <f t="shared" ca="1" si="130"/>
        <v>240.07902159676382</v>
      </c>
      <c r="H1741" s="7">
        <f ca="1">(G1741+DCF!$D$40+DCF!$D$41+DCF!$D$42-DCF!$D$43-DCF!$D$44)/DCF!$C$35</f>
        <v>1.9970991172635952</v>
      </c>
    </row>
    <row r="1742" spans="3:8" x14ac:dyDescent="0.35">
      <c r="C1742" s="8">
        <f t="shared" ca="1" si="131"/>
        <v>0.92140880522907631</v>
      </c>
      <c r="D1742" s="7">
        <f t="shared" ca="1" si="132"/>
        <v>0.10063475716468864</v>
      </c>
      <c r="E1742" s="7">
        <f t="shared" ca="1" si="133"/>
        <v>0.67786937246728063</v>
      </c>
      <c r="F1742" s="7">
        <f t="shared" ca="1" si="134"/>
        <v>2.1973411340641416E-2</v>
      </c>
      <c r="G1742" s="7">
        <f t="shared" ca="1" si="130"/>
        <v>209.63991980887448</v>
      </c>
      <c r="H1742" s="7">
        <f ca="1">(G1742+DCF!$D$40+DCF!$D$41+DCF!$D$42-DCF!$D$43-DCF!$D$44)/DCF!$C$35</f>
        <v>1.8253015002194066</v>
      </c>
    </row>
    <row r="1743" spans="3:8" x14ac:dyDescent="0.35">
      <c r="C1743" s="8">
        <f t="shared" ca="1" si="131"/>
        <v>3.2698151775235718E-2</v>
      </c>
      <c r="D1743" s="7">
        <f t="shared" ca="1" si="132"/>
        <v>7.3978178661047556E-2</v>
      </c>
      <c r="E1743" s="7">
        <f t="shared" ca="1" si="133"/>
        <v>5.2500293329951209E-3</v>
      </c>
      <c r="F1743" s="7">
        <f t="shared" ca="1" si="134"/>
        <v>1.102469793919917E-2</v>
      </c>
      <c r="G1743" s="7">
        <f t="shared" ca="1" si="130"/>
        <v>280.21015010853256</v>
      </c>
      <c r="H1743" s="7">
        <f ca="1">(G1743+DCF!$D$40+DCF!$D$41+DCF!$D$42-DCF!$D$43-DCF!$D$44)/DCF!$C$35</f>
        <v>2.2235983187071482</v>
      </c>
    </row>
    <row r="1744" spans="3:8" x14ac:dyDescent="0.35">
      <c r="C1744" s="8">
        <f t="shared" ca="1" si="131"/>
        <v>0.72175706060423817</v>
      </c>
      <c r="D1744" s="7">
        <f t="shared" ca="1" si="132"/>
        <v>9.2378447277107784E-2</v>
      </c>
      <c r="E1744" s="7">
        <f t="shared" ca="1" si="133"/>
        <v>0.10859867277816437</v>
      </c>
      <c r="F1744" s="7">
        <f t="shared" ca="1" si="134"/>
        <v>1.4660443600735113E-2</v>
      </c>
      <c r="G1744" s="7">
        <f t="shared" ref="G1744:G1807" ca="1" si="135">$C$11/(1+D1744)^1
 +$D$11/(1+D1744)^2
 +$E$11/(1+D1744)^3
 +$F$11/(1+D1744)^4
 +$G$11/(1+D1744)^5
 +$H$11/(1+D1744)^6
 +$I$11/(1+D1744)^7
 + ( $I$11*(1+F1744)/(D1744-F1744) )/(1+D1744)^7</f>
        <v>219.92933587687216</v>
      </c>
      <c r="H1744" s="7">
        <f ca="1">(G1744+DCF!$D$40+DCF!$D$41+DCF!$D$42-DCF!$D$43-DCF!$D$44)/DCF!$C$35</f>
        <v>1.8833747368600979</v>
      </c>
    </row>
    <row r="1745" spans="3:8" x14ac:dyDescent="0.35">
      <c r="C1745" s="8">
        <f t="shared" ref="C1745:C1808" ca="1" si="136">RAND()</f>
        <v>0.73094091352967971</v>
      </c>
      <c r="D1745" s="7">
        <f t="shared" ref="D1745:D1808" ca="1" si="137">IF(C1745&lt;($C$6-0.07)/(0.11-0.07),0.07+SQRT(C1745*(0.11-0.07)*($C$6-0.07)),0.11-SQRT((1-C1745)*(0.11-0.07)*(0.11-$C$6)))</f>
        <v>9.2671701165409306E-2</v>
      </c>
      <c r="E1745" s="7">
        <f t="shared" ref="E1745:E1808" ca="1" si="138">RAND()</f>
        <v>0.56379534994924529</v>
      </c>
      <c r="F1745" s="7">
        <f t="shared" ref="F1745:F1808" ca="1" si="139">MIN(
 IF(E1745&lt;(0.02-0.01)/(0.03-0.01),
   0.01+SQRT(E1745*(0.03-0.01)*(0.02-0.01)),
   0.03-SQRT((1-E1745)*(0.03-0.01)*(0.03-0.02))
 ),
 D1745-0.005
)</f>
        <v>2.0659714671909059E-2</v>
      </c>
      <c r="G1745" s="7">
        <f t="shared" ca="1" si="135"/>
        <v>231.68830804562353</v>
      </c>
      <c r="H1745" s="7">
        <f ca="1">(G1745+DCF!$D$40+DCF!$D$41+DCF!$D$42-DCF!$D$43-DCF!$D$44)/DCF!$C$35</f>
        <v>1.949742115620406</v>
      </c>
    </row>
    <row r="1746" spans="3:8" x14ac:dyDescent="0.35">
      <c r="C1746" s="8">
        <f t="shared" ca="1" si="136"/>
        <v>0.85133214024513804</v>
      </c>
      <c r="D1746" s="7">
        <f t="shared" ca="1" si="137"/>
        <v>9.7119265103014274E-2</v>
      </c>
      <c r="E1746" s="7">
        <f t="shared" ca="1" si="138"/>
        <v>0.51145526368253302</v>
      </c>
      <c r="F1746" s="7">
        <f t="shared" ca="1" si="139"/>
        <v>2.0115216377507628E-2</v>
      </c>
      <c r="G1746" s="7">
        <f t="shared" ca="1" si="135"/>
        <v>216.35136698963248</v>
      </c>
      <c r="H1746" s="7">
        <f ca="1">(G1746+DCF!$D$40+DCF!$D$41+DCF!$D$42-DCF!$D$43-DCF!$D$44)/DCF!$C$35</f>
        <v>1.863180759620908</v>
      </c>
    </row>
    <row r="1747" spans="3:8" x14ac:dyDescent="0.35">
      <c r="C1747" s="8">
        <f t="shared" ca="1" si="136"/>
        <v>0.54455442907028251</v>
      </c>
      <c r="D1747" s="7">
        <f t="shared" ca="1" si="137"/>
        <v>8.7454994851241113E-2</v>
      </c>
      <c r="E1747" s="7">
        <f t="shared" ca="1" si="138"/>
        <v>0.73161161996294932</v>
      </c>
      <c r="F1747" s="7">
        <f t="shared" ca="1" si="139"/>
        <v>2.2673494966397E-2</v>
      </c>
      <c r="G1747" s="7">
        <f t="shared" ca="1" si="135"/>
        <v>256.53476508970061</v>
      </c>
      <c r="H1747" s="7">
        <f ca="1">(G1747+DCF!$D$40+DCF!$D$41+DCF!$D$42-DCF!$D$43-DCF!$D$44)/DCF!$C$35</f>
        <v>2.0899749694643899</v>
      </c>
    </row>
    <row r="1748" spans="3:8" x14ac:dyDescent="0.35">
      <c r="C1748" s="8">
        <f t="shared" ca="1" si="136"/>
        <v>0.18740307047907878</v>
      </c>
      <c r="D1748" s="7">
        <f t="shared" ca="1" si="137"/>
        <v>7.9523816782775397E-2</v>
      </c>
      <c r="E1748" s="7">
        <f t="shared" ca="1" si="138"/>
        <v>0.65224761424000555</v>
      </c>
      <c r="F1748" s="7">
        <f t="shared" ca="1" si="139"/>
        <v>2.1660307130835159E-2</v>
      </c>
      <c r="G1748" s="7">
        <f t="shared" ca="1" si="135"/>
        <v>290.31768579166504</v>
      </c>
      <c r="H1748" s="7">
        <f ca="1">(G1748+DCF!$D$40+DCF!$D$41+DCF!$D$42-DCF!$D$43-DCF!$D$44)/DCF!$C$35</f>
        <v>2.2806450264796534</v>
      </c>
    </row>
    <row r="1749" spans="3:8" x14ac:dyDescent="0.35">
      <c r="C1749" s="8">
        <f t="shared" ca="1" si="136"/>
        <v>0.22724964919275936</v>
      </c>
      <c r="D1749" s="7">
        <f t="shared" ca="1" si="137"/>
        <v>8.0487555969304556E-2</v>
      </c>
      <c r="E1749" s="7">
        <f t="shared" ca="1" si="138"/>
        <v>0.83976638926649949</v>
      </c>
      <c r="F1749" s="7">
        <f t="shared" ca="1" si="139"/>
        <v>2.4339017563470091E-2</v>
      </c>
      <c r="G1749" s="7">
        <f t="shared" ca="1" si="135"/>
        <v>295.5986490599505</v>
      </c>
      <c r="H1749" s="7">
        <f ca="1">(G1749+DCF!$D$40+DCF!$D$41+DCF!$D$42-DCF!$D$43-DCF!$D$44)/DCF!$C$35</f>
        <v>2.3104506663277484</v>
      </c>
    </row>
    <row r="1750" spans="3:8" x14ac:dyDescent="0.35">
      <c r="C1750" s="8">
        <f t="shared" ca="1" si="136"/>
        <v>0.32822241018504883</v>
      </c>
      <c r="D1750" s="7">
        <f t="shared" ca="1" si="137"/>
        <v>8.2619280684512963E-2</v>
      </c>
      <c r="E1750" s="7">
        <f t="shared" ca="1" si="138"/>
        <v>0.1490237661301721</v>
      </c>
      <c r="F1750" s="7">
        <f t="shared" ca="1" si="139"/>
        <v>1.5459372970042844E-2</v>
      </c>
      <c r="G1750" s="7">
        <f t="shared" ca="1" si="135"/>
        <v>255.90700264053504</v>
      </c>
      <c r="H1750" s="7">
        <f ca="1">(G1750+DCF!$D$40+DCF!$D$41+DCF!$D$42-DCF!$D$43-DCF!$D$44)/DCF!$C$35</f>
        <v>2.0864318920901628</v>
      </c>
    </row>
    <row r="1751" spans="3:8" x14ac:dyDescent="0.35">
      <c r="C1751" s="8">
        <f t="shared" ca="1" si="136"/>
        <v>0.72644613183062656</v>
      </c>
      <c r="D1751" s="7">
        <f t="shared" ca="1" si="137"/>
        <v>9.252756122125419E-2</v>
      </c>
      <c r="E1751" s="7">
        <f t="shared" ca="1" si="138"/>
        <v>0.6756500724871598</v>
      </c>
      <c r="F1751" s="7">
        <f t="shared" ca="1" si="139"/>
        <v>2.1945809444607854E-2</v>
      </c>
      <c r="G1751" s="7">
        <f t="shared" ca="1" si="135"/>
        <v>235.18437023963963</v>
      </c>
      <c r="H1751" s="7">
        <f ca="1">(G1751+DCF!$D$40+DCF!$D$41+DCF!$D$42-DCF!$D$43-DCF!$D$44)/DCF!$C$35</f>
        <v>1.9694738132951779</v>
      </c>
    </row>
    <row r="1752" spans="3:8" x14ac:dyDescent="0.35">
      <c r="C1752" s="8">
        <f t="shared" ca="1" si="136"/>
        <v>0.54873372400343234</v>
      </c>
      <c r="D1752" s="7">
        <f t="shared" ca="1" si="137"/>
        <v>8.7558672855373068E-2</v>
      </c>
      <c r="E1752" s="7">
        <f t="shared" ca="1" si="138"/>
        <v>0.3310533736644885</v>
      </c>
      <c r="F1752" s="7">
        <f t="shared" ca="1" si="139"/>
        <v>1.8136994207500562E-2</v>
      </c>
      <c r="G1752" s="7">
        <f t="shared" ca="1" si="135"/>
        <v>243.84035867292374</v>
      </c>
      <c r="H1752" s="7">
        <f ca="1">(G1752+DCF!$D$40+DCF!$D$41+DCF!$D$42-DCF!$D$43-DCF!$D$44)/DCF!$C$35</f>
        <v>2.018328020504141</v>
      </c>
    </row>
    <row r="1753" spans="3:8" x14ac:dyDescent="0.35">
      <c r="C1753" s="8">
        <f t="shared" ca="1" si="136"/>
        <v>0.9666379343587056</v>
      </c>
      <c r="D1753" s="7">
        <f t="shared" ca="1" si="137"/>
        <v>0.1038981916405311</v>
      </c>
      <c r="E1753" s="7">
        <f t="shared" ca="1" si="138"/>
        <v>0.34811275838426159</v>
      </c>
      <c r="F1753" s="7">
        <f t="shared" ca="1" si="139"/>
        <v>1.8344012924058323E-2</v>
      </c>
      <c r="G1753" s="7">
        <f t="shared" ca="1" si="135"/>
        <v>195.00707159234162</v>
      </c>
      <c r="H1753" s="7">
        <f ca="1">(G1753+DCF!$D$40+DCF!$D$41+DCF!$D$42-DCF!$D$43-DCF!$D$44)/DCF!$C$35</f>
        <v>1.7427140286281837</v>
      </c>
    </row>
    <row r="1754" spans="3:8" x14ac:dyDescent="0.35">
      <c r="C1754" s="8">
        <f t="shared" ca="1" si="136"/>
        <v>0.42672676317280533</v>
      </c>
      <c r="D1754" s="7">
        <f t="shared" ca="1" si="137"/>
        <v>8.4706266936271563E-2</v>
      </c>
      <c r="E1754" s="7">
        <f t="shared" ca="1" si="138"/>
        <v>0.85215625317231758</v>
      </c>
      <c r="F1754" s="7">
        <f t="shared" ca="1" si="139"/>
        <v>2.4562284545368664E-2</v>
      </c>
      <c r="G1754" s="7">
        <f t="shared" ca="1" si="135"/>
        <v>274.76658460248376</v>
      </c>
      <c r="H1754" s="7">
        <f ca="1">(G1754+DCF!$D$40+DCF!$D$41+DCF!$D$42-DCF!$D$43-DCF!$D$44)/DCF!$C$35</f>
        <v>2.1928749554265932</v>
      </c>
    </row>
    <row r="1755" spans="3:8" x14ac:dyDescent="0.35">
      <c r="C1755" s="8">
        <f t="shared" ca="1" si="136"/>
        <v>0.34410306462820395</v>
      </c>
      <c r="D1755" s="7">
        <f t="shared" ca="1" si="137"/>
        <v>8.2944852987371809E-2</v>
      </c>
      <c r="E1755" s="7">
        <f t="shared" ca="1" si="138"/>
        <v>0.44056577723527879</v>
      </c>
      <c r="F1755" s="7">
        <f t="shared" ca="1" si="139"/>
        <v>1.9386860787667819E-2</v>
      </c>
      <c r="G1755" s="7">
        <f t="shared" ca="1" si="135"/>
        <v>266.03525475391172</v>
      </c>
      <c r="H1755" s="7">
        <f ca="1">(G1755+DCF!$D$40+DCF!$D$41+DCF!$D$42-DCF!$D$43-DCF!$D$44)/DCF!$C$35</f>
        <v>2.1435955229366277</v>
      </c>
    </row>
    <row r="1756" spans="3:8" x14ac:dyDescent="0.35">
      <c r="C1756" s="8">
        <f t="shared" ca="1" si="136"/>
        <v>0.39507983874113339</v>
      </c>
      <c r="D1756" s="7">
        <f t="shared" ca="1" si="137"/>
        <v>8.4017488574718288E-2</v>
      </c>
      <c r="E1756" s="7">
        <f t="shared" ca="1" si="138"/>
        <v>0.10070285741441365</v>
      </c>
      <c r="F1756" s="7">
        <f t="shared" ca="1" si="139"/>
        <v>1.4487824805279582E-2</v>
      </c>
      <c r="G1756" s="7">
        <f t="shared" ca="1" si="135"/>
        <v>247.84285907071177</v>
      </c>
      <c r="H1756" s="7">
        <f ca="1">(G1756+DCF!$D$40+DCF!$D$41+DCF!$D$42-DCF!$D$43-DCF!$D$44)/DCF!$C$35</f>
        <v>2.0409180441963639</v>
      </c>
    </row>
    <row r="1757" spans="3:8" x14ac:dyDescent="0.35">
      <c r="C1757" s="8">
        <f t="shared" ca="1" si="136"/>
        <v>0.44613570071424802</v>
      </c>
      <c r="D1757" s="7">
        <f t="shared" ca="1" si="137"/>
        <v>8.5138130440312848E-2</v>
      </c>
      <c r="E1757" s="7">
        <f t="shared" ca="1" si="138"/>
        <v>0.15856636837102689</v>
      </c>
      <c r="F1757" s="7">
        <f t="shared" ca="1" si="139"/>
        <v>1.5631453957390167E-2</v>
      </c>
      <c r="G1757" s="7">
        <f t="shared" ca="1" si="135"/>
        <v>246.53861569481722</v>
      </c>
      <c r="H1757" s="7">
        <f ca="1">(G1757+DCF!$D$40+DCF!$D$41+DCF!$D$42-DCF!$D$43-DCF!$D$44)/DCF!$C$35</f>
        <v>2.0335569234384083</v>
      </c>
    </row>
    <row r="1758" spans="3:8" x14ac:dyDescent="0.35">
      <c r="C1758" s="8">
        <f t="shared" ca="1" si="136"/>
        <v>0.35462780278869732</v>
      </c>
      <c r="D1758" s="7">
        <f t="shared" ca="1" si="137"/>
        <v>8.3162798728484866E-2</v>
      </c>
      <c r="E1758" s="7">
        <f t="shared" ca="1" si="138"/>
        <v>0.99836695920914909</v>
      </c>
      <c r="F1758" s="7">
        <f t="shared" ca="1" si="139"/>
        <v>2.9428503579914812E-2</v>
      </c>
      <c r="G1758" s="7">
        <f t="shared" ca="1" si="135"/>
        <v>301.63285113037847</v>
      </c>
      <c r="H1758" s="7">
        <f ca="1">(G1758+DCF!$D$40+DCF!$D$41+DCF!$D$42-DCF!$D$43-DCF!$D$44)/DCF!$C$35</f>
        <v>2.3445075693101844</v>
      </c>
    </row>
    <row r="1759" spans="3:8" x14ac:dyDescent="0.35">
      <c r="C1759" s="8">
        <f t="shared" ca="1" si="136"/>
        <v>3.2023206722709308E-2</v>
      </c>
      <c r="D1759" s="7">
        <f t="shared" ca="1" si="137"/>
        <v>7.3936906406531833E-2</v>
      </c>
      <c r="E1759" s="7">
        <f t="shared" ca="1" si="138"/>
        <v>8.1509352923346712E-2</v>
      </c>
      <c r="F1759" s="7">
        <f t="shared" ca="1" si="139"/>
        <v>1.4037557502335953E-2</v>
      </c>
      <c r="G1759" s="7">
        <f t="shared" ca="1" si="135"/>
        <v>290.90489238718601</v>
      </c>
      <c r="H1759" s="7">
        <f ca="1">(G1759+DCF!$D$40+DCF!$D$41+DCF!$D$42-DCF!$D$43-DCF!$D$44)/DCF!$C$35</f>
        <v>2.2839592075131843</v>
      </c>
    </row>
    <row r="1760" spans="3:8" x14ac:dyDescent="0.35">
      <c r="C1760" s="8">
        <f t="shared" ca="1" si="136"/>
        <v>0.55639492622517039</v>
      </c>
      <c r="D1760" s="7">
        <f t="shared" ca="1" si="137"/>
        <v>8.774998286893447E-2</v>
      </c>
      <c r="E1760" s="7">
        <f t="shared" ca="1" si="138"/>
        <v>4.437200376513184E-3</v>
      </c>
      <c r="F1760" s="7">
        <f t="shared" ca="1" si="139"/>
        <v>1.0942040378806894E-2</v>
      </c>
      <c r="G1760" s="7">
        <f t="shared" ca="1" si="135"/>
        <v>226.76262768362548</v>
      </c>
      <c r="H1760" s="7">
        <f ca="1">(G1760+DCF!$D$40+DCF!$D$41+DCF!$D$42-DCF!$D$43-DCF!$D$44)/DCF!$C$35</f>
        <v>1.9219416846349786</v>
      </c>
    </row>
    <row r="1761" spans="3:8" x14ac:dyDescent="0.35">
      <c r="C1761" s="8">
        <f t="shared" ca="1" si="136"/>
        <v>0.3881307529169743</v>
      </c>
      <c r="D1761" s="7">
        <f t="shared" ca="1" si="137"/>
        <v>8.3868676272629117E-2</v>
      </c>
      <c r="E1761" s="7">
        <f t="shared" ca="1" si="138"/>
        <v>6.7491940919587878E-2</v>
      </c>
      <c r="F1761" s="7">
        <f t="shared" ca="1" si="139"/>
        <v>1.3674015267240675E-2</v>
      </c>
      <c r="G1761" s="7">
        <f t="shared" ca="1" si="135"/>
        <v>246.3313331259688</v>
      </c>
      <c r="H1761" s="7">
        <f ca="1">(G1761+DCF!$D$40+DCF!$D$41+DCF!$D$42-DCF!$D$43-DCF!$D$44)/DCF!$C$35</f>
        <v>2.0323870252058289</v>
      </c>
    </row>
    <row r="1762" spans="3:8" x14ac:dyDescent="0.35">
      <c r="C1762" s="8">
        <f t="shared" ca="1" si="136"/>
        <v>0.11183751169429434</v>
      </c>
      <c r="D1762" s="7">
        <f t="shared" ca="1" si="137"/>
        <v>7.735726550153238E-2</v>
      </c>
      <c r="E1762" s="7">
        <f t="shared" ca="1" si="138"/>
        <v>0.70024350904762966</v>
      </c>
      <c r="F1762" s="7">
        <f t="shared" ca="1" si="139"/>
        <v>2.2257177634061719E-2</v>
      </c>
      <c r="G1762" s="7">
        <f t="shared" ca="1" si="135"/>
        <v>304.66996972397999</v>
      </c>
      <c r="H1762" s="7">
        <f ca="1">(G1762+DCF!$D$40+DCF!$D$41+DCF!$D$42-DCF!$D$43-DCF!$D$44)/DCF!$C$35</f>
        <v>2.3616489994580649</v>
      </c>
    </row>
    <row r="1763" spans="3:8" x14ac:dyDescent="0.35">
      <c r="C1763" s="8">
        <f t="shared" ca="1" si="136"/>
        <v>0.44987998563284959</v>
      </c>
      <c r="D1763" s="7">
        <f t="shared" ca="1" si="137"/>
        <v>8.5222309711481592E-2</v>
      </c>
      <c r="E1763" s="7">
        <f t="shared" ca="1" si="138"/>
        <v>0.50395856976747144</v>
      </c>
      <c r="F1763" s="7">
        <f t="shared" ca="1" si="139"/>
        <v>2.00396643607504E-2</v>
      </c>
      <c r="G1763" s="7">
        <f t="shared" ca="1" si="135"/>
        <v>258.20849114889683</v>
      </c>
      <c r="H1763" s="7">
        <f ca="1">(G1763+DCF!$D$40+DCF!$D$41+DCF!$D$42-DCF!$D$43-DCF!$D$44)/DCF!$C$35</f>
        <v>2.0994214423123196</v>
      </c>
    </row>
    <row r="1764" spans="3:8" x14ac:dyDescent="0.35">
      <c r="C1764" s="8">
        <f t="shared" ca="1" si="136"/>
        <v>0.17670529234117305</v>
      </c>
      <c r="D1764" s="7">
        <f t="shared" ca="1" si="137"/>
        <v>7.9247992295256725E-2</v>
      </c>
      <c r="E1764" s="7">
        <f t="shared" ca="1" si="138"/>
        <v>0.14640422982511514</v>
      </c>
      <c r="F1764" s="7">
        <f t="shared" ca="1" si="139"/>
        <v>1.5411177872240297E-2</v>
      </c>
      <c r="G1764" s="7">
        <f t="shared" ca="1" si="135"/>
        <v>270.10305523810109</v>
      </c>
      <c r="H1764" s="7">
        <f ca="1">(G1764+DCF!$D$40+DCF!$D$41+DCF!$D$42-DCF!$D$43-DCF!$D$44)/DCF!$C$35</f>
        <v>2.1665540988717749</v>
      </c>
    </row>
    <row r="1765" spans="3:8" x14ac:dyDescent="0.35">
      <c r="C1765" s="8">
        <f t="shared" ca="1" si="136"/>
        <v>0.33293553667631592</v>
      </c>
      <c r="D1765" s="7">
        <f t="shared" ca="1" si="137"/>
        <v>8.2715499984987242E-2</v>
      </c>
      <c r="E1765" s="7">
        <f t="shared" ca="1" si="138"/>
        <v>0.72800063649490221</v>
      </c>
      <c r="F1765" s="7">
        <f t="shared" ca="1" si="139"/>
        <v>2.2624373063866398E-2</v>
      </c>
      <c r="G1765" s="7">
        <f t="shared" ca="1" si="135"/>
        <v>277.69138225916515</v>
      </c>
      <c r="H1765" s="7">
        <f ca="1">(G1765+DCF!$D$40+DCF!$D$41+DCF!$D$42-DCF!$D$43-DCF!$D$44)/DCF!$C$35</f>
        <v>2.209382448691529</v>
      </c>
    </row>
    <row r="1766" spans="3:8" x14ac:dyDescent="0.35">
      <c r="C1766" s="8">
        <f t="shared" ca="1" si="136"/>
        <v>0.48510340463957136</v>
      </c>
      <c r="D1766" s="7">
        <f t="shared" ca="1" si="137"/>
        <v>8.6028671283755714E-2</v>
      </c>
      <c r="E1766" s="7">
        <f t="shared" ca="1" si="138"/>
        <v>0.75019665943523928</v>
      </c>
      <c r="F1766" s="7">
        <f t="shared" ca="1" si="139"/>
        <v>2.2931713919700749E-2</v>
      </c>
      <c r="G1766" s="7">
        <f t="shared" ca="1" si="135"/>
        <v>263.40865107992261</v>
      </c>
      <c r="H1766" s="7">
        <f ca="1">(G1766+DCF!$D$40+DCF!$D$41+DCF!$D$42-DCF!$D$43-DCF!$D$44)/DCF!$C$35</f>
        <v>2.1287710299126457</v>
      </c>
    </row>
    <row r="1767" spans="3:8" x14ac:dyDescent="0.35">
      <c r="C1767" s="8">
        <f t="shared" ca="1" si="136"/>
        <v>0.28676876327452683</v>
      </c>
      <c r="D1767" s="7">
        <f t="shared" ca="1" si="137"/>
        <v>8.1781174874556065E-2</v>
      </c>
      <c r="E1767" s="7">
        <f t="shared" ca="1" si="138"/>
        <v>0.1306667545520922</v>
      </c>
      <c r="F1767" s="7">
        <f t="shared" ca="1" si="139"/>
        <v>1.5112078922553764E-2</v>
      </c>
      <c r="G1767" s="7">
        <f t="shared" ca="1" si="135"/>
        <v>258.3490494322262</v>
      </c>
      <c r="H1767" s="7">
        <f ca="1">(G1767+DCF!$D$40+DCF!$D$41+DCF!$D$42-DCF!$D$43-DCF!$D$44)/DCF!$C$35</f>
        <v>2.1002147501536639</v>
      </c>
    </row>
    <row r="1768" spans="3:8" x14ac:dyDescent="0.35">
      <c r="C1768" s="8">
        <f t="shared" ca="1" si="136"/>
        <v>0.15157568808582833</v>
      </c>
      <c r="D1768" s="7">
        <f t="shared" ca="1" si="137"/>
        <v>7.8565198948859327E-2</v>
      </c>
      <c r="E1768" s="7">
        <f t="shared" ca="1" si="138"/>
        <v>0.7761176697793476</v>
      </c>
      <c r="F1768" s="7">
        <f t="shared" ca="1" si="139"/>
        <v>2.330847804725035E-2</v>
      </c>
      <c r="G1768" s="7">
        <f t="shared" ca="1" si="135"/>
        <v>302.15583639747524</v>
      </c>
      <c r="H1768" s="7">
        <f ca="1">(G1768+DCF!$D$40+DCF!$D$41+DCF!$D$42-DCF!$D$43-DCF!$D$44)/DCF!$C$35</f>
        <v>2.3474592865869468</v>
      </c>
    </row>
    <row r="1769" spans="3:8" x14ac:dyDescent="0.35">
      <c r="C1769" s="8">
        <f t="shared" ca="1" si="136"/>
        <v>0.51149868767895723</v>
      </c>
      <c r="D1769" s="7">
        <f t="shared" ca="1" si="137"/>
        <v>8.6651178519028343E-2</v>
      </c>
      <c r="E1769" s="7">
        <f t="shared" ca="1" si="138"/>
        <v>0.14568804540656621</v>
      </c>
      <c r="F1769" s="7">
        <f t="shared" ca="1" si="139"/>
        <v>1.5397926368645024E-2</v>
      </c>
      <c r="G1769" s="7">
        <f t="shared" ca="1" si="135"/>
        <v>240.39718840690932</v>
      </c>
      <c r="H1769" s="7">
        <f ca="1">(G1769+DCF!$D$40+DCF!$D$41+DCF!$D$42-DCF!$D$43-DCF!$D$44)/DCF!$C$35</f>
        <v>1.9988948437008087</v>
      </c>
    </row>
    <row r="1770" spans="3:8" x14ac:dyDescent="0.35">
      <c r="C1770" s="8">
        <f t="shared" ca="1" si="136"/>
        <v>0.77141313938745315</v>
      </c>
      <c r="D1770" s="7">
        <f t="shared" ca="1" si="137"/>
        <v>9.4028057837457518E-2</v>
      </c>
      <c r="E1770" s="7">
        <f t="shared" ca="1" si="138"/>
        <v>0.65925812106383896</v>
      </c>
      <c r="F1770" s="7">
        <f t="shared" ca="1" si="139"/>
        <v>2.1744797047483798E-2</v>
      </c>
      <c r="G1770" s="7">
        <f t="shared" ca="1" si="135"/>
        <v>229.55635709196443</v>
      </c>
      <c r="H1770" s="7">
        <f ca="1">(G1770+DCF!$D$40+DCF!$D$41+DCF!$D$42-DCF!$D$43-DCF!$D$44)/DCF!$C$35</f>
        <v>1.937709431606075</v>
      </c>
    </row>
    <row r="1771" spans="3:8" x14ac:dyDescent="0.35">
      <c r="C1771" s="8">
        <f t="shared" ca="1" si="136"/>
        <v>0.32651000451640622</v>
      </c>
      <c r="D1771" s="7">
        <f t="shared" ca="1" si="137"/>
        <v>8.2584405259785248E-2</v>
      </c>
      <c r="E1771" s="7">
        <f t="shared" ca="1" si="138"/>
        <v>0.54591001054224242</v>
      </c>
      <c r="F1771" s="7">
        <f t="shared" ca="1" si="139"/>
        <v>2.0470152262939793E-2</v>
      </c>
      <c r="G1771" s="7">
        <f t="shared" ca="1" si="135"/>
        <v>271.08936582412582</v>
      </c>
      <c r="H1771" s="7">
        <f ca="1">(G1771+DCF!$D$40+DCF!$D$41+DCF!$D$42-DCF!$D$43-DCF!$D$44)/DCF!$C$35</f>
        <v>2.172120813997775</v>
      </c>
    </row>
    <row r="1772" spans="3:8" x14ac:dyDescent="0.35">
      <c r="C1772" s="8">
        <f t="shared" ca="1" si="136"/>
        <v>0.67266590321917352</v>
      </c>
      <c r="D1772" s="7">
        <f t="shared" ca="1" si="137"/>
        <v>9.0887050148985321E-2</v>
      </c>
      <c r="E1772" s="7">
        <f t="shared" ca="1" si="138"/>
        <v>0.80387861491307044</v>
      </c>
      <c r="F1772" s="7">
        <f t="shared" ca="1" si="139"/>
        <v>2.3737071210896143E-2</v>
      </c>
      <c r="G1772" s="7">
        <f t="shared" ca="1" si="135"/>
        <v>245.72728105533395</v>
      </c>
      <c r="H1772" s="7">
        <f ca="1">(G1772+DCF!$D$40+DCF!$D$41+DCF!$D$42-DCF!$D$43-DCF!$D$44)/DCF!$C$35</f>
        <v>2.0289777686834514</v>
      </c>
    </row>
    <row r="1773" spans="3:8" x14ac:dyDescent="0.35">
      <c r="C1773" s="8">
        <f t="shared" ca="1" si="136"/>
        <v>0.81579398749295129</v>
      </c>
      <c r="D1773" s="7">
        <f t="shared" ca="1" si="137"/>
        <v>9.5662151139105062E-2</v>
      </c>
      <c r="E1773" s="7">
        <f t="shared" ca="1" si="138"/>
        <v>0.7678941886614149</v>
      </c>
      <c r="F1773" s="7">
        <f t="shared" ca="1" si="139"/>
        <v>2.3186692266768144E-2</v>
      </c>
      <c r="G1773" s="7">
        <f t="shared" ca="1" si="135"/>
        <v>227.32046017764571</v>
      </c>
      <c r="H1773" s="7">
        <f ca="1">(G1773+DCF!$D$40+DCF!$D$41+DCF!$D$42-DCF!$D$43-DCF!$D$44)/DCF!$C$35</f>
        <v>1.9250900788895231</v>
      </c>
    </row>
    <row r="1774" spans="3:8" x14ac:dyDescent="0.35">
      <c r="C1774" s="8">
        <f t="shared" ca="1" si="136"/>
        <v>0.99371277256559765</v>
      </c>
      <c r="D1774" s="7">
        <f t="shared" ca="1" si="137"/>
        <v>0.10735112366902624</v>
      </c>
      <c r="E1774" s="7">
        <f t="shared" ca="1" si="138"/>
        <v>0.24979711142910421</v>
      </c>
      <c r="F1774" s="7">
        <f t="shared" ca="1" si="139"/>
        <v>1.7068197951799372E-2</v>
      </c>
      <c r="G1774" s="7">
        <f t="shared" ca="1" si="135"/>
        <v>185.1807357222018</v>
      </c>
      <c r="H1774" s="7">
        <f ca="1">(G1774+DCF!$D$40+DCF!$D$41+DCF!$D$42-DCF!$D$43-DCF!$D$44)/DCF!$C$35</f>
        <v>1.6872544063788339</v>
      </c>
    </row>
    <row r="1775" spans="3:8" x14ac:dyDescent="0.35">
      <c r="C1775" s="8">
        <f t="shared" ca="1" si="136"/>
        <v>0.15071652423171233</v>
      </c>
      <c r="D1775" s="7">
        <f t="shared" ca="1" si="137"/>
        <v>7.8540889750380163E-2</v>
      </c>
      <c r="E1775" s="7">
        <f t="shared" ca="1" si="138"/>
        <v>9.6676189623189246E-2</v>
      </c>
      <c r="F1775" s="7">
        <f t="shared" ca="1" si="139"/>
        <v>1.4397185227465161E-2</v>
      </c>
      <c r="G1775" s="7">
        <f t="shared" ca="1" si="135"/>
        <v>270.0989302050782</v>
      </c>
      <c r="H1775" s="7">
        <f ca="1">(G1775+DCF!$D$40+DCF!$D$41+DCF!$D$42-DCF!$D$43-DCF!$D$44)/DCF!$C$35</f>
        <v>2.1665308172766577</v>
      </c>
    </row>
    <row r="1776" spans="3:8" x14ac:dyDescent="0.35">
      <c r="C1776" s="8">
        <f t="shared" ca="1" si="136"/>
        <v>0.74638620815303836</v>
      </c>
      <c r="D1776" s="7">
        <f t="shared" ca="1" si="137"/>
        <v>9.3176415610779939E-2</v>
      </c>
      <c r="E1776" s="7">
        <f t="shared" ca="1" si="138"/>
        <v>0.57240453487250176</v>
      </c>
      <c r="F1776" s="7">
        <f t="shared" ca="1" si="139"/>
        <v>2.0752346620601547E-2</v>
      </c>
      <c r="G1776" s="7">
        <f t="shared" ca="1" si="135"/>
        <v>230.18860120970157</v>
      </c>
      <c r="H1776" s="7">
        <f ca="1">(G1776+DCF!$D$40+DCF!$D$41+DCF!$D$42-DCF!$D$43-DCF!$D$44)/DCF!$C$35</f>
        <v>1.9412778034185663</v>
      </c>
    </row>
    <row r="1777" spans="3:8" x14ac:dyDescent="0.35">
      <c r="C1777" s="8">
        <f t="shared" ca="1" si="136"/>
        <v>0.40811846337385138</v>
      </c>
      <c r="D1777" s="7">
        <f t="shared" ca="1" si="137"/>
        <v>8.4299031246375528E-2</v>
      </c>
      <c r="E1777" s="7">
        <f t="shared" ca="1" si="138"/>
        <v>0.79554637365443903</v>
      </c>
      <c r="F1777" s="7">
        <f t="shared" ca="1" si="139"/>
        <v>2.3605414378623728E-2</v>
      </c>
      <c r="G1777" s="7">
        <f t="shared" ca="1" si="135"/>
        <v>273.45802571268365</v>
      </c>
      <c r="H1777" s="7">
        <f ca="1">(G1777+DCF!$D$40+DCF!$D$41+DCF!$D$42-DCF!$D$43-DCF!$D$44)/DCF!$C$35</f>
        <v>2.1854894780036327</v>
      </c>
    </row>
    <row r="1778" spans="3:8" x14ac:dyDescent="0.35">
      <c r="C1778" s="8">
        <f t="shared" ca="1" si="136"/>
        <v>0.21938524239400004</v>
      </c>
      <c r="D1778" s="7">
        <f t="shared" ca="1" si="137"/>
        <v>8.0304487241910499E-2</v>
      </c>
      <c r="E1778" s="7">
        <f t="shared" ca="1" si="138"/>
        <v>0.21330777977720339</v>
      </c>
      <c r="F1778" s="7">
        <f t="shared" ca="1" si="139"/>
        <v>1.6531581428370978E-2</v>
      </c>
      <c r="G1778" s="7">
        <f t="shared" ca="1" si="135"/>
        <v>268.88265597735585</v>
      </c>
      <c r="H1778" s="7">
        <f ca="1">(G1778+DCF!$D$40+DCF!$D$41+DCF!$D$42-DCF!$D$43-DCF!$D$44)/DCF!$C$35</f>
        <v>2.159666192444722</v>
      </c>
    </row>
    <row r="1779" spans="3:8" x14ac:dyDescent="0.35">
      <c r="C1779" s="8">
        <f t="shared" ca="1" si="136"/>
        <v>0.1408486795662538</v>
      </c>
      <c r="D1779" s="7">
        <f t="shared" ca="1" si="137"/>
        <v>7.8256558660245015E-2</v>
      </c>
      <c r="E1779" s="7">
        <f t="shared" ca="1" si="138"/>
        <v>0.44567110775187879</v>
      </c>
      <c r="F1779" s="7">
        <f t="shared" ca="1" si="139"/>
        <v>1.944109217995332E-2</v>
      </c>
      <c r="G1779" s="7">
        <f t="shared" ca="1" si="135"/>
        <v>288.58917186258856</v>
      </c>
      <c r="H1779" s="7">
        <f ca="1">(G1779+DCF!$D$40+DCF!$D$41+DCF!$D$42-DCF!$D$43-DCF!$D$44)/DCF!$C$35</f>
        <v>2.2708893321062678</v>
      </c>
    </row>
    <row r="1780" spans="3:8" x14ac:dyDescent="0.35">
      <c r="C1780" s="8">
        <f t="shared" ca="1" si="136"/>
        <v>0.89703684647801485</v>
      </c>
      <c r="D1780" s="7">
        <f t="shared" ca="1" si="137"/>
        <v>9.9280537358125864E-2</v>
      </c>
      <c r="E1780" s="7">
        <f t="shared" ca="1" si="138"/>
        <v>0.42996726074214764</v>
      </c>
      <c r="F1780" s="7">
        <f t="shared" ca="1" si="139"/>
        <v>1.9273265452278907E-2</v>
      </c>
      <c r="G1780" s="7">
        <f t="shared" ca="1" si="135"/>
        <v>208.55686633731511</v>
      </c>
      <c r="H1780" s="7">
        <f ca="1">(G1780+DCF!$D$40+DCF!$D$41+DCF!$D$42-DCF!$D$43-DCF!$D$44)/DCF!$C$35</f>
        <v>1.8191887703878264</v>
      </c>
    </row>
    <row r="1781" spans="3:8" x14ac:dyDescent="0.35">
      <c r="C1781" s="8">
        <f t="shared" ca="1" si="136"/>
        <v>6.50870747783866E-2</v>
      </c>
      <c r="D1781" s="7">
        <f t="shared" ca="1" si="137"/>
        <v>7.5612677096781822E-2</v>
      </c>
      <c r="E1781" s="7">
        <f t="shared" ca="1" si="138"/>
        <v>8.5025597328308167E-2</v>
      </c>
      <c r="F1781" s="7">
        <f t="shared" ca="1" si="139"/>
        <v>1.4123726405287047E-2</v>
      </c>
      <c r="G1781" s="7">
        <f t="shared" ca="1" si="135"/>
        <v>282.84111971700014</v>
      </c>
      <c r="H1781" s="7">
        <f ca="1">(G1781+DCF!$D$40+DCF!$D$41+DCF!$D$42-DCF!$D$43-DCF!$D$44)/DCF!$C$35</f>
        <v>2.238447452968733</v>
      </c>
    </row>
    <row r="1782" spans="3:8" x14ac:dyDescent="0.35">
      <c r="C1782" s="8">
        <f t="shared" ca="1" si="136"/>
        <v>0.80066226363685233</v>
      </c>
      <c r="D1782" s="7">
        <f t="shared" ca="1" si="137"/>
        <v>9.508487634039621E-2</v>
      </c>
      <c r="E1782" s="7">
        <f t="shared" ca="1" si="138"/>
        <v>0.60535049468992319</v>
      </c>
      <c r="F1782" s="7">
        <f t="shared" ca="1" si="139"/>
        <v>2.1115749831189166E-2</v>
      </c>
      <c r="G1782" s="7">
        <f t="shared" ca="1" si="135"/>
        <v>224.70096085472389</v>
      </c>
      <c r="H1782" s="7">
        <f ca="1">(G1782+DCF!$D$40+DCF!$D$41+DCF!$D$42-DCF!$D$43-DCF!$D$44)/DCF!$C$35</f>
        <v>1.9103056826657856</v>
      </c>
    </row>
    <row r="1783" spans="3:8" x14ac:dyDescent="0.35">
      <c r="C1783" s="8">
        <f t="shared" ca="1" si="136"/>
        <v>0.96033265324123573</v>
      </c>
      <c r="D1783" s="7">
        <f t="shared" ca="1" si="137"/>
        <v>0.10334652279009082</v>
      </c>
      <c r="E1783" s="7">
        <f t="shared" ca="1" si="138"/>
        <v>0.72154630666931596</v>
      </c>
      <c r="F1783" s="7">
        <f t="shared" ca="1" si="139"/>
        <v>2.2537377226059405E-2</v>
      </c>
      <c r="G1783" s="7">
        <f t="shared" ca="1" si="135"/>
        <v>203.17891206312919</v>
      </c>
      <c r="H1783" s="7">
        <f ca="1">(G1783+DCF!$D$40+DCF!$D$41+DCF!$D$42-DCF!$D$43-DCF!$D$44)/DCF!$C$35</f>
        <v>1.7888357154482966</v>
      </c>
    </row>
    <row r="1784" spans="3:8" x14ac:dyDescent="0.35">
      <c r="C1784" s="8">
        <f t="shared" ca="1" si="136"/>
        <v>0.46545499829626713</v>
      </c>
      <c r="D1784" s="7">
        <f t="shared" ca="1" si="137"/>
        <v>8.5575581441897836E-2</v>
      </c>
      <c r="E1784" s="7">
        <f t="shared" ca="1" si="138"/>
        <v>0.88719407141987361</v>
      </c>
      <c r="F1784" s="7">
        <f t="shared" ca="1" si="139"/>
        <v>2.5250138347696294E-2</v>
      </c>
      <c r="G1784" s="7">
        <f t="shared" ca="1" si="135"/>
        <v>272.96417088716271</v>
      </c>
      <c r="H1784" s="7">
        <f ca="1">(G1784+DCF!$D$40+DCF!$D$41+DCF!$D$42-DCF!$D$43-DCF!$D$44)/DCF!$C$35</f>
        <v>2.1827021722946309</v>
      </c>
    </row>
    <row r="1785" spans="3:8" x14ac:dyDescent="0.35">
      <c r="C1785" s="8">
        <f t="shared" ca="1" si="136"/>
        <v>0.52539737466542791</v>
      </c>
      <c r="D1785" s="7">
        <f t="shared" ca="1" si="137"/>
        <v>8.698573203698666E-2</v>
      </c>
      <c r="E1785" s="7">
        <f t="shared" ca="1" si="138"/>
        <v>0.7140262526051413</v>
      </c>
      <c r="F1785" s="7">
        <f t="shared" ca="1" si="139"/>
        <v>2.2437278963298214E-2</v>
      </c>
      <c r="G1785" s="7">
        <f t="shared" ca="1" si="135"/>
        <v>257.81032930847562</v>
      </c>
      <c r="H1785" s="7">
        <f ca="1">(G1785+DCF!$D$40+DCF!$D$41+DCF!$D$42-DCF!$D$43-DCF!$D$44)/DCF!$C$35</f>
        <v>2.0971742256940717</v>
      </c>
    </row>
    <row r="1786" spans="3:8" x14ac:dyDescent="0.35">
      <c r="C1786" s="8">
        <f t="shared" ca="1" si="136"/>
        <v>8.8899092753168096E-2</v>
      </c>
      <c r="D1786" s="7">
        <f t="shared" ca="1" si="137"/>
        <v>7.6559509196009512E-2</v>
      </c>
      <c r="E1786" s="7">
        <f t="shared" ca="1" si="138"/>
        <v>0.21389881360147578</v>
      </c>
      <c r="F1786" s="7">
        <f t="shared" ca="1" si="139"/>
        <v>1.6540624031412841E-2</v>
      </c>
      <c r="G1786" s="7">
        <f t="shared" ca="1" si="135"/>
        <v>286.65378458066789</v>
      </c>
      <c r="H1786" s="7">
        <f ca="1">(G1786+DCF!$D$40+DCF!$D$41+DCF!$D$42-DCF!$D$43-DCF!$D$44)/DCF!$C$35</f>
        <v>2.2599660491063771</v>
      </c>
    </row>
    <row r="1787" spans="3:8" x14ac:dyDescent="0.35">
      <c r="C1787" s="8">
        <f t="shared" ca="1" si="136"/>
        <v>0.48714271103533235</v>
      </c>
      <c r="D1787" s="7">
        <f t="shared" ca="1" si="137"/>
        <v>8.6076188964034836E-2</v>
      </c>
      <c r="E1787" s="7">
        <f t="shared" ca="1" si="138"/>
        <v>7.2150235572663313E-3</v>
      </c>
      <c r="F1787" s="7">
        <f t="shared" ca="1" si="139"/>
        <v>1.1201251310697834E-2</v>
      </c>
      <c r="G1787" s="7">
        <f t="shared" ca="1" si="135"/>
        <v>232.74162613491205</v>
      </c>
      <c r="H1787" s="7">
        <f ca="1">(G1787+DCF!$D$40+DCF!$D$41+DCF!$D$42-DCF!$D$43-DCF!$D$44)/DCF!$C$35</f>
        <v>1.9556870196123266</v>
      </c>
    </row>
    <row r="1788" spans="3:8" x14ac:dyDescent="0.35">
      <c r="C1788" s="8">
        <f t="shared" ca="1" si="136"/>
        <v>0.52789919197899837</v>
      </c>
      <c r="D1788" s="7">
        <f t="shared" ca="1" si="137"/>
        <v>8.7046470821430577E-2</v>
      </c>
      <c r="E1788" s="7">
        <f t="shared" ca="1" si="138"/>
        <v>0.44597191511680256</v>
      </c>
      <c r="F1788" s="7">
        <f t="shared" ca="1" si="139"/>
        <v>1.9444277792576861E-2</v>
      </c>
      <c r="G1788" s="7">
        <f t="shared" ca="1" si="135"/>
        <v>249.18775304366267</v>
      </c>
      <c r="H1788" s="7">
        <f ca="1">(G1788+DCF!$D$40+DCF!$D$41+DCF!$D$42-DCF!$D$43-DCF!$D$44)/DCF!$C$35</f>
        <v>2.0485085960247358</v>
      </c>
    </row>
    <row r="1789" spans="3:8" x14ac:dyDescent="0.35">
      <c r="C1789" s="8">
        <f t="shared" ca="1" si="136"/>
        <v>0.36244070930110872</v>
      </c>
      <c r="D1789" s="7">
        <f t="shared" ca="1" si="137"/>
        <v>8.3325739590009953E-2</v>
      </c>
      <c r="E1789" s="7">
        <f t="shared" ca="1" si="138"/>
        <v>0.78058964922128693</v>
      </c>
      <c r="F1789" s="7">
        <f t="shared" ca="1" si="139"/>
        <v>2.337564568008756E-2</v>
      </c>
      <c r="G1789" s="7">
        <f t="shared" ca="1" si="135"/>
        <v>277.33464692021778</v>
      </c>
      <c r="H1789" s="7">
        <f ca="1">(G1789+DCF!$D$40+DCF!$D$41+DCF!$D$42-DCF!$D$43-DCF!$D$44)/DCF!$C$35</f>
        <v>2.207369042331063</v>
      </c>
    </row>
    <row r="1790" spans="3:8" x14ac:dyDescent="0.35">
      <c r="C1790" s="8">
        <f t="shared" ca="1" si="136"/>
        <v>0.27948914648293777</v>
      </c>
      <c r="D1790" s="7">
        <f t="shared" ca="1" si="137"/>
        <v>8.1630681274015807E-2</v>
      </c>
      <c r="E1790" s="7">
        <f t="shared" ca="1" si="138"/>
        <v>0.57417288155829771</v>
      </c>
      <c r="F1790" s="7">
        <f t="shared" ca="1" si="139"/>
        <v>2.0771488544280802E-2</v>
      </c>
      <c r="G1790" s="7">
        <f t="shared" ca="1" si="135"/>
        <v>276.55843548592009</v>
      </c>
      <c r="H1790" s="7">
        <f ca="1">(G1790+DCF!$D$40+DCF!$D$41+DCF!$D$42-DCF!$D$43-DCF!$D$44)/DCF!$C$35</f>
        <v>2.2029881221690939</v>
      </c>
    </row>
    <row r="1791" spans="3:8" x14ac:dyDescent="0.35">
      <c r="C1791" s="8">
        <f t="shared" ca="1" si="136"/>
        <v>0.30568285269055862</v>
      </c>
      <c r="D1791" s="7">
        <f t="shared" ca="1" si="137"/>
        <v>8.2163729840416186E-2</v>
      </c>
      <c r="E1791" s="7">
        <f t="shared" ca="1" si="138"/>
        <v>0.48158412135485562</v>
      </c>
      <c r="F1791" s="7">
        <f t="shared" ca="1" si="139"/>
        <v>1.9814113524459102E-2</v>
      </c>
      <c r="G1791" s="7">
        <f t="shared" ca="1" si="135"/>
        <v>270.89577704368025</v>
      </c>
      <c r="H1791" s="7">
        <f ca="1">(G1791+DCF!$D$40+DCF!$D$41+DCF!$D$42-DCF!$D$43-DCF!$D$44)/DCF!$C$35</f>
        <v>2.1710282032039747</v>
      </c>
    </row>
    <row r="1792" spans="3:8" x14ac:dyDescent="0.35">
      <c r="C1792" s="8">
        <f t="shared" ca="1" si="136"/>
        <v>0.6462326289711996</v>
      </c>
      <c r="D1792" s="7">
        <f t="shared" ca="1" si="137"/>
        <v>9.0130314897609948E-2</v>
      </c>
      <c r="E1792" s="7">
        <f t="shared" ca="1" si="138"/>
        <v>0.68588591249748698</v>
      </c>
      <c r="F1792" s="7">
        <f t="shared" ca="1" si="139"/>
        <v>2.2073915373874528E-2</v>
      </c>
      <c r="G1792" s="7">
        <f t="shared" ca="1" si="135"/>
        <v>244.25900788444085</v>
      </c>
      <c r="H1792" s="7">
        <f ca="1">(G1792+DCF!$D$40+DCF!$D$41+DCF!$D$42-DCF!$D$43-DCF!$D$44)/DCF!$C$35</f>
        <v>2.020690867391584</v>
      </c>
    </row>
    <row r="1793" spans="3:8" x14ac:dyDescent="0.35">
      <c r="C1793" s="8">
        <f t="shared" ca="1" si="136"/>
        <v>0.93037294357395961</v>
      </c>
      <c r="D1793" s="7">
        <f t="shared" ca="1" si="137"/>
        <v>0.10118502439189642</v>
      </c>
      <c r="E1793" s="7">
        <f t="shared" ca="1" si="138"/>
        <v>0.77703980213080681</v>
      </c>
      <c r="F1793" s="7">
        <f t="shared" ca="1" si="139"/>
        <v>2.3322272873661381E-2</v>
      </c>
      <c r="G1793" s="7">
        <f t="shared" ca="1" si="135"/>
        <v>210.56432301849554</v>
      </c>
      <c r="H1793" s="7">
        <f ca="1">(G1793+DCF!$D$40+DCF!$D$41+DCF!$D$42-DCF!$D$43-DCF!$D$44)/DCF!$C$35</f>
        <v>1.8305188114826478</v>
      </c>
    </row>
    <row r="1794" spans="3:8" x14ac:dyDescent="0.35">
      <c r="C1794" s="8">
        <f t="shared" ca="1" si="136"/>
        <v>0.30149753980939853</v>
      </c>
      <c r="D1794" s="7">
        <f t="shared" ca="1" si="137"/>
        <v>8.2079934158253889E-2</v>
      </c>
      <c r="E1794" s="7">
        <f t="shared" ca="1" si="138"/>
        <v>0.6097029121512717</v>
      </c>
      <c r="F1794" s="7">
        <f t="shared" ca="1" si="139"/>
        <v>2.1164875916562027E-2</v>
      </c>
      <c r="G1794" s="7">
        <f t="shared" ca="1" si="135"/>
        <v>275.74949274283057</v>
      </c>
      <c r="H1794" s="7">
        <f ca="1">(G1794+DCF!$D$40+DCF!$D$41+DCF!$D$42-DCF!$D$43-DCF!$D$44)/DCF!$C$35</f>
        <v>2.1984224672244639</v>
      </c>
    </row>
    <row r="1795" spans="3:8" x14ac:dyDescent="0.35">
      <c r="C1795" s="8">
        <f t="shared" ca="1" si="136"/>
        <v>0.22491769526580485</v>
      </c>
      <c r="D1795" s="7">
        <f t="shared" ca="1" si="137"/>
        <v>8.0433607454214948E-2</v>
      </c>
      <c r="E1795" s="7">
        <f t="shared" ca="1" si="138"/>
        <v>0.82765304166268627</v>
      </c>
      <c r="F1795" s="7">
        <f t="shared" ca="1" si="139"/>
        <v>2.4128936070228604E-2</v>
      </c>
      <c r="G1795" s="7">
        <f t="shared" ca="1" si="135"/>
        <v>295.05342232763189</v>
      </c>
      <c r="H1795" s="7">
        <f ca="1">(G1795+DCF!$D$40+DCF!$D$41+DCF!$D$42-DCF!$D$43-DCF!$D$44)/DCF!$C$35</f>
        <v>2.307373418713353</v>
      </c>
    </row>
    <row r="1796" spans="3:8" x14ac:dyDescent="0.35">
      <c r="C1796" s="8">
        <f t="shared" ca="1" si="136"/>
        <v>0.13816796558258448</v>
      </c>
      <c r="D1796" s="7">
        <f t="shared" ca="1" si="137"/>
        <v>7.8177609390400776E-2</v>
      </c>
      <c r="E1796" s="7">
        <f t="shared" ca="1" si="138"/>
        <v>0.55812162907981955</v>
      </c>
      <c r="F1796" s="7">
        <f t="shared" ca="1" si="139"/>
        <v>2.0599166303777304E-2</v>
      </c>
      <c r="G1796" s="7">
        <f t="shared" ca="1" si="135"/>
        <v>293.38884616069993</v>
      </c>
      <c r="H1796" s="7">
        <f ca="1">(G1796+DCF!$D$40+DCF!$D$41+DCF!$D$42-DCF!$D$43-DCF!$D$44)/DCF!$C$35</f>
        <v>2.2979785876549266</v>
      </c>
    </row>
    <row r="1797" spans="3:8" x14ac:dyDescent="0.35">
      <c r="C1797" s="8">
        <f t="shared" ca="1" si="136"/>
        <v>0.66236955320747726</v>
      </c>
      <c r="D1797" s="7">
        <f t="shared" ca="1" si="137"/>
        <v>9.0588776993181103E-2</v>
      </c>
      <c r="E1797" s="7">
        <f t="shared" ca="1" si="138"/>
        <v>0.39599762793810189</v>
      </c>
      <c r="F1797" s="7">
        <f t="shared" ca="1" si="139"/>
        <v>1.8899411530411456E-2</v>
      </c>
      <c r="G1797" s="7">
        <f t="shared" ca="1" si="135"/>
        <v>234.79487024408112</v>
      </c>
      <c r="H1797" s="7">
        <f ca="1">(G1797+DCF!$D$40+DCF!$D$41+DCF!$D$42-DCF!$D$43-DCF!$D$44)/DCF!$C$35</f>
        <v>1.9672754839376969</v>
      </c>
    </row>
    <row r="1798" spans="3:8" x14ac:dyDescent="0.35">
      <c r="C1798" s="8">
        <f t="shared" ca="1" si="136"/>
        <v>0.86470118534510576</v>
      </c>
      <c r="D1798" s="7">
        <f t="shared" ca="1" si="137"/>
        <v>9.7712059686226427E-2</v>
      </c>
      <c r="E1798" s="7">
        <f t="shared" ca="1" si="138"/>
        <v>0.54844865741524884</v>
      </c>
      <c r="F1798" s="7">
        <f t="shared" ca="1" si="139"/>
        <v>2.0496828502181486E-2</v>
      </c>
      <c r="G1798" s="7">
        <f t="shared" ca="1" si="135"/>
        <v>215.32813489937095</v>
      </c>
      <c r="H1798" s="7">
        <f ca="1">(G1798+DCF!$D$40+DCF!$D$41+DCF!$D$42-DCF!$D$43-DCF!$D$44)/DCF!$C$35</f>
        <v>1.8574056603418612</v>
      </c>
    </row>
    <row r="1799" spans="3:8" x14ac:dyDescent="0.35">
      <c r="C1799" s="8">
        <f t="shared" ca="1" si="136"/>
        <v>0.75406661015356702</v>
      </c>
      <c r="D1799" s="7">
        <f t="shared" ca="1" si="137"/>
        <v>9.3433115468845113E-2</v>
      </c>
      <c r="E1799" s="7">
        <f t="shared" ca="1" si="138"/>
        <v>2.3144348131663883E-2</v>
      </c>
      <c r="F1799" s="7">
        <f t="shared" ca="1" si="139"/>
        <v>1.2151480798504317E-2</v>
      </c>
      <c r="G1799" s="7">
        <f t="shared" ca="1" si="135"/>
        <v>212.16385207865164</v>
      </c>
      <c r="H1799" s="7">
        <f ca="1">(G1799+DCF!$D$40+DCF!$D$41+DCF!$D$42-DCF!$D$43-DCF!$D$44)/DCF!$C$35</f>
        <v>1.8395465181095587</v>
      </c>
    </row>
    <row r="1800" spans="3:8" x14ac:dyDescent="0.35">
      <c r="C1800" s="8">
        <f t="shared" ca="1" si="136"/>
        <v>0.36558482808810167</v>
      </c>
      <c r="D1800" s="7">
        <f t="shared" ca="1" si="137"/>
        <v>8.3391592835089165E-2</v>
      </c>
      <c r="E1800" s="7">
        <f t="shared" ca="1" si="138"/>
        <v>0.10984300302336403</v>
      </c>
      <c r="F1800" s="7">
        <f t="shared" ca="1" si="139"/>
        <v>1.4687067377867829E-2</v>
      </c>
      <c r="G1800" s="7">
        <f t="shared" ca="1" si="135"/>
        <v>250.76041748095565</v>
      </c>
      <c r="H1800" s="7">
        <f ca="1">(G1800+DCF!$D$40+DCF!$D$41+DCF!$D$42-DCF!$D$43-DCF!$D$44)/DCF!$C$35</f>
        <v>2.0573846793145707</v>
      </c>
    </row>
    <row r="1801" spans="3:8" x14ac:dyDescent="0.35">
      <c r="C1801" s="8">
        <f t="shared" ca="1" si="136"/>
        <v>0.88507204924958904</v>
      </c>
      <c r="D1801" s="7">
        <f t="shared" ca="1" si="137"/>
        <v>9.867482481206323E-2</v>
      </c>
      <c r="E1801" s="7">
        <f t="shared" ca="1" si="138"/>
        <v>0.59874777470668505</v>
      </c>
      <c r="F1801" s="7">
        <f t="shared" ca="1" si="139"/>
        <v>2.104173872569777E-2</v>
      </c>
      <c r="G1801" s="7">
        <f t="shared" ca="1" si="135"/>
        <v>213.53888817561392</v>
      </c>
      <c r="H1801" s="7">
        <f ca="1">(G1801+DCF!$D$40+DCF!$D$41+DCF!$D$42-DCF!$D$43-DCF!$D$44)/DCF!$C$35</f>
        <v>1.8473071914189745</v>
      </c>
    </row>
    <row r="1802" spans="3:8" x14ac:dyDescent="0.35">
      <c r="C1802" s="8">
        <f t="shared" ca="1" si="136"/>
        <v>4.3375183018027452E-2</v>
      </c>
      <c r="D1802" s="7">
        <f t="shared" ca="1" si="137"/>
        <v>7.4581876098360297E-2</v>
      </c>
      <c r="E1802" s="7">
        <f t="shared" ca="1" si="138"/>
        <v>0.40369825599862075</v>
      </c>
      <c r="F1802" s="7">
        <f t="shared" ca="1" si="139"/>
        <v>1.8985524536704809E-2</v>
      </c>
      <c r="G1802" s="7">
        <f t="shared" ca="1" si="135"/>
        <v>306.86750639137091</v>
      </c>
      <c r="H1802" s="7">
        <f ca="1">(G1802+DCF!$D$40+DCF!$D$41+DCF!$D$42-DCF!$D$43-DCF!$D$44)/DCF!$C$35</f>
        <v>2.3740518477896542</v>
      </c>
    </row>
    <row r="1803" spans="3:8" x14ac:dyDescent="0.35">
      <c r="C1803" s="8">
        <f t="shared" ca="1" si="136"/>
        <v>0.31815651041699089</v>
      </c>
      <c r="D1803" s="7">
        <f t="shared" ca="1" si="137"/>
        <v>8.2414907388688396E-2</v>
      </c>
      <c r="E1803" s="7">
        <f t="shared" ca="1" si="138"/>
        <v>0.87567473484060321</v>
      </c>
      <c r="F1803" s="7">
        <f t="shared" ca="1" si="139"/>
        <v>2.5013512956812246E-2</v>
      </c>
      <c r="G1803" s="7">
        <f t="shared" ca="1" si="135"/>
        <v>287.87747345977198</v>
      </c>
      <c r="H1803" s="7">
        <f ca="1">(G1803+DCF!$D$40+DCF!$D$41+DCF!$D$42-DCF!$D$43-DCF!$D$44)/DCF!$C$35</f>
        <v>2.2668725220666666</v>
      </c>
    </row>
    <row r="1804" spans="3:8" x14ac:dyDescent="0.35">
      <c r="C1804" s="8">
        <f t="shared" ca="1" si="136"/>
        <v>0.56280652769860484</v>
      </c>
      <c r="D1804" s="7">
        <f t="shared" ca="1" si="137"/>
        <v>8.791136230800195E-2</v>
      </c>
      <c r="E1804" s="7">
        <f t="shared" ca="1" si="138"/>
        <v>0.14607236231962739</v>
      </c>
      <c r="F1804" s="7">
        <f t="shared" ca="1" si="139"/>
        <v>1.5405041393359117E-2</v>
      </c>
      <c r="G1804" s="7">
        <f t="shared" ca="1" si="135"/>
        <v>235.9718027602654</v>
      </c>
      <c r="H1804" s="7">
        <f ca="1">(G1804+DCF!$D$40+DCF!$D$41+DCF!$D$42-DCF!$D$43-DCF!$D$44)/DCF!$C$35</f>
        <v>1.9739180650201229</v>
      </c>
    </row>
    <row r="1805" spans="3:8" x14ac:dyDescent="0.35">
      <c r="C1805" s="8">
        <f t="shared" ca="1" si="136"/>
        <v>0.88919850266102751</v>
      </c>
      <c r="D1805" s="7">
        <f t="shared" ca="1" si="137"/>
        <v>9.8879996806192305E-2</v>
      </c>
      <c r="E1805" s="7">
        <f t="shared" ca="1" si="138"/>
        <v>0.34380136697237995</v>
      </c>
      <c r="F1805" s="7">
        <f t="shared" ca="1" si="139"/>
        <v>1.8292181461743103E-2</v>
      </c>
      <c r="G1805" s="7">
        <f t="shared" ca="1" si="135"/>
        <v>207.92523506504506</v>
      </c>
      <c r="H1805" s="7">
        <f ca="1">(G1805+DCF!$D$40+DCF!$D$41+DCF!$D$42-DCF!$D$43-DCF!$D$44)/DCF!$C$35</f>
        <v>1.815623857461593</v>
      </c>
    </row>
    <row r="1806" spans="3:8" x14ac:dyDescent="0.35">
      <c r="C1806" s="8">
        <f t="shared" ca="1" si="136"/>
        <v>0.88358405270244156</v>
      </c>
      <c r="D1806" s="7">
        <f t="shared" ca="1" si="137"/>
        <v>9.8601745871227678E-2</v>
      </c>
      <c r="E1806" s="7">
        <f t="shared" ca="1" si="138"/>
        <v>0.98899466864198415</v>
      </c>
      <c r="F1806" s="7">
        <f t="shared" ca="1" si="139"/>
        <v>2.8516400906038571E-2</v>
      </c>
      <c r="G1806" s="7">
        <f t="shared" ca="1" si="135"/>
        <v>229.51110534975669</v>
      </c>
      <c r="H1806" s="7">
        <f ca="1">(G1806+DCF!$D$40+DCF!$D$41+DCF!$D$42-DCF!$D$43-DCF!$D$44)/DCF!$C$35</f>
        <v>1.9374540317742222</v>
      </c>
    </row>
    <row r="1807" spans="3:8" x14ac:dyDescent="0.35">
      <c r="C1807" s="8">
        <f t="shared" ca="1" si="136"/>
        <v>0.43417314040648691</v>
      </c>
      <c r="D1807" s="7">
        <f t="shared" ca="1" si="137"/>
        <v>8.4871076917098887E-2</v>
      </c>
      <c r="E1807" s="7">
        <f t="shared" ca="1" si="138"/>
        <v>0.22370972858687865</v>
      </c>
      <c r="F1807" s="7">
        <f t="shared" ca="1" si="139"/>
        <v>1.6688942047691526E-2</v>
      </c>
      <c r="G1807" s="7">
        <f t="shared" ca="1" si="135"/>
        <v>250.31668957366182</v>
      </c>
      <c r="H1807" s="7">
        <f ca="1">(G1807+DCF!$D$40+DCF!$D$41+DCF!$D$42-DCF!$D$43-DCF!$D$44)/DCF!$C$35</f>
        <v>2.0548802888230151</v>
      </c>
    </row>
    <row r="1808" spans="3:8" x14ac:dyDescent="0.35">
      <c r="C1808" s="8">
        <f t="shared" ca="1" si="136"/>
        <v>0.36958336933154567</v>
      </c>
      <c r="D1808" s="7">
        <f t="shared" ca="1" si="137"/>
        <v>8.3475578049163918E-2</v>
      </c>
      <c r="E1808" s="7">
        <f t="shared" ca="1" si="138"/>
        <v>0.33759503559637027</v>
      </c>
      <c r="F1808" s="7">
        <f t="shared" ca="1" si="139"/>
        <v>1.8216995017600657E-2</v>
      </c>
      <c r="G1808" s="7">
        <f t="shared" ref="G1808:G1871" ca="1" si="140">$C$11/(1+D1808)^1
 +$D$11/(1+D1808)^2
 +$E$11/(1+D1808)^3
 +$F$11/(1+D1808)^4
 +$G$11/(1+D1808)^5
 +$H$11/(1+D1808)^6
 +$I$11/(1+D1808)^7
 + ( $I$11*(1+F1808)/(D1808-F1808) )/(1+D1808)^7</f>
        <v>260.22846562506794</v>
      </c>
      <c r="H1808" s="7">
        <f ca="1">(G1808+DCF!$D$40+DCF!$D$41+DCF!$D$42-DCF!$D$43-DCF!$D$44)/DCF!$C$35</f>
        <v>2.1108221335651196</v>
      </c>
    </row>
    <row r="1809" spans="3:8" x14ac:dyDescent="0.35">
      <c r="C1809" s="8">
        <f t="shared" ref="C1809:C1872" ca="1" si="141">RAND()</f>
        <v>0.47611808913448384</v>
      </c>
      <c r="D1809" s="7">
        <f t="shared" ref="D1809:D1872" ca="1" si="142">IF(C1809&lt;($C$6-0.07)/(0.11-0.07),0.07+SQRT(C1809*(0.11-0.07)*($C$6-0.07)),0.11-SQRT((1-C1809)*(0.11-0.07)*(0.11-$C$6)))</f>
        <v>8.5820417445168412E-2</v>
      </c>
      <c r="E1809" s="7">
        <f t="shared" ref="E1809:E1872" ca="1" si="143">RAND()</f>
        <v>0.891502467798307</v>
      </c>
      <c r="F1809" s="7">
        <f t="shared" ref="F1809:F1872" ca="1" si="144">MIN(
 IF(E1809&lt;(0.02-0.01)/(0.03-0.01),
   0.01+SQRT(E1809*(0.03-0.01)*(0.02-0.01)),
   0.03-SQRT((1-E1809)*(0.03-0.01)*(0.03-0.02))
 ),
 D1809-0.005
)</f>
        <v>2.5341727096837435E-2</v>
      </c>
      <c r="G1809" s="7">
        <f t="shared" ca="1" si="140"/>
        <v>272.11554085515377</v>
      </c>
      <c r="H1809" s="7">
        <f ca="1">(G1809+DCF!$D$40+DCF!$D$41+DCF!$D$42-DCF!$D$43-DCF!$D$44)/DCF!$C$35</f>
        <v>2.1779125231693968</v>
      </c>
    </row>
    <row r="1810" spans="3:8" x14ac:dyDescent="0.35">
      <c r="C1810" s="8">
        <f t="shared" ca="1" si="141"/>
        <v>0.44233467626378686</v>
      </c>
      <c r="D1810" s="7">
        <f t="shared" ca="1" si="142"/>
        <v>8.5052966082325265E-2</v>
      </c>
      <c r="E1810" s="7">
        <f t="shared" ca="1" si="143"/>
        <v>5.7090514815142379E-2</v>
      </c>
      <c r="F1810" s="7">
        <f t="shared" ca="1" si="144"/>
        <v>1.3379068357258918E-2</v>
      </c>
      <c r="G1810" s="7">
        <f t="shared" ca="1" si="140"/>
        <v>241.27109419486794</v>
      </c>
      <c r="H1810" s="7">
        <f ca="1">(G1810+DCF!$D$40+DCF!$D$41+DCF!$D$42-DCF!$D$43-DCF!$D$44)/DCF!$C$35</f>
        <v>2.003827148633412</v>
      </c>
    </row>
    <row r="1811" spans="3:8" x14ac:dyDescent="0.35">
      <c r="C1811" s="8">
        <f t="shared" ca="1" si="141"/>
        <v>0.7273876544838983</v>
      </c>
      <c r="D1811" s="7">
        <f t="shared" ca="1" si="142"/>
        <v>9.2557655616403819E-2</v>
      </c>
      <c r="E1811" s="7">
        <f t="shared" ca="1" si="143"/>
        <v>3.1175822171515488E-2</v>
      </c>
      <c r="F1811" s="7">
        <f t="shared" ca="1" si="144"/>
        <v>1.2497031124015697E-2</v>
      </c>
      <c r="G1811" s="7">
        <f t="shared" ca="1" si="140"/>
        <v>215.27948552744556</v>
      </c>
      <c r="H1811" s="7">
        <f ca="1">(G1811+DCF!$D$40+DCF!$D$41+DCF!$D$42-DCF!$D$43-DCF!$D$44)/DCF!$C$35</f>
        <v>1.857131084363052</v>
      </c>
    </row>
    <row r="1812" spans="3:8" x14ac:dyDescent="0.35">
      <c r="C1812" s="8">
        <f t="shared" ca="1" si="141"/>
        <v>0.6969341805204482</v>
      </c>
      <c r="D1812" s="7">
        <f t="shared" ca="1" si="142"/>
        <v>9.1609201905866633E-2</v>
      </c>
      <c r="E1812" s="7">
        <f t="shared" ca="1" si="143"/>
        <v>0.4994313458041052</v>
      </c>
      <c r="F1812" s="7">
        <f t="shared" ca="1" si="144"/>
        <v>1.9994311840283004E-2</v>
      </c>
      <c r="G1812" s="7">
        <f t="shared" ca="1" si="140"/>
        <v>233.80436692080792</v>
      </c>
      <c r="H1812" s="7">
        <f ca="1">(G1812+DCF!$D$40+DCF!$D$41+DCF!$D$42-DCF!$D$43-DCF!$D$44)/DCF!$C$35</f>
        <v>1.9616851050954278</v>
      </c>
    </row>
    <row r="1813" spans="3:8" x14ac:dyDescent="0.35">
      <c r="C1813" s="8">
        <f t="shared" ca="1" si="141"/>
        <v>0.49665581160712136</v>
      </c>
      <c r="D1813" s="7">
        <f t="shared" ca="1" si="142"/>
        <v>8.629911153044148E-2</v>
      </c>
      <c r="E1813" s="7">
        <f t="shared" ca="1" si="143"/>
        <v>0.23389631513991105</v>
      </c>
      <c r="F1813" s="7">
        <f t="shared" ca="1" si="144"/>
        <v>1.683953675536452E-2</v>
      </c>
      <c r="G1813" s="7">
        <f t="shared" ca="1" si="140"/>
        <v>245.25575943321758</v>
      </c>
      <c r="H1813" s="7">
        <f ca="1">(G1813+DCF!$D$40+DCF!$D$41+DCF!$D$42-DCF!$D$43-DCF!$D$44)/DCF!$C$35</f>
        <v>2.0263165110803563</v>
      </c>
    </row>
    <row r="1814" spans="3:8" x14ac:dyDescent="0.35">
      <c r="C1814" s="8">
        <f t="shared" ca="1" si="141"/>
        <v>0.29208628249569302</v>
      </c>
      <c r="D1814" s="7">
        <f t="shared" ca="1" si="142"/>
        <v>8.1889901628184963E-2</v>
      </c>
      <c r="E1814" s="7">
        <f t="shared" ca="1" si="143"/>
        <v>0.52982767165323075</v>
      </c>
      <c r="F1814" s="7">
        <f t="shared" ca="1" si="144"/>
        <v>2.0302863016882056E-2</v>
      </c>
      <c r="G1814" s="7">
        <f t="shared" ca="1" si="140"/>
        <v>273.76079199179867</v>
      </c>
      <c r="H1814" s="7">
        <f ca="1">(G1814+DCF!$D$40+DCF!$D$41+DCF!$D$42-DCF!$D$43-DCF!$D$44)/DCF!$C$35</f>
        <v>2.1871982841844377</v>
      </c>
    </row>
    <row r="1815" spans="3:8" x14ac:dyDescent="0.35">
      <c r="C1815" s="8">
        <f t="shared" ca="1" si="141"/>
        <v>0.79967637183310403</v>
      </c>
      <c r="D1815" s="7">
        <f t="shared" ca="1" si="142"/>
        <v>9.5048037953691294E-2</v>
      </c>
      <c r="E1815" s="7">
        <f t="shared" ca="1" si="143"/>
        <v>2.4588704772957048E-2</v>
      </c>
      <c r="F1815" s="7">
        <f t="shared" ca="1" si="144"/>
        <v>1.2217598014652657E-2</v>
      </c>
      <c r="G1815" s="7">
        <f t="shared" ca="1" si="140"/>
        <v>207.84091417780883</v>
      </c>
      <c r="H1815" s="7">
        <f ca="1">(G1815+DCF!$D$40+DCF!$D$41+DCF!$D$42-DCF!$D$43-DCF!$D$44)/DCF!$C$35</f>
        <v>1.8151479522395801</v>
      </c>
    </row>
    <row r="1816" spans="3:8" x14ac:dyDescent="0.35">
      <c r="C1816" s="8">
        <f t="shared" ca="1" si="141"/>
        <v>0.48928024006554105</v>
      </c>
      <c r="D1816" s="7">
        <f t="shared" ca="1" si="142"/>
        <v>8.6126096840129895E-2</v>
      </c>
      <c r="E1816" s="7">
        <f t="shared" ca="1" si="143"/>
        <v>0.12847429555502243</v>
      </c>
      <c r="F1816" s="7">
        <f t="shared" ca="1" si="144"/>
        <v>1.5069009677541018E-2</v>
      </c>
      <c r="G1816" s="7">
        <f t="shared" ca="1" si="140"/>
        <v>241.49185199605554</v>
      </c>
      <c r="H1816" s="7">
        <f ca="1">(G1816+DCF!$D$40+DCF!$D$41+DCF!$D$42-DCF!$D$43-DCF!$D$44)/DCF!$C$35</f>
        <v>2.0050731007791822</v>
      </c>
    </row>
    <row r="1817" spans="3:8" x14ac:dyDescent="0.35">
      <c r="C1817" s="8">
        <f t="shared" ca="1" si="141"/>
        <v>3.6647286392751277E-2</v>
      </c>
      <c r="D1817" s="7">
        <f t="shared" ca="1" si="142"/>
        <v>7.4211565815001782E-2</v>
      </c>
      <c r="E1817" s="7">
        <f t="shared" ca="1" si="143"/>
        <v>0.7309464434136127</v>
      </c>
      <c r="F1817" s="7">
        <f t="shared" ca="1" si="144"/>
        <v>2.2664421541740729E-2</v>
      </c>
      <c r="G1817" s="7">
        <f t="shared" ca="1" si="140"/>
        <v>325.97203884722126</v>
      </c>
      <c r="H1817" s="7">
        <f ca="1">(G1817+DCF!$D$40+DCF!$D$41+DCF!$D$42-DCF!$D$43-DCF!$D$44)/DCF!$C$35</f>
        <v>2.4818774062942839</v>
      </c>
    </row>
    <row r="1818" spans="3:8" x14ac:dyDescent="0.35">
      <c r="C1818" s="8">
        <f t="shared" ca="1" si="141"/>
        <v>0.93814434446472328</v>
      </c>
      <c r="D1818" s="7">
        <f t="shared" ca="1" si="142"/>
        <v>0.10169151568712026</v>
      </c>
      <c r="E1818" s="7">
        <f t="shared" ca="1" si="143"/>
        <v>0.50673734418701943</v>
      </c>
      <c r="F1818" s="7">
        <f t="shared" ca="1" si="144"/>
        <v>2.0067601943005099E-2</v>
      </c>
      <c r="G1818" s="7">
        <f t="shared" ca="1" si="140"/>
        <v>203.38787312397119</v>
      </c>
      <c r="H1818" s="7">
        <f ca="1">(G1818+DCF!$D$40+DCF!$D$41+DCF!$D$42-DCF!$D$43-DCF!$D$44)/DCF!$C$35</f>
        <v>1.790015087052552</v>
      </c>
    </row>
    <row r="1819" spans="3:8" x14ac:dyDescent="0.35">
      <c r="C1819" s="8">
        <f t="shared" ca="1" si="141"/>
        <v>0.83214088857455504</v>
      </c>
      <c r="D1819" s="7">
        <f t="shared" ca="1" si="142"/>
        <v>9.6313116923462949E-2</v>
      </c>
      <c r="E1819" s="7">
        <f t="shared" ca="1" si="143"/>
        <v>0.71270582859609599</v>
      </c>
      <c r="F1819" s="7">
        <f t="shared" ca="1" si="144"/>
        <v>2.2419839429089858E-2</v>
      </c>
      <c r="G1819" s="7">
        <f t="shared" ca="1" si="140"/>
        <v>223.53430818061156</v>
      </c>
      <c r="H1819" s="7">
        <f ca="1">(G1819+DCF!$D$40+DCF!$D$41+DCF!$D$42-DCF!$D$43-DCF!$D$44)/DCF!$C$35</f>
        <v>1.9037211207845781</v>
      </c>
    </row>
    <row r="1820" spans="3:8" x14ac:dyDescent="0.35">
      <c r="C1820" s="8">
        <f t="shared" ca="1" si="141"/>
        <v>0.81583805529967168</v>
      </c>
      <c r="D1820" s="7">
        <f t="shared" ca="1" si="142"/>
        <v>9.5663866271355924E-2</v>
      </c>
      <c r="E1820" s="7">
        <f t="shared" ca="1" si="143"/>
        <v>7.6852999747471618E-2</v>
      </c>
      <c r="F1820" s="7">
        <f t="shared" ca="1" si="144"/>
        <v>1.3920535671243704E-2</v>
      </c>
      <c r="G1820" s="7">
        <f t="shared" ca="1" si="140"/>
        <v>209.10054945368654</v>
      </c>
      <c r="H1820" s="7">
        <f ca="1">(G1820+DCF!$D$40+DCF!$D$41+DCF!$D$42-DCF!$D$43-DCF!$D$44)/DCF!$C$35</f>
        <v>1.8222573058679676</v>
      </c>
    </row>
    <row r="1821" spans="3:8" x14ac:dyDescent="0.35">
      <c r="C1821" s="8">
        <f t="shared" ca="1" si="141"/>
        <v>0.57969443438407631</v>
      </c>
      <c r="D1821" s="7">
        <f t="shared" ca="1" si="142"/>
        <v>8.8342183599740012E-2</v>
      </c>
      <c r="E1821" s="7">
        <f t="shared" ca="1" si="143"/>
        <v>5.8313164043804488E-2</v>
      </c>
      <c r="F1821" s="7">
        <f t="shared" ca="1" si="144"/>
        <v>1.3415059707934973E-2</v>
      </c>
      <c r="G1821" s="7">
        <f t="shared" ca="1" si="140"/>
        <v>230.07386632856762</v>
      </c>
      <c r="H1821" s="7">
        <f ca="1">(G1821+DCF!$D$40+DCF!$D$41+DCF!$D$42-DCF!$D$43-DCF!$D$44)/DCF!$C$35</f>
        <v>1.9406302422878858</v>
      </c>
    </row>
    <row r="1822" spans="3:8" x14ac:dyDescent="0.35">
      <c r="C1822" s="8">
        <f t="shared" ca="1" si="141"/>
        <v>0.10886789606630598</v>
      </c>
      <c r="D1822" s="7">
        <f t="shared" ca="1" si="142"/>
        <v>7.7258929789996059E-2</v>
      </c>
      <c r="E1822" s="7">
        <f t="shared" ca="1" si="143"/>
        <v>0.77120763643119106</v>
      </c>
      <c r="F1822" s="7">
        <f t="shared" ca="1" si="144"/>
        <v>2.3235499078737457E-2</v>
      </c>
      <c r="G1822" s="7">
        <f t="shared" ca="1" si="140"/>
        <v>309.48450502462453</v>
      </c>
      <c r="H1822" s="7">
        <f ca="1">(G1822+DCF!$D$40+DCF!$D$41+DCF!$D$42-DCF!$D$43-DCF!$D$44)/DCF!$C$35</f>
        <v>2.3888221301762305</v>
      </c>
    </row>
    <row r="1823" spans="3:8" x14ac:dyDescent="0.35">
      <c r="C1823" s="8">
        <f t="shared" ca="1" si="141"/>
        <v>4.7786235667512056E-2</v>
      </c>
      <c r="D1823" s="7">
        <f t="shared" ca="1" si="142"/>
        <v>7.480921387162974E-2</v>
      </c>
      <c r="E1823" s="7">
        <f t="shared" ca="1" si="143"/>
        <v>0.8782031620868409</v>
      </c>
      <c r="F1823" s="7">
        <f t="shared" ca="1" si="144"/>
        <v>2.5064478995827106E-2</v>
      </c>
      <c r="G1823" s="7">
        <f t="shared" ca="1" si="140"/>
        <v>334.16547623019255</v>
      </c>
      <c r="H1823" s="7">
        <f ca="1">(G1823+DCF!$D$40+DCF!$D$41+DCF!$D$42-DCF!$D$43-DCF!$D$44)/DCF!$C$35</f>
        <v>2.5281209856089433</v>
      </c>
    </row>
    <row r="1824" spans="3:8" x14ac:dyDescent="0.35">
      <c r="C1824" s="8">
        <f t="shared" ca="1" si="141"/>
        <v>0.4638256068692399</v>
      </c>
      <c r="D1824" s="7">
        <f t="shared" ca="1" si="142"/>
        <v>8.5538384707179949E-2</v>
      </c>
      <c r="E1824" s="7">
        <f t="shared" ca="1" si="143"/>
        <v>7.7758057170480011E-2</v>
      </c>
      <c r="F1824" s="7">
        <f t="shared" ca="1" si="144"/>
        <v>1.3943553148379771E-2</v>
      </c>
      <c r="G1824" s="7">
        <f t="shared" ca="1" si="140"/>
        <v>240.88728402455297</v>
      </c>
      <c r="H1824" s="7">
        <f ca="1">(G1824+DCF!$D$40+DCF!$D$41+DCF!$D$42-DCF!$D$43-DCF!$D$44)/DCF!$C$35</f>
        <v>2.0016609325237216</v>
      </c>
    </row>
    <row r="1825" spans="3:8" x14ac:dyDescent="0.35">
      <c r="C1825" s="8">
        <f t="shared" ca="1" si="141"/>
        <v>0.78050285328543634</v>
      </c>
      <c r="D1825" s="7">
        <f t="shared" ca="1" si="142"/>
        <v>9.4348839795930367E-2</v>
      </c>
      <c r="E1825" s="7">
        <f t="shared" ca="1" si="143"/>
        <v>0.7528683797414184</v>
      </c>
      <c r="F1825" s="7">
        <f t="shared" ca="1" si="144"/>
        <v>2.2969614231657248E-2</v>
      </c>
      <c r="G1825" s="7">
        <f t="shared" ca="1" si="140"/>
        <v>231.25516167799557</v>
      </c>
      <c r="H1825" s="7">
        <f ca="1">(G1825+DCF!$D$40+DCF!$D$41+DCF!$D$42-DCF!$D$43-DCF!$D$44)/DCF!$C$35</f>
        <v>1.9472974471046145</v>
      </c>
    </row>
    <row r="1826" spans="3:8" x14ac:dyDescent="0.35">
      <c r="C1826" s="8">
        <f t="shared" ca="1" si="141"/>
        <v>0.6033084042575998</v>
      </c>
      <c r="D1826" s="7">
        <f t="shared" ca="1" si="142"/>
        <v>8.8959376890203112E-2</v>
      </c>
      <c r="E1826" s="7">
        <f t="shared" ca="1" si="143"/>
        <v>1.2350596524940749E-2</v>
      </c>
      <c r="F1826" s="7">
        <f t="shared" ca="1" si="144"/>
        <v>1.1571661320064902E-2</v>
      </c>
      <c r="G1826" s="7">
        <f t="shared" ca="1" si="140"/>
        <v>224.25719345596207</v>
      </c>
      <c r="H1826" s="7">
        <f ca="1">(G1826+DCF!$D$40+DCF!$D$41+DCF!$D$42-DCF!$D$43-DCF!$D$44)/DCF!$C$35</f>
        <v>1.9078010692852583</v>
      </c>
    </row>
    <row r="1827" spans="3:8" x14ac:dyDescent="0.35">
      <c r="C1827" s="8">
        <f t="shared" ca="1" si="141"/>
        <v>2.7113644907504564E-2</v>
      </c>
      <c r="D1827" s="7">
        <f t="shared" ca="1" si="142"/>
        <v>7.3622568720567258E-2</v>
      </c>
      <c r="E1827" s="7">
        <f t="shared" ca="1" si="143"/>
        <v>0.83434833323275126</v>
      </c>
      <c r="F1827" s="7">
        <f t="shared" ca="1" si="144"/>
        <v>2.4244104469897863E-2</v>
      </c>
      <c r="G1827" s="7">
        <f t="shared" ca="1" si="140"/>
        <v>338.16335928442857</v>
      </c>
      <c r="H1827" s="7">
        <f ca="1">(G1827+DCF!$D$40+DCF!$D$41+DCF!$D$42-DCF!$D$43-DCF!$D$44)/DCF!$C$35</f>
        <v>2.5506849491163144</v>
      </c>
    </row>
    <row r="1828" spans="3:8" x14ac:dyDescent="0.35">
      <c r="C1828" s="8">
        <f t="shared" ca="1" si="141"/>
        <v>0.22604351252712085</v>
      </c>
      <c r="D1828" s="7">
        <f t="shared" ca="1" si="142"/>
        <v>8.0459687378842959E-2</v>
      </c>
      <c r="E1828" s="7">
        <f t="shared" ca="1" si="143"/>
        <v>0.9078628967010719</v>
      </c>
      <c r="F1828" s="7">
        <f t="shared" ca="1" si="144"/>
        <v>2.5707282834871878E-2</v>
      </c>
      <c r="G1828" s="7">
        <f t="shared" ca="1" si="140"/>
        <v>301.39138655208438</v>
      </c>
      <c r="H1828" s="7">
        <f ca="1">(G1828+DCF!$D$40+DCF!$D$41+DCF!$D$42-DCF!$D$43-DCF!$D$44)/DCF!$C$35</f>
        <v>2.3431447485725498</v>
      </c>
    </row>
    <row r="1829" spans="3:8" x14ac:dyDescent="0.35">
      <c r="C1829" s="8">
        <f t="shared" ca="1" si="141"/>
        <v>0.10686505576664374</v>
      </c>
      <c r="D1829" s="7">
        <f t="shared" ca="1" si="142"/>
        <v>7.7191848649064837E-2</v>
      </c>
      <c r="E1829" s="7">
        <f t="shared" ca="1" si="143"/>
        <v>0.24912236193615789</v>
      </c>
      <c r="F1829" s="7">
        <f t="shared" ca="1" si="144"/>
        <v>1.705864522321611E-2</v>
      </c>
      <c r="G1829" s="7">
        <f t="shared" ca="1" si="140"/>
        <v>285.33491485006584</v>
      </c>
      <c r="H1829" s="7">
        <f ca="1">(G1829+DCF!$D$40+DCF!$D$41+DCF!$D$42-DCF!$D$43-DCF!$D$44)/DCF!$C$35</f>
        <v>2.2525223775260517</v>
      </c>
    </row>
    <row r="1830" spans="3:8" x14ac:dyDescent="0.35">
      <c r="C1830" s="8">
        <f t="shared" ca="1" si="141"/>
        <v>0.51447391944539611</v>
      </c>
      <c r="D1830" s="7">
        <f t="shared" ca="1" si="142"/>
        <v>8.672239045995192E-2</v>
      </c>
      <c r="E1830" s="7">
        <f t="shared" ca="1" si="143"/>
        <v>0.22835152113147428</v>
      </c>
      <c r="F1830" s="7">
        <f t="shared" ca="1" si="144"/>
        <v>1.6757980780254915E-2</v>
      </c>
      <c r="G1830" s="7">
        <f t="shared" ca="1" si="140"/>
        <v>243.47590376589318</v>
      </c>
      <c r="H1830" s="7">
        <f ca="1">(G1830+DCF!$D$40+DCF!$D$41+DCF!$D$42-DCF!$D$43-DCF!$D$44)/DCF!$C$35</f>
        <v>2.0162710450722043</v>
      </c>
    </row>
    <row r="1831" spans="3:8" x14ac:dyDescent="0.35">
      <c r="C1831" s="8">
        <f t="shared" ca="1" si="141"/>
        <v>0.77369050653825355</v>
      </c>
      <c r="D1831" s="7">
        <f t="shared" ca="1" si="142"/>
        <v>9.4107819699509168E-2</v>
      </c>
      <c r="E1831" s="7">
        <f t="shared" ca="1" si="143"/>
        <v>0.55766884281514106</v>
      </c>
      <c r="F1831" s="7">
        <f t="shared" ca="1" si="144"/>
        <v>2.0594351089001262E-2</v>
      </c>
      <c r="G1831" s="7">
        <f t="shared" ca="1" si="140"/>
        <v>226.74845275021093</v>
      </c>
      <c r="H1831" s="7">
        <f ca="1">(G1831+DCF!$D$40+DCF!$D$41+DCF!$D$42-DCF!$D$43-DCF!$D$44)/DCF!$C$35</f>
        <v>1.9218616816243985</v>
      </c>
    </row>
    <row r="1832" spans="3:8" x14ac:dyDescent="0.35">
      <c r="C1832" s="8">
        <f t="shared" ca="1" si="141"/>
        <v>0.43054824794338387</v>
      </c>
      <c r="D1832" s="7">
        <f t="shared" ca="1" si="142"/>
        <v>8.4790712915768854E-2</v>
      </c>
      <c r="E1832" s="7">
        <f t="shared" ca="1" si="143"/>
        <v>0.30659388470825921</v>
      </c>
      <c r="F1832" s="7">
        <f t="shared" ca="1" si="144"/>
        <v>1.7830630686071963E-2</v>
      </c>
      <c r="G1832" s="7">
        <f t="shared" ca="1" si="140"/>
        <v>253.72529142388069</v>
      </c>
      <c r="H1832" s="7">
        <f ca="1">(G1832+DCF!$D$40+DCF!$D$41+DCF!$D$42-DCF!$D$43-DCF!$D$44)/DCF!$C$35</f>
        <v>2.0741183622524022</v>
      </c>
    </row>
    <row r="1833" spans="3:8" x14ac:dyDescent="0.35">
      <c r="C1833" s="8">
        <f t="shared" ca="1" si="141"/>
        <v>0.36564491290229317</v>
      </c>
      <c r="D1833" s="7">
        <f t="shared" ca="1" si="142"/>
        <v>8.3392852892483188E-2</v>
      </c>
      <c r="E1833" s="7">
        <f t="shared" ca="1" si="143"/>
        <v>0.74488284632173252</v>
      </c>
      <c r="F1833" s="7">
        <f t="shared" ca="1" si="144"/>
        <v>2.2856931280209221E-2</v>
      </c>
      <c r="G1833" s="7">
        <f t="shared" ca="1" si="140"/>
        <v>275.23044785019863</v>
      </c>
      <c r="H1833" s="7">
        <f ca="1">(G1833+DCF!$D$40+DCF!$D$41+DCF!$D$42-DCF!$D$43-DCF!$D$44)/DCF!$C$35</f>
        <v>2.1954929893340029</v>
      </c>
    </row>
    <row r="1834" spans="3:8" x14ac:dyDescent="0.35">
      <c r="C1834" s="8">
        <f t="shared" ca="1" si="141"/>
        <v>0.39615480547206805</v>
      </c>
      <c r="D1834" s="7">
        <f t="shared" ca="1" si="142"/>
        <v>8.4040584808336455E-2</v>
      </c>
      <c r="E1834" s="7">
        <f t="shared" ca="1" si="143"/>
        <v>3.6556851323340522E-3</v>
      </c>
      <c r="F1834" s="7">
        <f t="shared" ca="1" si="144"/>
        <v>1.0855065510044002E-2</v>
      </c>
      <c r="G1834" s="7">
        <f t="shared" ca="1" si="140"/>
        <v>238.89499696086006</v>
      </c>
      <c r="H1834" s="7">
        <f ca="1">(G1834+DCF!$D$40+DCF!$D$41+DCF!$D$42-DCF!$D$43-DCF!$D$44)/DCF!$C$35</f>
        <v>1.990416508414381</v>
      </c>
    </row>
    <row r="1835" spans="3:8" x14ac:dyDescent="0.35">
      <c r="C1835" s="8">
        <f t="shared" ca="1" si="141"/>
        <v>0.94618136191982871</v>
      </c>
      <c r="D1835" s="7">
        <f t="shared" ca="1" si="142"/>
        <v>0.10225005805844514</v>
      </c>
      <c r="E1835" s="7">
        <f t="shared" ca="1" si="143"/>
        <v>0.68317228538407904</v>
      </c>
      <c r="F1835" s="7">
        <f t="shared" ca="1" si="144"/>
        <v>2.2039752332798673E-2</v>
      </c>
      <c r="G1835" s="7">
        <f t="shared" ca="1" si="140"/>
        <v>205.27568484753249</v>
      </c>
      <c r="H1835" s="7">
        <f ca="1">(G1835+DCF!$D$40+DCF!$D$41+DCF!$D$42-DCF!$D$43-DCF!$D$44)/DCF!$C$35</f>
        <v>1.800669854653643</v>
      </c>
    </row>
    <row r="1836" spans="3:8" x14ac:dyDescent="0.35">
      <c r="C1836" s="8">
        <f t="shared" ca="1" si="141"/>
        <v>0.18883263267197858</v>
      </c>
      <c r="D1836" s="7">
        <f t="shared" ca="1" si="142"/>
        <v>7.9560072918824304E-2</v>
      </c>
      <c r="E1836" s="7">
        <f t="shared" ca="1" si="143"/>
        <v>0.8810626293149888</v>
      </c>
      <c r="F1836" s="7">
        <f t="shared" ca="1" si="144"/>
        <v>2.5122759577691271E-2</v>
      </c>
      <c r="G1836" s="7">
        <f t="shared" ca="1" si="140"/>
        <v>304.10866055510184</v>
      </c>
      <c r="H1836" s="7">
        <f ca="1">(G1836+DCF!$D$40+DCF!$D$41+DCF!$D$42-DCF!$D$43-DCF!$D$44)/DCF!$C$35</f>
        <v>2.3584809829275417</v>
      </c>
    </row>
    <row r="1837" spans="3:8" x14ac:dyDescent="0.35">
      <c r="C1837" s="8">
        <f t="shared" ca="1" si="141"/>
        <v>9.5631309534912168E-2</v>
      </c>
      <c r="D1837" s="7">
        <f t="shared" ca="1" si="142"/>
        <v>7.6803348720659373E-2</v>
      </c>
      <c r="E1837" s="7">
        <f t="shared" ca="1" si="143"/>
        <v>0.53781134732293501</v>
      </c>
      <c r="F1837" s="7">
        <f t="shared" ca="1" si="144"/>
        <v>2.0385545749476312E-2</v>
      </c>
      <c r="G1837" s="7">
        <f t="shared" ca="1" si="140"/>
        <v>300.04712732925822</v>
      </c>
      <c r="H1837" s="7">
        <f ca="1">(G1837+DCF!$D$40+DCF!$D$41+DCF!$D$42-DCF!$D$43-DCF!$D$44)/DCF!$C$35</f>
        <v>2.3355577792598385</v>
      </c>
    </row>
    <row r="1838" spans="3:8" x14ac:dyDescent="0.35">
      <c r="C1838" s="8">
        <f t="shared" ca="1" si="141"/>
        <v>2.9415093903185641E-3</v>
      </c>
      <c r="D1838" s="7">
        <f t="shared" ca="1" si="142"/>
        <v>7.1193185042193463E-2</v>
      </c>
      <c r="E1838" s="7">
        <f t="shared" ca="1" si="143"/>
        <v>0.52321893913126871</v>
      </c>
      <c r="F1838" s="7">
        <f t="shared" ca="1" si="144"/>
        <v>2.0234949453600035E-2</v>
      </c>
      <c r="G1838" s="7">
        <f t="shared" ca="1" si="140"/>
        <v>334.03398886987691</v>
      </c>
      <c r="H1838" s="7">
        <f ca="1">(G1838+DCF!$D$40+DCF!$D$41+DCF!$D$42-DCF!$D$43-DCF!$D$44)/DCF!$C$35</f>
        <v>2.5273788738563998</v>
      </c>
    </row>
    <row r="1839" spans="3:8" x14ac:dyDescent="0.35">
      <c r="C1839" s="8">
        <f t="shared" ca="1" si="141"/>
        <v>0.63633049958032106</v>
      </c>
      <c r="D1839" s="7">
        <f t="shared" ca="1" si="142"/>
        <v>8.9854152723988959E-2</v>
      </c>
      <c r="E1839" s="7">
        <f t="shared" ca="1" si="143"/>
        <v>0.91900098705121558</v>
      </c>
      <c r="F1839" s="7">
        <f t="shared" ca="1" si="144"/>
        <v>2.5975102164059703E-2</v>
      </c>
      <c r="G1839" s="7">
        <f t="shared" ca="1" si="140"/>
        <v>256.14247795673998</v>
      </c>
      <c r="H1839" s="7">
        <f ca="1">(G1839+DCF!$D$40+DCF!$D$41+DCF!$D$42-DCF!$D$43-DCF!$D$44)/DCF!$C$35</f>
        <v>2.0877609095650747</v>
      </c>
    </row>
    <row r="1840" spans="3:8" x14ac:dyDescent="0.35">
      <c r="C1840" s="8">
        <f t="shared" ca="1" si="141"/>
        <v>0.47102426121254382</v>
      </c>
      <c r="D1840" s="7">
        <f t="shared" ca="1" si="142"/>
        <v>8.5703149906072168E-2</v>
      </c>
      <c r="E1840" s="7">
        <f t="shared" ca="1" si="143"/>
        <v>0.63870304854925064</v>
      </c>
      <c r="F1840" s="7">
        <f t="shared" ca="1" si="144"/>
        <v>2.1499447647937819E-2</v>
      </c>
      <c r="G1840" s="7">
        <f t="shared" ca="1" si="140"/>
        <v>260.47304855899688</v>
      </c>
      <c r="H1840" s="7">
        <f ca="1">(G1840+DCF!$D$40+DCF!$D$41+DCF!$D$42-DCF!$D$43-DCF!$D$44)/DCF!$C$35</f>
        <v>2.1122025542329657</v>
      </c>
    </row>
    <row r="1841" spans="3:8" x14ac:dyDescent="0.35">
      <c r="C1841" s="8">
        <f t="shared" ca="1" si="141"/>
        <v>0.74013663916110684</v>
      </c>
      <c r="D1841" s="7">
        <f t="shared" ca="1" si="142"/>
        <v>9.2970393113867705E-2</v>
      </c>
      <c r="E1841" s="7">
        <f t="shared" ca="1" si="143"/>
        <v>0.92730052529697526</v>
      </c>
      <c r="F1841" s="7">
        <f t="shared" ca="1" si="144"/>
        <v>2.6186878583023491E-2</v>
      </c>
      <c r="G1841" s="7">
        <f t="shared" ca="1" si="140"/>
        <v>244.201878328117</v>
      </c>
      <c r="H1841" s="7">
        <f ca="1">(G1841+DCF!$D$40+DCF!$D$41+DCF!$D$42-DCF!$D$43-DCF!$D$44)/DCF!$C$35</f>
        <v>2.0203684294396487</v>
      </c>
    </row>
    <row r="1842" spans="3:8" x14ac:dyDescent="0.35">
      <c r="C1842" s="8">
        <f t="shared" ca="1" si="141"/>
        <v>0.78120673273777885</v>
      </c>
      <c r="D1842" s="7">
        <f t="shared" ca="1" si="142"/>
        <v>9.4373954874484758E-2</v>
      </c>
      <c r="E1842" s="7">
        <f t="shared" ca="1" si="143"/>
        <v>0.73971282194057397</v>
      </c>
      <c r="F1842" s="7">
        <f t="shared" ca="1" si="144"/>
        <v>2.2784916105000219E-2</v>
      </c>
      <c r="G1842" s="7">
        <f t="shared" ca="1" si="140"/>
        <v>230.74544095524581</v>
      </c>
      <c r="H1842" s="7">
        <f ca="1">(G1842+DCF!$D$40+DCF!$D$41+DCF!$D$42-DCF!$D$43-DCF!$D$44)/DCF!$C$35</f>
        <v>1.9444205946226765</v>
      </c>
    </row>
    <row r="1843" spans="3:8" x14ac:dyDescent="0.35">
      <c r="C1843" s="8">
        <f t="shared" ca="1" si="141"/>
        <v>0.15092875814548001</v>
      </c>
      <c r="D1843" s="7">
        <f t="shared" ca="1" si="142"/>
        <v>7.8546901130960411E-2</v>
      </c>
      <c r="E1843" s="7">
        <f t="shared" ca="1" si="143"/>
        <v>0.54709035112777604</v>
      </c>
      <c r="F1843" s="7">
        <f t="shared" ca="1" si="144"/>
        <v>2.048254604558316E-2</v>
      </c>
      <c r="G1843" s="7">
        <f t="shared" ca="1" si="140"/>
        <v>290.98320262039323</v>
      </c>
      <c r="H1843" s="7">
        <f ca="1">(G1843+DCF!$D$40+DCF!$D$41+DCF!$D$42-DCF!$D$43-DCF!$D$44)/DCF!$C$35</f>
        <v>2.2844011887368394</v>
      </c>
    </row>
    <row r="1844" spans="3:8" x14ac:dyDescent="0.35">
      <c r="C1844" s="8">
        <f t="shared" ca="1" si="141"/>
        <v>0.65151503831733892</v>
      </c>
      <c r="D1844" s="7">
        <f t="shared" ca="1" si="142"/>
        <v>9.0279218645351558E-2</v>
      </c>
      <c r="E1844" s="7">
        <f t="shared" ca="1" si="143"/>
        <v>0.23673085297685215</v>
      </c>
      <c r="F1844" s="7">
        <f t="shared" ca="1" si="144"/>
        <v>1.6880855368002615E-2</v>
      </c>
      <c r="G1844" s="7">
        <f t="shared" ca="1" si="140"/>
        <v>231.25333850939126</v>
      </c>
      <c r="H1844" s="7">
        <f ca="1">(G1844+DCF!$D$40+DCF!$D$41+DCF!$D$42-DCF!$D$43-DCF!$D$44)/DCF!$C$35</f>
        <v>1.9472871571813479</v>
      </c>
    </row>
    <row r="1845" spans="3:8" x14ac:dyDescent="0.35">
      <c r="C1845" s="8">
        <f t="shared" ca="1" si="141"/>
        <v>0.67530486687850511</v>
      </c>
      <c r="D1845" s="7">
        <f t="shared" ca="1" si="142"/>
        <v>9.0964250249501916E-2</v>
      </c>
      <c r="E1845" s="7">
        <f t="shared" ca="1" si="143"/>
        <v>0.568394490365982</v>
      </c>
      <c r="F1845" s="7">
        <f t="shared" ca="1" si="144"/>
        <v>2.0709084979034433E-2</v>
      </c>
      <c r="G1845" s="7">
        <f t="shared" ca="1" si="140"/>
        <v>237.76884853265429</v>
      </c>
      <c r="H1845" s="7">
        <f ca="1">(G1845+DCF!$D$40+DCF!$D$41+DCF!$D$42-DCF!$D$43-DCF!$D$44)/DCF!$C$35</f>
        <v>1.9840605516009382</v>
      </c>
    </row>
    <row r="1846" spans="3:8" x14ac:dyDescent="0.35">
      <c r="C1846" s="8">
        <f t="shared" ca="1" si="141"/>
        <v>0.40637288600516264</v>
      </c>
      <c r="D1846" s="7">
        <f t="shared" ca="1" si="142"/>
        <v>8.4261160492006673E-2</v>
      </c>
      <c r="E1846" s="7">
        <f t="shared" ca="1" si="143"/>
        <v>0.90443184880642813</v>
      </c>
      <c r="F1846" s="7">
        <f t="shared" ca="1" si="144"/>
        <v>2.562808620410759E-2</v>
      </c>
      <c r="G1846" s="7">
        <f t="shared" ca="1" si="140"/>
        <v>280.68955508778862</v>
      </c>
      <c r="H1846" s="7">
        <f ca="1">(G1846+DCF!$D$40+DCF!$D$41+DCF!$D$42-DCF!$D$43-DCF!$D$44)/DCF!$C$35</f>
        <v>2.226304069803525</v>
      </c>
    </row>
    <row r="1847" spans="3:8" x14ac:dyDescent="0.35">
      <c r="C1847" s="8">
        <f t="shared" ca="1" si="141"/>
        <v>0.30629402952819973</v>
      </c>
      <c r="D1847" s="7">
        <f t="shared" ca="1" si="142"/>
        <v>8.2175984059691731E-2</v>
      </c>
      <c r="E1847" s="7">
        <f t="shared" ca="1" si="143"/>
        <v>0.84909883329945623</v>
      </c>
      <c r="F1847" s="7">
        <f t="shared" ca="1" si="144"/>
        <v>2.4506346084789399E-2</v>
      </c>
      <c r="G1847" s="7">
        <f t="shared" ca="1" si="140"/>
        <v>287.20615293159705</v>
      </c>
      <c r="H1847" s="7">
        <f ca="1">(G1847+DCF!$D$40+DCF!$D$41+DCF!$D$42-DCF!$D$43-DCF!$D$44)/DCF!$C$35</f>
        <v>2.2630836038582065</v>
      </c>
    </row>
    <row r="1848" spans="3:8" x14ac:dyDescent="0.35">
      <c r="C1848" s="8">
        <f t="shared" ca="1" si="141"/>
        <v>0.46292233420558915</v>
      </c>
      <c r="D1848" s="7">
        <f t="shared" ca="1" si="142"/>
        <v>8.5517788600157824E-2</v>
      </c>
      <c r="E1848" s="7">
        <f t="shared" ca="1" si="143"/>
        <v>0.43696499385733889</v>
      </c>
      <c r="F1848" s="7">
        <f t="shared" ca="1" si="144"/>
        <v>1.9348422261080623E-2</v>
      </c>
      <c r="G1848" s="7">
        <f t="shared" ca="1" si="140"/>
        <v>255.01440399821212</v>
      </c>
      <c r="H1848" s="7">
        <f ca="1">(G1848+DCF!$D$40+DCF!$D$41+DCF!$D$42-DCF!$D$43-DCF!$D$44)/DCF!$C$35</f>
        <v>2.0813940851010955</v>
      </c>
    </row>
    <row r="1849" spans="3:8" x14ac:dyDescent="0.35">
      <c r="C1849" s="8">
        <f t="shared" ca="1" si="141"/>
        <v>0.89036078503632043</v>
      </c>
      <c r="D1849" s="7">
        <f t="shared" ca="1" si="142"/>
        <v>9.8938473708413188E-2</v>
      </c>
      <c r="E1849" s="7">
        <f t="shared" ca="1" si="143"/>
        <v>0.24697657029230624</v>
      </c>
      <c r="F1849" s="7">
        <f t="shared" ca="1" si="144"/>
        <v>1.7028179996162678E-2</v>
      </c>
      <c r="G1849" s="7">
        <f t="shared" ca="1" si="140"/>
        <v>205.57554071649753</v>
      </c>
      <c r="H1849" s="7">
        <f ca="1">(G1849+DCF!$D$40+DCF!$D$41+DCF!$D$42-DCF!$D$43-DCF!$D$44)/DCF!$C$35</f>
        <v>1.8023622345439525</v>
      </c>
    </row>
    <row r="1850" spans="3:8" x14ac:dyDescent="0.35">
      <c r="C1850" s="8">
        <f t="shared" ca="1" si="141"/>
        <v>0.53000731105827237</v>
      </c>
      <c r="D1850" s="7">
        <f t="shared" ca="1" si="142"/>
        <v>8.7097776508404959E-2</v>
      </c>
      <c r="E1850" s="7">
        <f t="shared" ca="1" si="143"/>
        <v>0.51091902505327003</v>
      </c>
      <c r="F1850" s="7">
        <f t="shared" ca="1" si="144"/>
        <v>2.0109792975405116E-2</v>
      </c>
      <c r="G1850" s="7">
        <f t="shared" ca="1" si="140"/>
        <v>250.78056637205844</v>
      </c>
      <c r="H1850" s="7">
        <f ca="1">(G1850+DCF!$D$40+DCF!$D$41+DCF!$D$42-DCF!$D$43-DCF!$D$44)/DCF!$C$35</f>
        <v>2.0574983992101727</v>
      </c>
    </row>
    <row r="1851" spans="3:8" x14ac:dyDescent="0.35">
      <c r="C1851" s="8">
        <f t="shared" ca="1" si="141"/>
        <v>0.30695957682959973</v>
      </c>
      <c r="D1851" s="7">
        <f t="shared" ca="1" si="142"/>
        <v>8.2189334559234897E-2</v>
      </c>
      <c r="E1851" s="7">
        <f t="shared" ca="1" si="143"/>
        <v>0.74616309541167225</v>
      </c>
      <c r="F1851" s="7">
        <f t="shared" ca="1" si="144"/>
        <v>2.2874876778773187E-2</v>
      </c>
      <c r="G1851" s="7">
        <f t="shared" ca="1" si="140"/>
        <v>281.15550613180369</v>
      </c>
      <c r="H1851" s="7">
        <f ca="1">(G1851+DCF!$D$40+DCF!$D$41+DCF!$D$42-DCF!$D$43-DCF!$D$44)/DCF!$C$35</f>
        <v>2.2289338871870621</v>
      </c>
    </row>
    <row r="1852" spans="3:8" x14ac:dyDescent="0.35">
      <c r="C1852" s="8">
        <f t="shared" ca="1" si="141"/>
        <v>0.85850690227057302</v>
      </c>
      <c r="D1852" s="7">
        <f t="shared" ca="1" si="142"/>
        <v>9.7433922765395697E-2</v>
      </c>
      <c r="E1852" s="7">
        <f t="shared" ca="1" si="143"/>
        <v>8.8083676912352749E-3</v>
      </c>
      <c r="F1852" s="7">
        <f t="shared" ca="1" si="144"/>
        <v>1.1327280504734043E-2</v>
      </c>
      <c r="G1852" s="7">
        <f t="shared" ca="1" si="140"/>
        <v>200.19169580171035</v>
      </c>
      <c r="H1852" s="7">
        <f ca="1">(G1852+DCF!$D$40+DCF!$D$41+DCF!$D$42-DCF!$D$43-DCF!$D$44)/DCF!$C$35</f>
        <v>1.771975932959196</v>
      </c>
    </row>
    <row r="1853" spans="3:8" x14ac:dyDescent="0.35">
      <c r="C1853" s="8">
        <f t="shared" ca="1" si="141"/>
        <v>0.84970462219397069</v>
      </c>
      <c r="D1853" s="7">
        <f t="shared" ca="1" si="142"/>
        <v>9.7048952102955971E-2</v>
      </c>
      <c r="E1853" s="7">
        <f t="shared" ca="1" si="143"/>
        <v>0.41594970280533339</v>
      </c>
      <c r="F1853" s="7">
        <f t="shared" ca="1" si="144"/>
        <v>1.9120851964650378E-2</v>
      </c>
      <c r="G1853" s="7">
        <f t="shared" ca="1" si="140"/>
        <v>214.64460904665933</v>
      </c>
      <c r="H1853" s="7">
        <f ca="1">(G1853+DCF!$D$40+DCF!$D$41+DCF!$D$42-DCF!$D$43-DCF!$D$44)/DCF!$C$35</f>
        <v>1.8535478555517513</v>
      </c>
    </row>
    <row r="1854" spans="3:8" x14ac:dyDescent="0.35">
      <c r="C1854" s="8">
        <f t="shared" ca="1" si="141"/>
        <v>0.14001908101762428</v>
      </c>
      <c r="D1854" s="7">
        <f t="shared" ca="1" si="142"/>
        <v>7.8232207189601721E-2</v>
      </c>
      <c r="E1854" s="7">
        <f t="shared" ca="1" si="143"/>
        <v>4.2834782209390521E-2</v>
      </c>
      <c r="F1854" s="7">
        <f t="shared" ca="1" si="144"/>
        <v>1.2926936357674711E-2</v>
      </c>
      <c r="G1854" s="7">
        <f t="shared" ca="1" si="140"/>
        <v>266.96012462861722</v>
      </c>
      <c r="H1854" s="7">
        <f ca="1">(G1854+DCF!$D$40+DCF!$D$41+DCF!$D$42-DCF!$D$43-DCF!$D$44)/DCF!$C$35</f>
        <v>2.1488154680472809</v>
      </c>
    </row>
    <row r="1855" spans="3:8" x14ac:dyDescent="0.35">
      <c r="C1855" s="8">
        <f t="shared" ca="1" si="141"/>
        <v>0.61887413144531211</v>
      </c>
      <c r="D1855" s="7">
        <f t="shared" ca="1" si="142"/>
        <v>8.9376312907071348E-2</v>
      </c>
      <c r="E1855" s="7">
        <f t="shared" ca="1" si="143"/>
        <v>0.76133598823537429</v>
      </c>
      <c r="F1855" s="7">
        <f t="shared" ca="1" si="144"/>
        <v>2.3091107009590817E-2</v>
      </c>
      <c r="G1855" s="7">
        <f t="shared" ca="1" si="140"/>
        <v>249.89589205048975</v>
      </c>
      <c r="H1855" s="7">
        <f ca="1">(G1855+DCF!$D$40+DCF!$D$41+DCF!$D$42-DCF!$D$43-DCF!$D$44)/DCF!$C$35</f>
        <v>2.0525053169121219</v>
      </c>
    </row>
    <row r="1856" spans="3:8" x14ac:dyDescent="0.35">
      <c r="C1856" s="8">
        <f t="shared" ca="1" si="141"/>
        <v>0.28311515252140151</v>
      </c>
      <c r="D1856" s="7">
        <f t="shared" ca="1" si="142"/>
        <v>8.1705884580857549E-2</v>
      </c>
      <c r="E1856" s="7">
        <f t="shared" ca="1" si="143"/>
        <v>5.8767326500203221E-2</v>
      </c>
      <c r="F1856" s="7">
        <f t="shared" ca="1" si="144"/>
        <v>1.3428332728899085E-2</v>
      </c>
      <c r="G1856" s="7">
        <f t="shared" ca="1" si="140"/>
        <v>254.00141426559901</v>
      </c>
      <c r="H1856" s="7">
        <f ca="1">(G1856+DCF!$D$40+DCF!$D$41+DCF!$D$42-DCF!$D$43-DCF!$D$44)/DCF!$C$35</f>
        <v>2.0756767934620104</v>
      </c>
    </row>
    <row r="1857" spans="3:8" x14ac:dyDescent="0.35">
      <c r="C1857" s="8">
        <f t="shared" ca="1" si="141"/>
        <v>0.55880125924012825</v>
      </c>
      <c r="D1857" s="7">
        <f t="shared" ca="1" si="142"/>
        <v>8.781041247143119E-2</v>
      </c>
      <c r="E1857" s="7">
        <f t="shared" ca="1" si="143"/>
        <v>0.58447881835611781</v>
      </c>
      <c r="F1857" s="7">
        <f t="shared" ca="1" si="144"/>
        <v>2.0883847504085049E-2</v>
      </c>
      <c r="G1857" s="7">
        <f t="shared" ca="1" si="140"/>
        <v>250.06950897812044</v>
      </c>
      <c r="H1857" s="7">
        <f ca="1">(G1857+DCF!$D$40+DCF!$D$41+DCF!$D$42-DCF!$D$43-DCF!$D$44)/DCF!$C$35</f>
        <v>2.0534852070105001</v>
      </c>
    </row>
    <row r="1858" spans="3:8" x14ac:dyDescent="0.35">
      <c r="C1858" s="8">
        <f t="shared" ca="1" si="141"/>
        <v>0.99103591229870514</v>
      </c>
      <c r="D1858" s="7">
        <f t="shared" ca="1" si="142"/>
        <v>0.10683710229779003</v>
      </c>
      <c r="E1858" s="7">
        <f t="shared" ca="1" si="143"/>
        <v>0.19929989274352655</v>
      </c>
      <c r="F1858" s="7">
        <f t="shared" ca="1" si="144"/>
        <v>1.6313475948216267E-2</v>
      </c>
      <c r="G1858" s="7">
        <f t="shared" ca="1" si="140"/>
        <v>185.30216506834068</v>
      </c>
      <c r="H1858" s="7">
        <f ca="1">(G1858+DCF!$D$40+DCF!$D$41+DCF!$D$42-DCF!$D$43-DCF!$D$44)/DCF!$C$35</f>
        <v>1.6879397509218912</v>
      </c>
    </row>
    <row r="1859" spans="3:8" x14ac:dyDescent="0.35">
      <c r="C1859" s="8">
        <f t="shared" ca="1" si="141"/>
        <v>0.82554648291285893</v>
      </c>
      <c r="D1859" s="7">
        <f t="shared" ca="1" si="142"/>
        <v>9.6046859669979334E-2</v>
      </c>
      <c r="E1859" s="7">
        <f t="shared" ca="1" si="143"/>
        <v>0.65247441648689919</v>
      </c>
      <c r="F1859" s="7">
        <f t="shared" ca="1" si="144"/>
        <v>2.1663027125951521E-2</v>
      </c>
      <c r="G1859" s="7">
        <f t="shared" ca="1" si="140"/>
        <v>222.78432661622878</v>
      </c>
      <c r="H1859" s="7">
        <f ca="1">(G1859+DCF!$D$40+DCF!$D$41+DCF!$D$42-DCF!$D$43-DCF!$D$44)/DCF!$C$35</f>
        <v>1.8994882414280887</v>
      </c>
    </row>
    <row r="1860" spans="3:8" x14ac:dyDescent="0.35">
      <c r="C1860" s="8">
        <f t="shared" ca="1" si="141"/>
        <v>0.44334231097495469</v>
      </c>
      <c r="D1860" s="7">
        <f t="shared" ca="1" si="142"/>
        <v>8.5075514429542379E-2</v>
      </c>
      <c r="E1860" s="7">
        <f t="shared" ca="1" si="143"/>
        <v>0.24172163538761726</v>
      </c>
      <c r="F1860" s="7">
        <f t="shared" ca="1" si="144"/>
        <v>1.6953008491115442E-2</v>
      </c>
      <c r="G1860" s="7">
        <f t="shared" ca="1" si="140"/>
        <v>250.2231635900028</v>
      </c>
      <c r="H1860" s="7">
        <f ca="1">(G1860+DCF!$D$40+DCF!$D$41+DCF!$D$42-DCF!$D$43-DCF!$D$44)/DCF!$C$35</f>
        <v>2.0543524302404492</v>
      </c>
    </row>
    <row r="1861" spans="3:8" x14ac:dyDescent="0.35">
      <c r="C1861" s="8">
        <f t="shared" ca="1" si="141"/>
        <v>6.5136783840081369E-2</v>
      </c>
      <c r="D1861" s="7">
        <f t="shared" ca="1" si="142"/>
        <v>7.561481997739905E-2</v>
      </c>
      <c r="E1861" s="7">
        <f t="shared" ca="1" si="143"/>
        <v>0.73019971839319364</v>
      </c>
      <c r="F1861" s="7">
        <f t="shared" ca="1" si="144"/>
        <v>2.2654249097514859E-2</v>
      </c>
      <c r="G1861" s="7">
        <f t="shared" ca="1" si="140"/>
        <v>316.91063234688477</v>
      </c>
      <c r="H1861" s="7">
        <f ca="1">(G1861+DCF!$D$40+DCF!$D$41+DCF!$D$42-DCF!$D$43-DCF!$D$44)/DCF!$C$35</f>
        <v>2.4307350284845057</v>
      </c>
    </row>
    <row r="1862" spans="3:8" x14ac:dyDescent="0.35">
      <c r="C1862" s="8">
        <f t="shared" ca="1" si="141"/>
        <v>0.21134398220357908</v>
      </c>
      <c r="D1862" s="7">
        <f t="shared" ca="1" si="142"/>
        <v>8.0113875982358709E-2</v>
      </c>
      <c r="E1862" s="7">
        <f t="shared" ca="1" si="143"/>
        <v>0.84417221400502818</v>
      </c>
      <c r="F1862" s="7">
        <f t="shared" ca="1" si="144"/>
        <v>2.4417387959118565E-2</v>
      </c>
      <c r="G1862" s="7">
        <f t="shared" ca="1" si="140"/>
        <v>297.98960863470029</v>
      </c>
      <c r="H1862" s="7">
        <f ca="1">(G1862+DCF!$D$40+DCF!$D$41+DCF!$D$42-DCF!$D$43-DCF!$D$44)/DCF!$C$35</f>
        <v>2.3239451892691063</v>
      </c>
    </row>
    <row r="1863" spans="3:8" x14ac:dyDescent="0.35">
      <c r="C1863" s="8">
        <f t="shared" ca="1" si="141"/>
        <v>0.65038837911441971</v>
      </c>
      <c r="D1863" s="7">
        <f t="shared" ca="1" si="142"/>
        <v>9.0247365519801989E-2</v>
      </c>
      <c r="E1863" s="7">
        <f t="shared" ca="1" si="143"/>
        <v>0.34319805649389989</v>
      </c>
      <c r="F1863" s="7">
        <f t="shared" ca="1" si="144"/>
        <v>1.8284902612510298E-2</v>
      </c>
      <c r="G1863" s="7">
        <f t="shared" ca="1" si="140"/>
        <v>234.55059952388916</v>
      </c>
      <c r="H1863" s="7">
        <f ca="1">(G1863+DCF!$D$40+DCF!$D$41+DCF!$D$42-DCF!$D$43-DCF!$D$44)/DCF!$C$35</f>
        <v>1.9658968253972748</v>
      </c>
    </row>
    <row r="1864" spans="3:8" x14ac:dyDescent="0.35">
      <c r="C1864" s="8">
        <f t="shared" ca="1" si="141"/>
        <v>0.46724787507821219</v>
      </c>
      <c r="D1864" s="7">
        <f t="shared" ca="1" si="142"/>
        <v>8.5616575888265517E-2</v>
      </c>
      <c r="E1864" s="7">
        <f t="shared" ca="1" si="143"/>
        <v>0.25269951128393653</v>
      </c>
      <c r="F1864" s="7">
        <f t="shared" ca="1" si="144"/>
        <v>1.7109142160400739E-2</v>
      </c>
      <c r="G1864" s="7">
        <f t="shared" ca="1" si="140"/>
        <v>248.54214828484737</v>
      </c>
      <c r="H1864" s="7">
        <f ca="1">(G1864+DCF!$D$40+DCF!$D$41+DCF!$D$42-DCF!$D$43-DCF!$D$44)/DCF!$C$35</f>
        <v>2.0448648170495956</v>
      </c>
    </row>
    <row r="1865" spans="3:8" x14ac:dyDescent="0.35">
      <c r="C1865" s="8">
        <f t="shared" ca="1" si="141"/>
        <v>0.36344600976785335</v>
      </c>
      <c r="D1865" s="7">
        <f t="shared" ca="1" si="142"/>
        <v>8.3346777810195727E-2</v>
      </c>
      <c r="E1865" s="7">
        <f t="shared" ca="1" si="143"/>
        <v>0.49798064247798779</v>
      </c>
      <c r="F1865" s="7">
        <f t="shared" ca="1" si="144"/>
        <v>1.9979785994478916E-2</v>
      </c>
      <c r="G1865" s="7">
        <f t="shared" ca="1" si="140"/>
        <v>266.09560054677036</v>
      </c>
      <c r="H1865" s="7">
        <f ca="1">(G1865+DCF!$D$40+DCF!$D$41+DCF!$D$42-DCF!$D$43-DCF!$D$44)/DCF!$C$35</f>
        <v>2.1439361132564079</v>
      </c>
    </row>
    <row r="1866" spans="3:8" x14ac:dyDescent="0.35">
      <c r="C1866" s="8">
        <f t="shared" ca="1" si="141"/>
        <v>0.87449726461674893</v>
      </c>
      <c r="D1866" s="7">
        <f t="shared" ca="1" si="142"/>
        <v>9.8165260768073165E-2</v>
      </c>
      <c r="E1866" s="7">
        <f t="shared" ca="1" si="143"/>
        <v>0.24557764831908813</v>
      </c>
      <c r="F1866" s="7">
        <f t="shared" ca="1" si="144"/>
        <v>1.7008247260465174E-2</v>
      </c>
      <c r="G1866" s="7">
        <f t="shared" ca="1" si="140"/>
        <v>207.63525287028853</v>
      </c>
      <c r="H1866" s="7">
        <f ca="1">(G1866+DCF!$D$40+DCF!$D$41+DCF!$D$42-DCF!$D$43-DCF!$D$44)/DCF!$C$35</f>
        <v>1.8139872043700671</v>
      </c>
    </row>
    <row r="1867" spans="3:8" x14ac:dyDescent="0.35">
      <c r="C1867" s="8">
        <f t="shared" ca="1" si="141"/>
        <v>0.98829986186930263</v>
      </c>
      <c r="D1867" s="7">
        <f t="shared" ca="1" si="142"/>
        <v>0.10638650388766527</v>
      </c>
      <c r="E1867" s="7">
        <f t="shared" ca="1" si="143"/>
        <v>0.28470171964328705</v>
      </c>
      <c r="F1867" s="7">
        <f t="shared" ca="1" si="144"/>
        <v>1.7545882581160233E-2</v>
      </c>
      <c r="G1867" s="7">
        <f t="shared" ca="1" si="140"/>
        <v>187.99064149790831</v>
      </c>
      <c r="H1867" s="7">
        <f ca="1">(G1867+DCF!$D$40+DCF!$D$41+DCF!$D$42-DCF!$D$43-DCF!$D$44)/DCF!$C$35</f>
        <v>1.7031134524094609</v>
      </c>
    </row>
    <row r="1868" spans="3:8" x14ac:dyDescent="0.35">
      <c r="C1868" s="8">
        <f t="shared" ca="1" si="141"/>
        <v>3.6138467317512468E-3</v>
      </c>
      <c r="D1868" s="7">
        <f t="shared" ca="1" si="142"/>
        <v>7.1322536131138814E-2</v>
      </c>
      <c r="E1868" s="7">
        <f t="shared" ca="1" si="143"/>
        <v>0.72803147816361458</v>
      </c>
      <c r="F1868" s="7">
        <f t="shared" ca="1" si="144"/>
        <v>2.2624791232291989E-2</v>
      </c>
      <c r="G1868" s="7">
        <f t="shared" ca="1" si="140"/>
        <v>345.95157997188534</v>
      </c>
      <c r="H1868" s="7">
        <f ca="1">(G1868+DCF!$D$40+DCF!$D$41+DCF!$D$42-DCF!$D$43-DCF!$D$44)/DCF!$C$35</f>
        <v>2.5946414943666634</v>
      </c>
    </row>
    <row r="1869" spans="3:8" x14ac:dyDescent="0.35">
      <c r="C1869" s="8">
        <f t="shared" ca="1" si="141"/>
        <v>0.122699410820028</v>
      </c>
      <c r="D1869" s="7">
        <f t="shared" ca="1" si="142"/>
        <v>7.7706264648770743E-2</v>
      </c>
      <c r="E1869" s="7">
        <f t="shared" ca="1" si="143"/>
        <v>0.78578335550684986</v>
      </c>
      <c r="F1869" s="7">
        <f t="shared" ca="1" si="144"/>
        <v>2.3454518436460917E-2</v>
      </c>
      <c r="G1869" s="7">
        <f t="shared" ca="1" si="140"/>
        <v>307.7818465368249</v>
      </c>
      <c r="H1869" s="7">
        <f ca="1">(G1869+DCF!$D$40+DCF!$D$41+DCF!$D$42-DCF!$D$43-DCF!$D$44)/DCF!$C$35</f>
        <v>2.3792123633413755</v>
      </c>
    </row>
    <row r="1870" spans="3:8" x14ac:dyDescent="0.35">
      <c r="C1870" s="8">
        <f t="shared" ca="1" si="141"/>
        <v>0.64130520900069876</v>
      </c>
      <c r="D1870" s="7">
        <f t="shared" ca="1" si="142"/>
        <v>8.9992416768754399E-2</v>
      </c>
      <c r="E1870" s="7">
        <f t="shared" ca="1" si="143"/>
        <v>0.11262080644676986</v>
      </c>
      <c r="F1870" s="7">
        <f t="shared" ca="1" si="144"/>
        <v>1.4745962630421144E-2</v>
      </c>
      <c r="G1870" s="7">
        <f t="shared" ca="1" si="140"/>
        <v>227.55594198010931</v>
      </c>
      <c r="H1870" s="7">
        <f ca="1">(G1870+DCF!$D$40+DCF!$D$41+DCF!$D$42-DCF!$D$43-DCF!$D$44)/DCF!$C$35</f>
        <v>1.9264191329727356</v>
      </c>
    </row>
    <row r="1871" spans="3:8" x14ac:dyDescent="0.35">
      <c r="C1871" s="8">
        <f t="shared" ca="1" si="141"/>
        <v>0.46905800104492024</v>
      </c>
      <c r="D1871" s="7">
        <f t="shared" ca="1" si="142"/>
        <v>8.5658034778722802E-2</v>
      </c>
      <c r="E1871" s="7">
        <f t="shared" ca="1" si="143"/>
        <v>0.24197461979273727</v>
      </c>
      <c r="F1871" s="7">
        <f t="shared" ca="1" si="144"/>
        <v>1.695664602797551E-2</v>
      </c>
      <c r="G1871" s="7">
        <f t="shared" ca="1" si="140"/>
        <v>247.98437852155598</v>
      </c>
      <c r="H1871" s="7">
        <f ca="1">(G1871+DCF!$D$40+DCF!$D$41+DCF!$D$42-DCF!$D$43-DCF!$D$44)/DCF!$C$35</f>
        <v>2.0417167768458966</v>
      </c>
    </row>
    <row r="1872" spans="3:8" x14ac:dyDescent="0.35">
      <c r="C1872" s="8">
        <f t="shared" ca="1" si="141"/>
        <v>2.3714516631238136E-2</v>
      </c>
      <c r="D1872" s="7">
        <f t="shared" ca="1" si="142"/>
        <v>7.3387894043431601E-2</v>
      </c>
      <c r="E1872" s="7">
        <f t="shared" ca="1" si="143"/>
        <v>0.21043362974944624</v>
      </c>
      <c r="F1872" s="7">
        <f t="shared" ca="1" si="144"/>
        <v>1.6487428300173284E-2</v>
      </c>
      <c r="G1872" s="7">
        <f t="shared" ref="G1872:G1935" ca="1" si="145">$C$11/(1+D1872)^1
 +$D$11/(1+D1872)^2
 +$E$11/(1+D1872)^3
 +$F$11/(1+D1872)^4
 +$G$11/(1+D1872)^5
 +$H$11/(1+D1872)^6
 +$I$11/(1+D1872)^7
 + ( $I$11*(1+F1872)/(D1872-F1872) )/(1+D1872)^7</f>
        <v>303.30342239091971</v>
      </c>
      <c r="H1872" s="7">
        <f ca="1">(G1872+DCF!$D$40+DCF!$D$41+DCF!$D$42-DCF!$D$43-DCF!$D$44)/DCF!$C$35</f>
        <v>2.3539362365443033</v>
      </c>
    </row>
    <row r="1873" spans="3:8" x14ac:dyDescent="0.35">
      <c r="C1873" s="8">
        <f t="shared" ref="C1873:C1936" ca="1" si="146">RAND()</f>
        <v>0.62635438092159701</v>
      </c>
      <c r="D1873" s="7">
        <f t="shared" ref="D1873:D1936" ca="1" si="147">IF(C1873&lt;($C$6-0.07)/(0.11-0.07),0.07+SQRT(C1873*(0.11-0.07)*($C$6-0.07)),0.11-SQRT((1-C1873)*(0.11-0.07)*(0.11-$C$6)))</f>
        <v>8.9579703457307536E-2</v>
      </c>
      <c r="E1873" s="7">
        <f t="shared" ref="E1873:E1936" ca="1" si="148">RAND()</f>
        <v>0.79142508226024988</v>
      </c>
      <c r="F1873" s="7">
        <f t="shared" ref="F1873:F1936" ca="1" si="149">MIN(
 IF(E1873&lt;(0.02-0.01)/(0.03-0.01),
   0.01+SQRT(E1873*(0.03-0.01)*(0.02-0.01)),
   0.03-SQRT((1-E1873)*(0.03-0.01)*(0.03-0.02))
 ),
 D1873-0.005
)</f>
        <v>2.354128623114865E-2</v>
      </c>
      <c r="G1873" s="7">
        <f t="shared" ca="1" si="145"/>
        <v>250.32524472854888</v>
      </c>
      <c r="H1873" s="7">
        <f ca="1">(G1873+DCF!$D$40+DCF!$D$41+DCF!$D$42-DCF!$D$43-DCF!$D$44)/DCF!$C$35</f>
        <v>2.0549285739279202</v>
      </c>
    </row>
    <row r="1874" spans="3:8" x14ac:dyDescent="0.35">
      <c r="C1874" s="8">
        <f t="shared" ca="1" si="146"/>
        <v>0.70201318833905202</v>
      </c>
      <c r="D1874" s="7">
        <f t="shared" ca="1" si="147"/>
        <v>9.1763956519748641E-2</v>
      </c>
      <c r="E1874" s="7">
        <f t="shared" ca="1" si="148"/>
        <v>5.823307200312533E-2</v>
      </c>
      <c r="F1874" s="7">
        <f t="shared" ca="1" si="149"/>
        <v>1.3412713641755643E-2</v>
      </c>
      <c r="G1874" s="7">
        <f t="shared" ca="1" si="145"/>
        <v>219.34503605119176</v>
      </c>
      <c r="H1874" s="7">
        <f ca="1">(G1874+DCF!$D$40+DCF!$D$41+DCF!$D$42-DCF!$D$43-DCF!$D$44)/DCF!$C$35</f>
        <v>1.8800769615712367</v>
      </c>
    </row>
    <row r="1875" spans="3:8" x14ac:dyDescent="0.35">
      <c r="C1875" s="8">
        <f t="shared" ca="1" si="146"/>
        <v>0.65008165182737632</v>
      </c>
      <c r="D1875" s="7">
        <f t="shared" ca="1" si="147"/>
        <v>9.0238702558772921E-2</v>
      </c>
      <c r="E1875" s="7">
        <f t="shared" ca="1" si="148"/>
        <v>0.43207995570248037</v>
      </c>
      <c r="F1875" s="7">
        <f t="shared" ca="1" si="149"/>
        <v>1.929602017750048E-2</v>
      </c>
      <c r="G1875" s="7">
        <f t="shared" ca="1" si="145"/>
        <v>236.95707777095743</v>
      </c>
      <c r="H1875" s="7">
        <f ca="1">(G1875+DCF!$D$40+DCF!$D$41+DCF!$D$42-DCF!$D$43-DCF!$D$44)/DCF!$C$35</f>
        <v>1.9794789353818569</v>
      </c>
    </row>
    <row r="1876" spans="3:8" x14ac:dyDescent="0.35">
      <c r="C1876" s="8">
        <f t="shared" ca="1" si="146"/>
        <v>0.47444491966012847</v>
      </c>
      <c r="D1876" s="7">
        <f t="shared" ca="1" si="147"/>
        <v>8.5781835956057761E-2</v>
      </c>
      <c r="E1876" s="7">
        <f t="shared" ca="1" si="148"/>
        <v>0.76190980322177204</v>
      </c>
      <c r="F1876" s="7">
        <f t="shared" ca="1" si="149"/>
        <v>2.3099417462587264E-2</v>
      </c>
      <c r="G1876" s="7">
        <f t="shared" ca="1" si="145"/>
        <v>265.01977713758373</v>
      </c>
      <c r="H1876" s="7">
        <f ca="1">(G1876+DCF!$D$40+DCF!$D$41+DCF!$D$42-DCF!$D$43-DCF!$D$44)/DCF!$C$35</f>
        <v>2.1378641897368986</v>
      </c>
    </row>
    <row r="1877" spans="3:8" x14ac:dyDescent="0.35">
      <c r="C1877" s="8">
        <f t="shared" ca="1" si="146"/>
        <v>0.56375542758587005</v>
      </c>
      <c r="D1877" s="7">
        <f t="shared" ca="1" si="147"/>
        <v>8.7935346301965922E-2</v>
      </c>
      <c r="E1877" s="7">
        <f t="shared" ca="1" si="148"/>
        <v>0.43670801458297337</v>
      </c>
      <c r="F1877" s="7">
        <f t="shared" ca="1" si="149"/>
        <v>1.9345672951510483E-2</v>
      </c>
      <c r="G1877" s="7">
        <f t="shared" ca="1" si="145"/>
        <v>245.51369393315588</v>
      </c>
      <c r="H1877" s="7">
        <f ca="1">(G1877+DCF!$D$40+DCF!$D$41+DCF!$D$42-DCF!$D$43-DCF!$D$44)/DCF!$C$35</f>
        <v>2.0277722876913638</v>
      </c>
    </row>
    <row r="1878" spans="3:8" x14ac:dyDescent="0.35">
      <c r="C1878" s="8">
        <f t="shared" ca="1" si="146"/>
        <v>0.34892166506326971</v>
      </c>
      <c r="D1878" s="7">
        <f t="shared" ca="1" si="147"/>
        <v>8.3044417613611268E-2</v>
      </c>
      <c r="E1878" s="7">
        <f t="shared" ca="1" si="148"/>
        <v>0.1576816234198174</v>
      </c>
      <c r="F1878" s="7">
        <f t="shared" ca="1" si="149"/>
        <v>1.5615721207820371E-2</v>
      </c>
      <c r="G1878" s="7">
        <f t="shared" ca="1" si="145"/>
        <v>254.62841815611495</v>
      </c>
      <c r="H1878" s="7">
        <f ca="1">(G1878+DCF!$D$40+DCF!$D$41+DCF!$D$42-DCF!$D$43-DCF!$D$44)/DCF!$C$35</f>
        <v>2.0792155895480016</v>
      </c>
    </row>
    <row r="1879" spans="3:8" x14ac:dyDescent="0.35">
      <c r="C1879" s="8">
        <f t="shared" ca="1" si="146"/>
        <v>0.73322187032382702</v>
      </c>
      <c r="D1879" s="7">
        <f t="shared" ca="1" si="147"/>
        <v>9.2745308095517648E-2</v>
      </c>
      <c r="E1879" s="7">
        <f t="shared" ca="1" si="148"/>
        <v>0.68855151880184673</v>
      </c>
      <c r="F1879" s="7">
        <f t="shared" ca="1" si="149"/>
        <v>2.2107617834922676E-2</v>
      </c>
      <c r="G1879" s="7">
        <f t="shared" ca="1" si="145"/>
        <v>234.80260430922948</v>
      </c>
      <c r="H1879" s="7">
        <f ca="1">(G1879+DCF!$D$40+DCF!$D$41+DCF!$D$42-DCF!$D$43-DCF!$D$44)/DCF!$C$35</f>
        <v>1.9673191348302825</v>
      </c>
    </row>
    <row r="1880" spans="3:8" x14ac:dyDescent="0.35">
      <c r="C1880" s="8">
        <f t="shared" ca="1" si="146"/>
        <v>0.55117278862580377</v>
      </c>
      <c r="D1880" s="7">
        <f t="shared" ca="1" si="147"/>
        <v>8.7619401976408162E-2</v>
      </c>
      <c r="E1880" s="7">
        <f t="shared" ca="1" si="148"/>
        <v>0.21839259026693225</v>
      </c>
      <c r="F1880" s="7">
        <f t="shared" ca="1" si="149"/>
        <v>1.6608972541430813E-2</v>
      </c>
      <c r="G1880" s="7">
        <f t="shared" ca="1" si="145"/>
        <v>239.84488133953113</v>
      </c>
      <c r="H1880" s="7">
        <f ca="1">(G1880+DCF!$D$40+DCF!$D$41+DCF!$D$42-DCF!$D$43-DCF!$D$44)/DCF!$C$35</f>
        <v>1.9957776348319851</v>
      </c>
    </row>
    <row r="1881" spans="3:8" x14ac:dyDescent="0.35">
      <c r="C1881" s="8">
        <f t="shared" ca="1" si="146"/>
        <v>0.32870112462390821</v>
      </c>
      <c r="D1881" s="7">
        <f t="shared" ca="1" si="147"/>
        <v>8.2629038290193052E-2</v>
      </c>
      <c r="E1881" s="7">
        <f t="shared" ca="1" si="148"/>
        <v>0.22194550955517778</v>
      </c>
      <c r="F1881" s="7">
        <f t="shared" ca="1" si="149"/>
        <v>1.6662514683738833E-2</v>
      </c>
      <c r="G1881" s="7">
        <f t="shared" ca="1" si="145"/>
        <v>259.26516991016371</v>
      </c>
      <c r="H1881" s="7">
        <f ca="1">(G1881+DCF!$D$40+DCF!$D$41+DCF!$D$42-DCF!$D$43-DCF!$D$44)/DCF!$C$35</f>
        <v>2.1053853138625334</v>
      </c>
    </row>
    <row r="1882" spans="3:8" x14ac:dyDescent="0.35">
      <c r="C1882" s="8">
        <f t="shared" ca="1" si="146"/>
        <v>0.302663782706592</v>
      </c>
      <c r="D1882" s="7">
        <f t="shared" ca="1" si="147"/>
        <v>8.2103275846446722E-2</v>
      </c>
      <c r="E1882" s="7">
        <f t="shared" ca="1" si="148"/>
        <v>0.327899105571965</v>
      </c>
      <c r="F1882" s="7">
        <f t="shared" ca="1" si="149"/>
        <v>1.8098136891556788E-2</v>
      </c>
      <c r="G1882" s="7">
        <f t="shared" ca="1" si="145"/>
        <v>265.77140179002168</v>
      </c>
      <c r="H1882" s="7">
        <f ca="1">(G1882+DCF!$D$40+DCF!$D$41+DCF!$D$42-DCF!$D$43-DCF!$D$44)/DCF!$C$35</f>
        <v>2.1421063426460192</v>
      </c>
    </row>
    <row r="1883" spans="3:8" x14ac:dyDescent="0.35">
      <c r="C1883" s="8">
        <f t="shared" ca="1" si="146"/>
        <v>0.82814203145639909</v>
      </c>
      <c r="D1883" s="7">
        <f t="shared" ca="1" si="147"/>
        <v>9.615104722751E-2</v>
      </c>
      <c r="E1883" s="7">
        <f t="shared" ca="1" si="148"/>
        <v>0.61830753433947883</v>
      </c>
      <c r="F1883" s="7">
        <f t="shared" ca="1" si="149"/>
        <v>2.1262809769033053E-2</v>
      </c>
      <c r="G1883" s="7">
        <f t="shared" ca="1" si="145"/>
        <v>221.62077325360599</v>
      </c>
      <c r="H1883" s="7">
        <f ca="1">(G1883+DCF!$D$40+DCF!$D$41+DCF!$D$42-DCF!$D$43-DCF!$D$44)/DCF!$C$35</f>
        <v>1.892921171992358</v>
      </c>
    </row>
    <row r="1884" spans="3:8" x14ac:dyDescent="0.35">
      <c r="C1884" s="8">
        <f t="shared" ca="1" si="146"/>
        <v>0.79650640168298525</v>
      </c>
      <c r="D1884" s="7">
        <f t="shared" ca="1" si="147"/>
        <v>9.4930200541420984E-2</v>
      </c>
      <c r="E1884" s="7">
        <f t="shared" ca="1" si="148"/>
        <v>0.94486552743341734</v>
      </c>
      <c r="F1884" s="7">
        <f t="shared" ca="1" si="149"/>
        <v>2.6679323184452222E-2</v>
      </c>
      <c r="G1884" s="7">
        <f t="shared" ca="1" si="145"/>
        <v>238.1127186149044</v>
      </c>
      <c r="H1884" s="7">
        <f ca="1">(G1884+DCF!$D$40+DCF!$D$41+DCF!$D$42-DCF!$D$43-DCF!$D$44)/DCF!$C$35</f>
        <v>1.986001346737241</v>
      </c>
    </row>
    <row r="1885" spans="3:8" x14ac:dyDescent="0.35">
      <c r="C1885" s="8">
        <f t="shared" ca="1" si="146"/>
        <v>0.10748969722251311</v>
      </c>
      <c r="D1885" s="7">
        <f t="shared" ca="1" si="147"/>
        <v>7.7212836713505748E-2</v>
      </c>
      <c r="E1885" s="7">
        <f t="shared" ca="1" si="148"/>
        <v>0.36029067555246397</v>
      </c>
      <c r="F1885" s="7">
        <f t="shared" ca="1" si="149"/>
        <v>1.8488706327261697E-2</v>
      </c>
      <c r="G1885" s="7">
        <f t="shared" ca="1" si="145"/>
        <v>290.45024269946583</v>
      </c>
      <c r="H1885" s="7">
        <f ca="1">(G1885+DCF!$D$40+DCF!$D$41+DCF!$D$42-DCF!$D$43-DCF!$D$44)/DCF!$C$35</f>
        <v>2.2813931747345402</v>
      </c>
    </row>
    <row r="1886" spans="3:8" x14ac:dyDescent="0.35">
      <c r="C1886" s="8">
        <f t="shared" ca="1" si="146"/>
        <v>0.68555971291748941</v>
      </c>
      <c r="D1886" s="7">
        <f t="shared" ca="1" si="147"/>
        <v>9.1267265005235312E-2</v>
      </c>
      <c r="E1886" s="7">
        <f t="shared" ca="1" si="148"/>
        <v>0.71054876258216437</v>
      </c>
      <c r="F1886" s="7">
        <f t="shared" ca="1" si="149"/>
        <v>2.2391435911844657E-2</v>
      </c>
      <c r="G1886" s="7">
        <f t="shared" ca="1" si="145"/>
        <v>240.81848499601824</v>
      </c>
      <c r="H1886" s="7">
        <f ca="1">(G1886+DCF!$D$40+DCF!$D$41+DCF!$D$42-DCF!$D$43-DCF!$D$44)/DCF!$C$35</f>
        <v>2.0012726323288081</v>
      </c>
    </row>
    <row r="1887" spans="3:8" x14ac:dyDescent="0.35">
      <c r="C1887" s="8">
        <f t="shared" ca="1" si="146"/>
        <v>0.13746271325229309</v>
      </c>
      <c r="D1887" s="7">
        <f t="shared" ca="1" si="147"/>
        <v>7.8156712157120042E-2</v>
      </c>
      <c r="E1887" s="7">
        <f t="shared" ca="1" si="148"/>
        <v>2.109386736171559E-3</v>
      </c>
      <c r="F1887" s="7">
        <f t="shared" ca="1" si="149"/>
        <v>1.0649520859737631E-2</v>
      </c>
      <c r="G1887" s="7">
        <f t="shared" ca="1" si="145"/>
        <v>260.65386369248853</v>
      </c>
      <c r="H1887" s="7">
        <f ca="1">(G1887+DCF!$D$40+DCF!$D$41+DCF!$D$42-DCF!$D$43-DCF!$D$44)/DCF!$C$35</f>
        <v>2.1132230708459674</v>
      </c>
    </row>
    <row r="1888" spans="3:8" x14ac:dyDescent="0.35">
      <c r="C1888" s="8">
        <f t="shared" ca="1" si="146"/>
        <v>0.550957760259422</v>
      </c>
      <c r="D1888" s="7">
        <f t="shared" ca="1" si="147"/>
        <v>8.7614041464558978E-2</v>
      </c>
      <c r="E1888" s="7">
        <f t="shared" ca="1" si="148"/>
        <v>0.40937152886266093</v>
      </c>
      <c r="F1888" s="7">
        <f t="shared" ca="1" si="149"/>
        <v>1.9048442173796115E-2</v>
      </c>
      <c r="G1888" s="7">
        <f t="shared" ca="1" si="145"/>
        <v>245.96340748812574</v>
      </c>
      <c r="H1888" s="7">
        <f ca="1">(G1888+DCF!$D$40+DCF!$D$41+DCF!$D$42-DCF!$D$43-DCF!$D$44)/DCF!$C$35</f>
        <v>2.0303104610459743</v>
      </c>
    </row>
    <row r="1889" spans="3:8" x14ac:dyDescent="0.35">
      <c r="C1889" s="8">
        <f t="shared" ca="1" si="146"/>
        <v>0.82164071282666173</v>
      </c>
      <c r="D1889" s="7">
        <f t="shared" ca="1" si="147"/>
        <v>9.5891528626904851E-2</v>
      </c>
      <c r="E1889" s="7">
        <f t="shared" ca="1" si="148"/>
        <v>0.49445892859322282</v>
      </c>
      <c r="F1889" s="7">
        <f t="shared" ca="1" si="149"/>
        <v>1.9944434911981904E-2</v>
      </c>
      <c r="G1889" s="7">
        <f t="shared" ca="1" si="145"/>
        <v>219.73262720630785</v>
      </c>
      <c r="H1889" s="7">
        <f ca="1">(G1889+DCF!$D$40+DCF!$D$41+DCF!$D$42-DCF!$D$43-DCF!$D$44)/DCF!$C$35</f>
        <v>1.8822645174754928</v>
      </c>
    </row>
    <row r="1890" spans="3:8" x14ac:dyDescent="0.35">
      <c r="C1890" s="8">
        <f t="shared" ca="1" si="146"/>
        <v>0.69997746845698516</v>
      </c>
      <c r="D1890" s="7">
        <f t="shared" ca="1" si="147"/>
        <v>9.1701772074815432E-2</v>
      </c>
      <c r="E1890" s="7">
        <f t="shared" ca="1" si="148"/>
        <v>0.85665326942109743</v>
      </c>
      <c r="F1890" s="7">
        <f t="shared" ca="1" si="149"/>
        <v>2.464562364828727E-2</v>
      </c>
      <c r="G1890" s="7">
        <f t="shared" ca="1" si="145"/>
        <v>244.99726887961526</v>
      </c>
      <c r="H1890" s="7">
        <f ca="1">(G1890+DCF!$D$40+DCF!$D$41+DCF!$D$42-DCF!$D$43-DCF!$D$44)/DCF!$C$35</f>
        <v>2.0248575961147717</v>
      </c>
    </row>
    <row r="1891" spans="3:8" x14ac:dyDescent="0.35">
      <c r="C1891" s="8">
        <f t="shared" ca="1" si="146"/>
        <v>0.57844863282367409</v>
      </c>
      <c r="D1891" s="7">
        <f t="shared" ca="1" si="147"/>
        <v>8.8310110056323943E-2</v>
      </c>
      <c r="E1891" s="7">
        <f t="shared" ca="1" si="148"/>
        <v>0.35114243071099482</v>
      </c>
      <c r="F1891" s="7">
        <f t="shared" ca="1" si="149"/>
        <v>1.838024379968739E-2</v>
      </c>
      <c r="G1891" s="7">
        <f t="shared" ca="1" si="145"/>
        <v>241.67468326887501</v>
      </c>
      <c r="H1891" s="7">
        <f ca="1">(G1891+DCF!$D$40+DCF!$D$41+DCF!$D$42-DCF!$D$43-DCF!$D$44)/DCF!$C$35</f>
        <v>2.0061049964379443</v>
      </c>
    </row>
    <row r="1892" spans="3:8" x14ac:dyDescent="0.35">
      <c r="C1892" s="8">
        <f t="shared" ca="1" si="146"/>
        <v>3.1718099403220124E-2</v>
      </c>
      <c r="D1892" s="7">
        <f t="shared" ca="1" si="147"/>
        <v>7.3918106699817993E-2</v>
      </c>
      <c r="E1892" s="7">
        <f t="shared" ca="1" si="148"/>
        <v>0.52694627779327929</v>
      </c>
      <c r="F1892" s="7">
        <f t="shared" ca="1" si="149"/>
        <v>2.027319454078863E-2</v>
      </c>
      <c r="G1892" s="7">
        <f t="shared" ca="1" si="145"/>
        <v>316.49712083592806</v>
      </c>
      <c r="H1892" s="7">
        <f ca="1">(G1892+DCF!$D$40+DCF!$D$41+DCF!$D$42-DCF!$D$43-DCF!$D$44)/DCF!$C$35</f>
        <v>2.4284011786653577</v>
      </c>
    </row>
    <row r="1893" spans="3:8" x14ac:dyDescent="0.35">
      <c r="C1893" s="8">
        <f t="shared" ca="1" si="146"/>
        <v>0.3316215815118907</v>
      </c>
      <c r="D1893" s="7">
        <f t="shared" ca="1" si="147"/>
        <v>8.2688641281826902E-2</v>
      </c>
      <c r="E1893" s="7">
        <f t="shared" ca="1" si="148"/>
        <v>0.39353040478551182</v>
      </c>
      <c r="F1893" s="7">
        <f t="shared" ca="1" si="149"/>
        <v>1.8871644771805418E-2</v>
      </c>
      <c r="G1893" s="7">
        <f t="shared" ca="1" si="145"/>
        <v>265.57550563826879</v>
      </c>
      <c r="H1893" s="7">
        <f ca="1">(G1893+DCF!$D$40+DCF!$D$41+DCF!$D$42-DCF!$D$43-DCF!$D$44)/DCF!$C$35</f>
        <v>2.1410007090996093</v>
      </c>
    </row>
    <row r="1894" spans="3:8" x14ac:dyDescent="0.35">
      <c r="C1894" s="8">
        <f t="shared" ca="1" si="146"/>
        <v>0.3009780022176054</v>
      </c>
      <c r="D1894" s="7">
        <f t="shared" ca="1" si="147"/>
        <v>8.2069521658844694E-2</v>
      </c>
      <c r="E1894" s="7">
        <f t="shared" ca="1" si="148"/>
        <v>0.4728767168797865</v>
      </c>
      <c r="F1894" s="7">
        <f t="shared" ca="1" si="149"/>
        <v>1.9724985520603991E-2</v>
      </c>
      <c r="G1894" s="7">
        <f t="shared" ca="1" si="145"/>
        <v>271.03936936607397</v>
      </c>
      <c r="H1894" s="7">
        <f ca="1">(G1894+DCF!$D$40+DCF!$D$41+DCF!$D$42-DCF!$D$43-DCF!$D$44)/DCF!$C$35</f>
        <v>2.1718386350946717</v>
      </c>
    </row>
    <row r="1895" spans="3:8" x14ac:dyDescent="0.35">
      <c r="C1895" s="8">
        <f t="shared" ca="1" si="146"/>
        <v>0.59967387131263217</v>
      </c>
      <c r="D1895" s="7">
        <f t="shared" ca="1" si="147"/>
        <v>8.8863208388804543E-2</v>
      </c>
      <c r="E1895" s="7">
        <f t="shared" ca="1" si="148"/>
        <v>0.75093453205111649</v>
      </c>
      <c r="F1895" s="7">
        <f t="shared" ca="1" si="149"/>
        <v>2.2942160841321425E-2</v>
      </c>
      <c r="G1895" s="7">
        <f t="shared" ca="1" si="145"/>
        <v>251.5342360214521</v>
      </c>
      <c r="H1895" s="7">
        <f ca="1">(G1895+DCF!$D$40+DCF!$D$41+DCF!$D$42-DCF!$D$43-DCF!$D$44)/DCF!$C$35</f>
        <v>2.061752094036867</v>
      </c>
    </row>
    <row r="1896" spans="3:8" x14ac:dyDescent="0.35">
      <c r="C1896" s="8">
        <f t="shared" ca="1" si="146"/>
        <v>0.90853259147706311</v>
      </c>
      <c r="D1896" s="7">
        <f t="shared" ca="1" si="147"/>
        <v>9.9896652638278863E-2</v>
      </c>
      <c r="E1896" s="7">
        <f t="shared" ca="1" si="148"/>
        <v>0.93698556480511164</v>
      </c>
      <c r="F1896" s="7">
        <f t="shared" ca="1" si="149"/>
        <v>2.6449945487886463E-2</v>
      </c>
      <c r="G1896" s="7">
        <f t="shared" ca="1" si="145"/>
        <v>220.64999080102683</v>
      </c>
      <c r="H1896" s="7">
        <f ca="1">(G1896+DCF!$D$40+DCF!$D$41+DCF!$D$42-DCF!$D$43-DCF!$D$44)/DCF!$C$35</f>
        <v>1.887442097307974</v>
      </c>
    </row>
    <row r="1897" spans="3:8" x14ac:dyDescent="0.35">
      <c r="C1897" s="8">
        <f t="shared" ca="1" si="146"/>
        <v>0.40782358142540598</v>
      </c>
      <c r="D1897" s="7">
        <f t="shared" ca="1" si="147"/>
        <v>8.4292629789703366E-2</v>
      </c>
      <c r="E1897" s="7">
        <f t="shared" ca="1" si="148"/>
        <v>0.92687215861589045</v>
      </c>
      <c r="F1897" s="7">
        <f t="shared" ca="1" si="149"/>
        <v>2.6175661066691145E-2</v>
      </c>
      <c r="G1897" s="7">
        <f t="shared" ca="1" si="145"/>
        <v>282.5232100567423</v>
      </c>
      <c r="H1897" s="7">
        <f ca="1">(G1897+DCF!$D$40+DCF!$D$41+DCF!$D$42-DCF!$D$43-DCF!$D$44)/DCF!$C$35</f>
        <v>2.2366531778797962</v>
      </c>
    </row>
    <row r="1898" spans="3:8" x14ac:dyDescent="0.35">
      <c r="C1898" s="8">
        <f t="shared" ca="1" si="146"/>
        <v>0.45201917683366533</v>
      </c>
      <c r="D1898" s="7">
        <f t="shared" ca="1" si="147"/>
        <v>8.5270531775761355E-2</v>
      </c>
      <c r="E1898" s="7">
        <f t="shared" ca="1" si="148"/>
        <v>0.67649325666995308</v>
      </c>
      <c r="F1898" s="7">
        <f t="shared" ca="1" si="149"/>
        <v>2.1956285145157781E-2</v>
      </c>
      <c r="G1898" s="7">
        <f t="shared" ca="1" si="145"/>
        <v>263.72953320800423</v>
      </c>
      <c r="H1898" s="7">
        <f ca="1">(G1898+DCF!$D$40+DCF!$D$41+DCF!$D$42-DCF!$D$43-DCF!$D$44)/DCF!$C$35</f>
        <v>2.1305820815442162</v>
      </c>
    </row>
    <row r="1899" spans="3:8" x14ac:dyDescent="0.35">
      <c r="C1899" s="8">
        <f t="shared" ca="1" si="146"/>
        <v>0.57855961184669713</v>
      </c>
      <c r="D1899" s="7">
        <f t="shared" ca="1" si="147"/>
        <v>8.8312965320747838E-2</v>
      </c>
      <c r="E1899" s="7">
        <f t="shared" ca="1" si="148"/>
        <v>0.61377461586622006</v>
      </c>
      <c r="F1899" s="7">
        <f t="shared" ca="1" si="149"/>
        <v>2.1211082158379455E-2</v>
      </c>
      <c r="G1899" s="7">
        <f t="shared" ca="1" si="145"/>
        <v>248.97908124688786</v>
      </c>
      <c r="H1899" s="7">
        <f ca="1">(G1899+DCF!$D$40+DCF!$D$41+DCF!$D$42-DCF!$D$43-DCF!$D$44)/DCF!$C$35</f>
        <v>2.0473308570204756</v>
      </c>
    </row>
    <row r="1900" spans="3:8" x14ac:dyDescent="0.35">
      <c r="C1900" s="8">
        <f t="shared" ca="1" si="146"/>
        <v>0.69732406746346598</v>
      </c>
      <c r="D1900" s="7">
        <f t="shared" ca="1" si="147"/>
        <v>9.162103537435333E-2</v>
      </c>
      <c r="E1900" s="7">
        <f t="shared" ca="1" si="148"/>
        <v>0.74079957874449331</v>
      </c>
      <c r="F1900" s="7">
        <f t="shared" ca="1" si="149"/>
        <v>2.2799994149231451E-2</v>
      </c>
      <c r="G1900" s="7">
        <f t="shared" ca="1" si="145"/>
        <v>240.54047077097371</v>
      </c>
      <c r="H1900" s="7">
        <f ca="1">(G1900+DCF!$D$40+DCF!$D$41+DCF!$D$42-DCF!$D$43-DCF!$D$44)/DCF!$C$35</f>
        <v>1.9997035261935527</v>
      </c>
    </row>
    <row r="1901" spans="3:8" x14ac:dyDescent="0.35">
      <c r="C1901" s="8">
        <f t="shared" ca="1" si="146"/>
        <v>0.93540434281198903</v>
      </c>
      <c r="D1901" s="7">
        <f t="shared" ca="1" si="147"/>
        <v>0.10150949039092351</v>
      </c>
      <c r="E1901" s="7">
        <f t="shared" ca="1" si="148"/>
        <v>0.80540180851073928</v>
      </c>
      <c r="F1901" s="7">
        <f t="shared" ca="1" si="149"/>
        <v>2.3761439404970715E-2</v>
      </c>
      <c r="G1901" s="7">
        <f t="shared" ca="1" si="145"/>
        <v>210.452615115919</v>
      </c>
      <c r="H1901" s="7">
        <f ca="1">(G1901+DCF!$D$40+DCF!$D$41+DCF!$D$42-DCF!$D$43-DCF!$D$44)/DCF!$C$35</f>
        <v>1.8298883345519754</v>
      </c>
    </row>
    <row r="1902" spans="3:8" x14ac:dyDescent="0.35">
      <c r="C1902" s="8">
        <f t="shared" ca="1" si="146"/>
        <v>0.35791497655235527</v>
      </c>
      <c r="D1902" s="7">
        <f t="shared" ca="1" si="147"/>
        <v>8.3231233009950362E-2</v>
      </c>
      <c r="E1902" s="7">
        <f t="shared" ca="1" si="148"/>
        <v>4.6277360233533571E-2</v>
      </c>
      <c r="F1902" s="7">
        <f t="shared" ca="1" si="149"/>
        <v>1.3042280731080994E-2</v>
      </c>
      <c r="G1902" s="7">
        <f t="shared" ca="1" si="145"/>
        <v>247.11999660812268</v>
      </c>
      <c r="H1902" s="7">
        <f ca="1">(G1902+DCF!$D$40+DCF!$D$41+DCF!$D$42-DCF!$D$43-DCF!$D$44)/DCF!$C$35</f>
        <v>2.0368382244504044</v>
      </c>
    </row>
    <row r="1903" spans="3:8" x14ac:dyDescent="0.35">
      <c r="C1903" s="8">
        <f t="shared" ca="1" si="146"/>
        <v>0.62660941079107713</v>
      </c>
      <c r="D1903" s="7">
        <f t="shared" ca="1" si="147"/>
        <v>8.9586673530334213E-2</v>
      </c>
      <c r="E1903" s="7">
        <f t="shared" ca="1" si="148"/>
        <v>0.31006249900052263</v>
      </c>
      <c r="F1903" s="7">
        <f t="shared" ca="1" si="149"/>
        <v>1.7874801572109897E-2</v>
      </c>
      <c r="G1903" s="7">
        <f t="shared" ca="1" si="145"/>
        <v>235.89160702227448</v>
      </c>
      <c r="H1903" s="7">
        <f ca="1">(G1903+DCF!$D$40+DCF!$D$41+DCF!$D$42-DCF!$D$43-DCF!$D$44)/DCF!$C$35</f>
        <v>1.9734654420491842</v>
      </c>
    </row>
    <row r="1904" spans="3:8" x14ac:dyDescent="0.35">
      <c r="C1904" s="8">
        <f t="shared" ca="1" si="146"/>
        <v>0.23807398785484768</v>
      </c>
      <c r="D1904" s="7">
        <f t="shared" ca="1" si="147"/>
        <v>8.073442174137696E-2</v>
      </c>
      <c r="E1904" s="7">
        <f t="shared" ca="1" si="148"/>
        <v>0.37647322517619541</v>
      </c>
      <c r="F1904" s="7">
        <f t="shared" ca="1" si="149"/>
        <v>1.8677248701935371E-2</v>
      </c>
      <c r="G1904" s="7">
        <f t="shared" ca="1" si="145"/>
        <v>273.78920245196753</v>
      </c>
      <c r="H1904" s="7">
        <f ca="1">(G1904+DCF!$D$40+DCF!$D$41+DCF!$D$42-DCF!$D$43-DCF!$D$44)/DCF!$C$35</f>
        <v>2.1873586321930665</v>
      </c>
    </row>
    <row r="1905" spans="3:8" x14ac:dyDescent="0.35">
      <c r="C1905" s="8">
        <f t="shared" ca="1" si="146"/>
        <v>0.44940101481333627</v>
      </c>
      <c r="D1905" s="7">
        <f t="shared" ca="1" si="147"/>
        <v>8.5211525511473762E-2</v>
      </c>
      <c r="E1905" s="7">
        <f t="shared" ca="1" si="148"/>
        <v>0.97403328555002788</v>
      </c>
      <c r="F1905" s="7">
        <f t="shared" ca="1" si="149"/>
        <v>2.7721109285201585E-2</v>
      </c>
      <c r="G1905" s="7">
        <f t="shared" ca="1" si="145"/>
        <v>283.54245489768778</v>
      </c>
      <c r="H1905" s="7">
        <f ca="1">(G1905+DCF!$D$40+DCF!$D$41+DCF!$D$42-DCF!$D$43-DCF!$D$44)/DCF!$C$35</f>
        <v>2.2424057732119187</v>
      </c>
    </row>
    <row r="1906" spans="3:8" x14ac:dyDescent="0.35">
      <c r="C1906" s="8">
        <f t="shared" ca="1" si="146"/>
        <v>0.38506254740946499</v>
      </c>
      <c r="D1906" s="7">
        <f t="shared" ca="1" si="147"/>
        <v>8.3803240713954008E-2</v>
      </c>
      <c r="E1906" s="7">
        <f t="shared" ca="1" si="148"/>
        <v>0.12447435429378262</v>
      </c>
      <c r="F1906" s="7">
        <f t="shared" ca="1" si="149"/>
        <v>1.4989476010440025E-2</v>
      </c>
      <c r="G1906" s="7">
        <f t="shared" ca="1" si="145"/>
        <v>249.96458820744479</v>
      </c>
      <c r="H1906" s="7">
        <f ca="1">(G1906+DCF!$D$40+DCF!$D$41+DCF!$D$42-DCF!$D$43-DCF!$D$44)/DCF!$C$35</f>
        <v>2.0528930365021152</v>
      </c>
    </row>
    <row r="1907" spans="3:8" x14ac:dyDescent="0.35">
      <c r="C1907" s="8">
        <f t="shared" ca="1" si="146"/>
        <v>0.87396854143276625</v>
      </c>
      <c r="D1907" s="7">
        <f t="shared" ca="1" si="147"/>
        <v>9.8140358025596522E-2</v>
      </c>
      <c r="E1907" s="7">
        <f t="shared" ca="1" si="148"/>
        <v>0.70015246361733763</v>
      </c>
      <c r="F1907" s="7">
        <f t="shared" ca="1" si="149"/>
        <v>2.2256001854562949E-2</v>
      </c>
      <c r="G1907" s="7">
        <f t="shared" ca="1" si="145"/>
        <v>217.49622424355093</v>
      </c>
      <c r="H1907" s="7">
        <f ca="1">(G1907+DCF!$D$40+DCF!$D$41+DCF!$D$42-DCF!$D$43-DCF!$D$44)/DCF!$C$35</f>
        <v>1.8696423086327516</v>
      </c>
    </row>
    <row r="1908" spans="3:8" x14ac:dyDescent="0.35">
      <c r="C1908" s="8">
        <f t="shared" ca="1" si="146"/>
        <v>0.28621827477765516</v>
      </c>
      <c r="D1908" s="7">
        <f t="shared" ca="1" si="147"/>
        <v>8.1769861723588147E-2</v>
      </c>
      <c r="E1908" s="7">
        <f t="shared" ca="1" si="148"/>
        <v>0.2909902669921921</v>
      </c>
      <c r="F1908" s="7">
        <f t="shared" ca="1" si="149"/>
        <v>1.7628764867161553E-2</v>
      </c>
      <c r="G1908" s="7">
        <f t="shared" ca="1" si="145"/>
        <v>265.79604292063254</v>
      </c>
      <c r="H1908" s="7">
        <f ca="1">(G1908+DCF!$D$40+DCF!$D$41+DCF!$D$42-DCF!$D$43-DCF!$D$44)/DCF!$C$35</f>
        <v>2.1422454166420168</v>
      </c>
    </row>
    <row r="1909" spans="3:8" x14ac:dyDescent="0.35">
      <c r="C1909" s="8">
        <f t="shared" ca="1" si="146"/>
        <v>0.4393060919640559</v>
      </c>
      <c r="D1909" s="7">
        <f t="shared" ca="1" si="147"/>
        <v>8.4985316284867538E-2</v>
      </c>
      <c r="E1909" s="7">
        <f t="shared" ca="1" si="148"/>
        <v>8.2289551887772205E-2</v>
      </c>
      <c r="F1909" s="7">
        <f t="shared" ca="1" si="149"/>
        <v>1.4056835019760409E-2</v>
      </c>
      <c r="G1909" s="7">
        <f t="shared" ca="1" si="145"/>
        <v>243.16209392614772</v>
      </c>
      <c r="H1909" s="7">
        <f ca="1">(G1909+DCF!$D$40+DCF!$D$41+DCF!$D$42-DCF!$D$43-DCF!$D$44)/DCF!$C$35</f>
        <v>2.0144999092795333</v>
      </c>
    </row>
    <row r="1910" spans="3:8" x14ac:dyDescent="0.35">
      <c r="C1910" s="8">
        <f t="shared" ca="1" si="146"/>
        <v>0.82759559390484283</v>
      </c>
      <c r="D1910" s="7">
        <f t="shared" ca="1" si="147"/>
        <v>9.6129047718264068E-2</v>
      </c>
      <c r="E1910" s="7">
        <f t="shared" ca="1" si="148"/>
        <v>0.44448954970386789</v>
      </c>
      <c r="F1910" s="7">
        <f t="shared" ca="1" si="149"/>
        <v>1.9428568817205165E-2</v>
      </c>
      <c r="G1910" s="7">
        <f t="shared" ca="1" si="145"/>
        <v>217.97935167699427</v>
      </c>
      <c r="H1910" s="7">
        <f ca="1">(G1910+DCF!$D$40+DCF!$D$41+DCF!$D$42-DCF!$D$43-DCF!$D$44)/DCF!$C$35</f>
        <v>1.8723690691782044</v>
      </c>
    </row>
    <row r="1911" spans="3:8" x14ac:dyDescent="0.35">
      <c r="C1911" s="8">
        <f t="shared" ca="1" si="146"/>
        <v>0.77875432688869406</v>
      </c>
      <c r="D1911" s="7">
        <f t="shared" ca="1" si="147"/>
        <v>9.4286624449462897E-2</v>
      </c>
      <c r="E1911" s="7">
        <f t="shared" ca="1" si="148"/>
        <v>0.95357504765222278</v>
      </c>
      <c r="F1911" s="7">
        <f t="shared" ca="1" si="149"/>
        <v>2.6952871766801494E-2</v>
      </c>
      <c r="G1911" s="7">
        <f t="shared" ca="1" si="145"/>
        <v>241.20152869896867</v>
      </c>
      <c r="H1911" s="7">
        <f ca="1">(G1911+DCF!$D$40+DCF!$D$41+DCF!$D$42-DCF!$D$43-DCF!$D$44)/DCF!$C$35</f>
        <v>2.003434522513651</v>
      </c>
    </row>
    <row r="1912" spans="3:8" x14ac:dyDescent="0.35">
      <c r="C1912" s="8">
        <f t="shared" ca="1" si="146"/>
        <v>0.6947464442514858</v>
      </c>
      <c r="D1912" s="7">
        <f t="shared" ca="1" si="147"/>
        <v>9.1542942590560603E-2</v>
      </c>
      <c r="E1912" s="7">
        <f t="shared" ca="1" si="148"/>
        <v>0.84599912783417697</v>
      </c>
      <c r="F1912" s="7">
        <f t="shared" ca="1" si="149"/>
        <v>2.4450209514480334E-2</v>
      </c>
      <c r="G1912" s="7">
        <f t="shared" ca="1" si="145"/>
        <v>245.09090090559931</v>
      </c>
      <c r="H1912" s="7">
        <f ca="1">(G1912+DCF!$D$40+DCF!$D$41+DCF!$D$42-DCF!$D$43-DCF!$D$44)/DCF!$C$35</f>
        <v>2.0253860531978738</v>
      </c>
    </row>
    <row r="1913" spans="3:8" x14ac:dyDescent="0.35">
      <c r="C1913" s="8">
        <f t="shared" ca="1" si="146"/>
        <v>0.82110164449729595</v>
      </c>
      <c r="D1913" s="7">
        <f t="shared" ca="1" si="147"/>
        <v>9.5870224179378585E-2</v>
      </c>
      <c r="E1913" s="7">
        <f t="shared" ca="1" si="148"/>
        <v>0.68135914182012225</v>
      </c>
      <c r="F1913" s="7">
        <f t="shared" ca="1" si="149"/>
        <v>2.2017007350875514E-2</v>
      </c>
      <c r="G1913" s="7">
        <f t="shared" ca="1" si="145"/>
        <v>224.09769950232271</v>
      </c>
      <c r="H1913" s="7">
        <f ca="1">(G1913+DCF!$D$40+DCF!$D$41+DCF!$D$42-DCF!$D$43-DCF!$D$44)/DCF!$C$35</f>
        <v>1.9069008889396246</v>
      </c>
    </row>
    <row r="1914" spans="3:8" x14ac:dyDescent="0.35">
      <c r="C1914" s="8">
        <f t="shared" ca="1" si="146"/>
        <v>0.59804127215262137</v>
      </c>
      <c r="D1914" s="7">
        <f t="shared" ca="1" si="147"/>
        <v>8.8820152496354596E-2</v>
      </c>
      <c r="E1914" s="7">
        <f t="shared" ca="1" si="148"/>
        <v>0.66544046883915853</v>
      </c>
      <c r="F1914" s="7">
        <f t="shared" ca="1" si="149"/>
        <v>2.1820030181463487E-2</v>
      </c>
      <c r="G1914" s="7">
        <f t="shared" ca="1" si="145"/>
        <v>248.63327768368381</v>
      </c>
      <c r="H1914" s="7">
        <f ca="1">(G1914+DCF!$D$40+DCF!$D$41+DCF!$D$42-DCF!$D$43-DCF!$D$44)/DCF!$C$35</f>
        <v>2.0453791493604458</v>
      </c>
    </row>
    <row r="1915" spans="3:8" x14ac:dyDescent="0.35">
      <c r="C1915" s="8">
        <f t="shared" ca="1" si="146"/>
        <v>0.9180456819365661</v>
      </c>
      <c r="D1915" s="7">
        <f t="shared" ca="1" si="147"/>
        <v>0.10043647455386916</v>
      </c>
      <c r="E1915" s="7">
        <f t="shared" ca="1" si="148"/>
        <v>0.57343731984865776</v>
      </c>
      <c r="F1915" s="7">
        <f t="shared" ca="1" si="149"/>
        <v>2.076352144861103E-2</v>
      </c>
      <c r="G1915" s="7">
        <f t="shared" ca="1" si="145"/>
        <v>208.00678934345973</v>
      </c>
      <c r="H1915" s="7">
        <f ca="1">(G1915+DCF!$D$40+DCF!$D$41+DCF!$D$42-DCF!$D$43-DCF!$D$44)/DCF!$C$35</f>
        <v>1.8160841480046264</v>
      </c>
    </row>
    <row r="1916" spans="3:8" x14ac:dyDescent="0.35">
      <c r="C1916" s="8">
        <f t="shared" ca="1" si="146"/>
        <v>0.57125345056613519</v>
      </c>
      <c r="D1916" s="7">
        <f t="shared" ca="1" si="147"/>
        <v>8.8125788033206934E-2</v>
      </c>
      <c r="E1916" s="7">
        <f t="shared" ca="1" si="148"/>
        <v>0.57341685735649617</v>
      </c>
      <c r="F1916" s="7">
        <f t="shared" ca="1" si="149"/>
        <v>2.0763299911294036E-2</v>
      </c>
      <c r="G1916" s="7">
        <f t="shared" ca="1" si="145"/>
        <v>248.50837882021983</v>
      </c>
      <c r="H1916" s="7">
        <f ca="1">(G1916+DCF!$D$40+DCF!$D$41+DCF!$D$42-DCF!$D$43-DCF!$D$44)/DCF!$C$35</f>
        <v>2.0446742229383665</v>
      </c>
    </row>
    <row r="1917" spans="3:8" x14ac:dyDescent="0.35">
      <c r="C1917" s="8">
        <f t="shared" ca="1" si="146"/>
        <v>0.47977954614398977</v>
      </c>
      <c r="D1917" s="7">
        <f t="shared" ca="1" si="147"/>
        <v>8.5905062222464509E-2</v>
      </c>
      <c r="E1917" s="7">
        <f t="shared" ca="1" si="148"/>
        <v>0.85670061255747743</v>
      </c>
      <c r="F1917" s="7">
        <f t="shared" ca="1" si="149"/>
        <v>2.4646507916461953E-2</v>
      </c>
      <c r="G1917" s="7">
        <f t="shared" ca="1" si="145"/>
        <v>269.4144465293337</v>
      </c>
      <c r="H1917" s="7">
        <f ca="1">(G1917+DCF!$D$40+DCF!$D$41+DCF!$D$42-DCF!$D$43-DCF!$D$44)/DCF!$C$35</f>
        <v>2.1626676065545416</v>
      </c>
    </row>
    <row r="1918" spans="3:8" x14ac:dyDescent="0.35">
      <c r="C1918" s="8">
        <f t="shared" ca="1" si="146"/>
        <v>0.8894864067475915</v>
      </c>
      <c r="D1918" s="7">
        <f t="shared" ca="1" si="147"/>
        <v>9.889445318457088E-2</v>
      </c>
      <c r="E1918" s="7">
        <f t="shared" ca="1" si="148"/>
        <v>0.71923561141166414</v>
      </c>
      <c r="F1918" s="7">
        <f t="shared" ca="1" si="149"/>
        <v>2.25064776161229E-2</v>
      </c>
      <c r="G1918" s="7">
        <f t="shared" ca="1" si="145"/>
        <v>215.71695654977759</v>
      </c>
      <c r="H1918" s="7">
        <f ca="1">(G1918+DCF!$D$40+DCF!$D$41+DCF!$D$42-DCF!$D$43-DCF!$D$44)/DCF!$C$35</f>
        <v>1.8596001611343129</v>
      </c>
    </row>
    <row r="1919" spans="3:8" x14ac:dyDescent="0.35">
      <c r="C1919" s="8">
        <f t="shared" ca="1" si="146"/>
        <v>0.25441634137587921</v>
      </c>
      <c r="D1919" s="7">
        <f t="shared" ca="1" si="147"/>
        <v>8.1096734169381804E-2</v>
      </c>
      <c r="E1919" s="7">
        <f t="shared" ca="1" si="148"/>
        <v>0.41978557500245262</v>
      </c>
      <c r="F1919" s="7">
        <f t="shared" ca="1" si="149"/>
        <v>1.9162811522698178E-2</v>
      </c>
      <c r="G1919" s="7">
        <f t="shared" ca="1" si="145"/>
        <v>273.69914491126303</v>
      </c>
      <c r="H1919" s="7">
        <f ca="1">(G1919+DCF!$D$40+DCF!$D$41+DCF!$D$42-DCF!$D$43-DCF!$D$44)/DCF!$C$35</f>
        <v>2.1868503494257987</v>
      </c>
    </row>
    <row r="1920" spans="3:8" x14ac:dyDescent="0.35">
      <c r="C1920" s="8">
        <f t="shared" ca="1" si="146"/>
        <v>3.564162862961906E-2</v>
      </c>
      <c r="D1920" s="7">
        <f t="shared" ca="1" si="147"/>
        <v>7.4153377933289438E-2</v>
      </c>
      <c r="E1920" s="7">
        <f t="shared" ca="1" si="148"/>
        <v>0.4304374847919622</v>
      </c>
      <c r="F1920" s="7">
        <f t="shared" ca="1" si="149"/>
        <v>1.9278334816032049E-2</v>
      </c>
      <c r="G1920" s="7">
        <f t="shared" ca="1" si="145"/>
        <v>310.6369342601547</v>
      </c>
      <c r="H1920" s="7">
        <f ca="1">(G1920+DCF!$D$40+DCF!$D$41+DCF!$D$42-DCF!$D$43-DCF!$D$44)/DCF!$C$35</f>
        <v>2.3953264152847651</v>
      </c>
    </row>
    <row r="1921" spans="3:8" x14ac:dyDescent="0.35">
      <c r="C1921" s="8">
        <f t="shared" ca="1" si="146"/>
        <v>0.25637872155880603</v>
      </c>
      <c r="D1921" s="7">
        <f t="shared" ca="1" si="147"/>
        <v>8.1139447977097531E-2</v>
      </c>
      <c r="E1921" s="7">
        <f t="shared" ca="1" si="148"/>
        <v>0.45276187654021183</v>
      </c>
      <c r="F1921" s="7">
        <f t="shared" ca="1" si="149"/>
        <v>1.9515901182128908E-2</v>
      </c>
      <c r="G1921" s="7">
        <f t="shared" ca="1" si="145"/>
        <v>274.66680560607108</v>
      </c>
      <c r="H1921" s="7">
        <f ca="1">(G1921+DCF!$D$40+DCF!$D$41+DCF!$D$42-DCF!$D$43-DCF!$D$44)/DCF!$C$35</f>
        <v>2.1923118049783894</v>
      </c>
    </row>
    <row r="1922" spans="3:8" x14ac:dyDescent="0.35">
      <c r="C1922" s="8">
        <f t="shared" ca="1" si="146"/>
        <v>0.5656131809391457</v>
      </c>
      <c r="D1922" s="7">
        <f t="shared" ca="1" si="147"/>
        <v>8.7982377738004658E-2</v>
      </c>
      <c r="E1922" s="7">
        <f t="shared" ca="1" si="148"/>
        <v>0.42667646023404571</v>
      </c>
      <c r="F1922" s="7">
        <f t="shared" ca="1" si="149"/>
        <v>1.9237710324902436E-2</v>
      </c>
      <c r="G1922" s="7">
        <f t="shared" ca="1" si="145"/>
        <v>245.05773733943553</v>
      </c>
      <c r="H1922" s="7">
        <f ca="1">(G1922+DCF!$D$40+DCF!$D$41+DCF!$D$42-DCF!$D$43-DCF!$D$44)/DCF!$C$35</f>
        <v>2.0251988787641695</v>
      </c>
    </row>
    <row r="1923" spans="3:8" x14ac:dyDescent="0.35">
      <c r="C1923" s="8">
        <f t="shared" ca="1" si="146"/>
        <v>0.32088954716396223</v>
      </c>
      <c r="D1923" s="7">
        <f t="shared" ca="1" si="147"/>
        <v>8.2470247633423616E-2</v>
      </c>
      <c r="E1923" s="7">
        <f t="shared" ca="1" si="148"/>
        <v>0.19041938240806677</v>
      </c>
      <c r="F1923" s="7">
        <f t="shared" ca="1" si="149"/>
        <v>1.6171213533950464E-2</v>
      </c>
      <c r="G1923" s="7">
        <f t="shared" ca="1" si="145"/>
        <v>258.51713157438286</v>
      </c>
      <c r="H1923" s="7">
        <f ca="1">(G1923+DCF!$D$40+DCF!$D$41+DCF!$D$42-DCF!$D$43-DCF!$D$44)/DCF!$C$35</f>
        <v>2.1011634020452807</v>
      </c>
    </row>
    <row r="1924" spans="3:8" x14ac:dyDescent="0.35">
      <c r="C1924" s="8">
        <f t="shared" ca="1" si="146"/>
        <v>0.33625750233179486</v>
      </c>
      <c r="D1924" s="7">
        <f t="shared" ca="1" si="147"/>
        <v>8.2783522869450635E-2</v>
      </c>
      <c r="E1924" s="7">
        <f t="shared" ca="1" si="148"/>
        <v>0.49689842133537288</v>
      </c>
      <c r="F1924" s="7">
        <f t="shared" ca="1" si="149"/>
        <v>1.9968935964639084E-2</v>
      </c>
      <c r="G1924" s="7">
        <f t="shared" ca="1" si="145"/>
        <v>268.57659929183376</v>
      </c>
      <c r="H1924" s="7">
        <f ca="1">(G1924+DCF!$D$40+DCF!$D$41+DCF!$D$42-DCF!$D$43-DCF!$D$44)/DCF!$C$35</f>
        <v>2.1579388152829537</v>
      </c>
    </row>
    <row r="1925" spans="3:8" x14ac:dyDescent="0.35">
      <c r="C1925" s="8">
        <f t="shared" ca="1" si="146"/>
        <v>0.92618670547459725</v>
      </c>
      <c r="D1925" s="7">
        <f t="shared" ca="1" si="147"/>
        <v>0.10092389749449966</v>
      </c>
      <c r="E1925" s="7">
        <f t="shared" ca="1" si="148"/>
        <v>0.7882214342460393</v>
      </c>
      <c r="F1925" s="7">
        <f t="shared" ca="1" si="149"/>
        <v>2.3491873299420783E-2</v>
      </c>
      <c r="G1925" s="7">
        <f t="shared" ca="1" si="145"/>
        <v>211.63510727806275</v>
      </c>
      <c r="H1925" s="7">
        <f ca="1">(G1925+DCF!$D$40+DCF!$D$41+DCF!$D$42-DCF!$D$43-DCF!$D$44)/DCF!$C$35</f>
        <v>1.8365622941531927</v>
      </c>
    </row>
    <row r="1926" spans="3:8" x14ac:dyDescent="0.35">
      <c r="C1926" s="8">
        <f t="shared" ca="1" si="146"/>
        <v>0.58549413821045615</v>
      </c>
      <c r="D1926" s="7">
        <f t="shared" ca="1" si="147"/>
        <v>8.8492128376867901E-2</v>
      </c>
      <c r="E1926" s="7">
        <f t="shared" ca="1" si="148"/>
        <v>0.29274818985728768</v>
      </c>
      <c r="F1926" s="7">
        <f t="shared" ca="1" si="149"/>
        <v>1.7651773518045182E-2</v>
      </c>
      <c r="G1926" s="7">
        <f t="shared" ca="1" si="145"/>
        <v>239.2330382038881</v>
      </c>
      <c r="H1926" s="7">
        <f ca="1">(G1926+DCF!$D$40+DCF!$D$41+DCF!$D$42-DCF!$D$43-DCF!$D$44)/DCF!$C$35</f>
        <v>1.9923244057110741</v>
      </c>
    </row>
    <row r="1927" spans="3:8" x14ac:dyDescent="0.35">
      <c r="C1927" s="8">
        <f t="shared" ca="1" si="146"/>
        <v>0.2239515299456819</v>
      </c>
      <c r="D1927" s="7">
        <f t="shared" ca="1" si="147"/>
        <v>8.0411173828810578E-2</v>
      </c>
      <c r="E1927" s="7">
        <f t="shared" ca="1" si="148"/>
        <v>0.78797269727588393</v>
      </c>
      <c r="F1927" s="7">
        <f t="shared" ca="1" si="149"/>
        <v>2.3488052476806711E-2</v>
      </c>
      <c r="G1927" s="7">
        <f t="shared" ca="1" si="145"/>
        <v>292.64238458600641</v>
      </c>
      <c r="H1927" s="7">
        <f ca="1">(G1927+DCF!$D$40+DCF!$D$41+DCF!$D$42-DCF!$D$43-DCF!$D$44)/DCF!$C$35</f>
        <v>2.2937655750423658</v>
      </c>
    </row>
    <row r="1928" spans="3:8" x14ac:dyDescent="0.35">
      <c r="C1928" s="8">
        <f t="shared" ca="1" si="146"/>
        <v>0.14023048537022043</v>
      </c>
      <c r="D1928" s="7">
        <f t="shared" ca="1" si="147"/>
        <v>7.8238419443023455E-2</v>
      </c>
      <c r="E1928" s="7">
        <f t="shared" ca="1" si="148"/>
        <v>0.40666161674107182</v>
      </c>
      <c r="F1928" s="7">
        <f t="shared" ca="1" si="149"/>
        <v>1.9018443510285706E-2</v>
      </c>
      <c r="G1928" s="7">
        <f t="shared" ca="1" si="145"/>
        <v>287.1264570616537</v>
      </c>
      <c r="H1928" s="7">
        <f ca="1">(G1928+DCF!$D$40+DCF!$D$41+DCF!$D$42-DCF!$D$43-DCF!$D$44)/DCF!$C$35</f>
        <v>2.2626338021314689</v>
      </c>
    </row>
    <row r="1929" spans="3:8" x14ac:dyDescent="0.35">
      <c r="C1929" s="8">
        <f t="shared" ca="1" si="146"/>
        <v>0.5578215042911866</v>
      </c>
      <c r="D1929" s="7">
        <f t="shared" ca="1" si="147"/>
        <v>8.7785788305433043E-2</v>
      </c>
      <c r="E1929" s="7">
        <f t="shared" ca="1" si="148"/>
        <v>0.4234581961208842</v>
      </c>
      <c r="F1929" s="7">
        <f t="shared" ca="1" si="149"/>
        <v>1.9202806051644074E-2</v>
      </c>
      <c r="G1929" s="7">
        <f t="shared" ca="1" si="145"/>
        <v>245.71122103392867</v>
      </c>
      <c r="H1929" s="7">
        <f ca="1">(G1929+DCF!$D$40+DCF!$D$41+DCF!$D$42-DCF!$D$43-DCF!$D$44)/DCF!$C$35</f>
        <v>2.0288871262779584</v>
      </c>
    </row>
    <row r="1930" spans="3:8" x14ac:dyDescent="0.35">
      <c r="C1930" s="8">
        <f t="shared" ca="1" si="146"/>
        <v>0.36605507573541451</v>
      </c>
      <c r="D1930" s="7">
        <f t="shared" ca="1" si="147"/>
        <v>8.340145613986967E-2</v>
      </c>
      <c r="E1930" s="7">
        <f t="shared" ca="1" si="148"/>
        <v>0.70667853553714977</v>
      </c>
      <c r="F1930" s="7">
        <f t="shared" ca="1" si="149"/>
        <v>2.2340738097403244E-2</v>
      </c>
      <c r="G1930" s="7">
        <f t="shared" ca="1" si="145"/>
        <v>273.44972042271081</v>
      </c>
      <c r="H1930" s="7">
        <f ca="1">(G1930+DCF!$D$40+DCF!$D$41+DCF!$D$42-DCF!$D$43-DCF!$D$44)/DCF!$C$35</f>
        <v>2.1854426031307757</v>
      </c>
    </row>
    <row r="1931" spans="3:8" x14ac:dyDescent="0.35">
      <c r="C1931" s="8">
        <f t="shared" ca="1" si="146"/>
        <v>0.16894737494682399</v>
      </c>
      <c r="D1931" s="7">
        <f t="shared" ca="1" si="147"/>
        <v>7.9042705871267896E-2</v>
      </c>
      <c r="E1931" s="7">
        <f t="shared" ca="1" si="148"/>
        <v>0.4912234152902939</v>
      </c>
      <c r="F1931" s="7">
        <f t="shared" ca="1" si="149"/>
        <v>1.9911845592928634E-2</v>
      </c>
      <c r="G1931" s="7">
        <f t="shared" ca="1" si="145"/>
        <v>286.29319573765463</v>
      </c>
      <c r="H1931" s="7">
        <f ca="1">(G1931+DCF!$D$40+DCF!$D$41+DCF!$D$42-DCF!$D$43-DCF!$D$44)/DCF!$C$35</f>
        <v>2.2579308936542195</v>
      </c>
    </row>
    <row r="1932" spans="3:8" x14ac:dyDescent="0.35">
      <c r="C1932" s="8">
        <f t="shared" ca="1" si="146"/>
        <v>0.76622975075629363</v>
      </c>
      <c r="D1932" s="7">
        <f t="shared" ca="1" si="147"/>
        <v>9.3847984702954981E-2</v>
      </c>
      <c r="E1932" s="7">
        <f t="shared" ca="1" si="148"/>
        <v>0.65254091352613475</v>
      </c>
      <c r="F1932" s="7">
        <f t="shared" ca="1" si="149"/>
        <v>2.1663824780226063E-2</v>
      </c>
      <c r="G1932" s="7">
        <f t="shared" ca="1" si="145"/>
        <v>229.98017032611372</v>
      </c>
      <c r="H1932" s="7">
        <f ca="1">(G1932+DCF!$D$40+DCF!$D$41+DCF!$D$42-DCF!$D$43-DCF!$D$44)/DCF!$C$35</f>
        <v>1.940101424123003</v>
      </c>
    </row>
    <row r="1933" spans="3:8" x14ac:dyDescent="0.35">
      <c r="C1933" s="8">
        <f t="shared" ca="1" si="146"/>
        <v>0.12221305735985588</v>
      </c>
      <c r="D1933" s="7">
        <f t="shared" ca="1" si="147"/>
        <v>7.7690976515512863E-2</v>
      </c>
      <c r="E1933" s="7">
        <f t="shared" ca="1" si="148"/>
        <v>0.17872308663087555</v>
      </c>
      <c r="F1933" s="7">
        <f t="shared" ca="1" si="149"/>
        <v>1.59786802328085E-2</v>
      </c>
      <c r="G1933" s="7">
        <f t="shared" ca="1" si="145"/>
        <v>279.14750430762928</v>
      </c>
      <c r="H1933" s="7">
        <f ca="1">(G1933+DCF!$D$40+DCF!$D$41+DCF!$D$42-DCF!$D$43-DCF!$D$44)/DCF!$C$35</f>
        <v>2.2176007693172437</v>
      </c>
    </row>
    <row r="1934" spans="3:8" x14ac:dyDescent="0.35">
      <c r="C1934" s="8">
        <f t="shared" ca="1" si="146"/>
        <v>0.35810348694561789</v>
      </c>
      <c r="D1934" s="7">
        <f t="shared" ca="1" si="147"/>
        <v>8.3235162833137019E-2</v>
      </c>
      <c r="E1934" s="7">
        <f t="shared" ca="1" si="148"/>
        <v>0.36640620945791214</v>
      </c>
      <c r="F1934" s="7">
        <f t="shared" ca="1" si="149"/>
        <v>1.8560446360534152E-2</v>
      </c>
      <c r="G1934" s="7">
        <f t="shared" ca="1" si="145"/>
        <v>262.26387275169861</v>
      </c>
      <c r="H1934" s="7">
        <f ca="1">(G1934+DCF!$D$40+DCF!$D$41+DCF!$D$42-DCF!$D$43-DCF!$D$44)/DCF!$C$35</f>
        <v>2.1223099263556757</v>
      </c>
    </row>
    <row r="1935" spans="3:8" x14ac:dyDescent="0.35">
      <c r="C1935" s="8">
        <f t="shared" ca="1" si="146"/>
        <v>4.7387352748936573E-3</v>
      </c>
      <c r="D1935" s="7">
        <f t="shared" ca="1" si="147"/>
        <v>7.1514446391606035E-2</v>
      </c>
      <c r="E1935" s="7">
        <f t="shared" ca="1" si="148"/>
        <v>0.17555335330504918</v>
      </c>
      <c r="F1935" s="7">
        <f t="shared" ca="1" si="149"/>
        <v>1.5925425778879509E-2</v>
      </c>
      <c r="G1935" s="7">
        <f t="shared" ca="1" si="145"/>
        <v>311.7225182973657</v>
      </c>
      <c r="H1935" s="7">
        <f ca="1">(G1935+DCF!$D$40+DCF!$D$41+DCF!$D$42-DCF!$D$43-DCF!$D$44)/DCF!$C$35</f>
        <v>2.4014534275728958</v>
      </c>
    </row>
    <row r="1936" spans="3:8" x14ac:dyDescent="0.35">
      <c r="C1936" s="8">
        <f t="shared" ca="1" si="146"/>
        <v>0.24417562514011848</v>
      </c>
      <c r="D1936" s="7">
        <f t="shared" ca="1" si="147"/>
        <v>8.0871108617239437E-2</v>
      </c>
      <c r="E1936" s="7">
        <f t="shared" ca="1" si="148"/>
        <v>0.81875470269728157</v>
      </c>
      <c r="F1936" s="7">
        <f t="shared" ca="1" si="149"/>
        <v>2.3979280818660971E-2</v>
      </c>
      <c r="G1936" s="7">
        <f t="shared" ref="G1936:G1999" ca="1" si="150">$C$11/(1+D1936)^1
 +$D$11/(1+D1936)^2
 +$E$11/(1+D1936)^3
 +$F$11/(1+D1936)^4
 +$G$11/(1+D1936)^5
 +$H$11/(1+D1936)^6
 +$I$11/(1+D1936)^7
 + ( $I$11*(1+F1936)/(D1936-F1936) )/(1+D1936)^7</f>
        <v>292.08841457380146</v>
      </c>
      <c r="H1936" s="7">
        <f ca="1">(G1936+DCF!$D$40+DCF!$D$41+DCF!$D$42-DCF!$D$43-DCF!$D$44)/DCF!$C$35</f>
        <v>2.2906389805497316</v>
      </c>
    </row>
    <row r="1937" spans="3:8" x14ac:dyDescent="0.35">
      <c r="C1937" s="8">
        <f t="shared" ref="C1937:C2000" ca="1" si="151">RAND()</f>
        <v>0.9689455914669548</v>
      </c>
      <c r="D1937" s="7">
        <f t="shared" ref="D1937:D2000" ca="1" si="152">IF(C1937&lt;($C$6-0.07)/(0.11-0.07),0.07+SQRT(C1937*(0.11-0.07)*($C$6-0.07)),0.11-SQRT((1-C1937)*(0.11-0.07)*(0.11-$C$6)))</f>
        <v>0.10411300416826388</v>
      </c>
      <c r="E1937" s="7">
        <f t="shared" ref="E1937:E2000" ca="1" si="153">RAND()</f>
        <v>0.80387903367237823</v>
      </c>
      <c r="F1937" s="7">
        <f t="shared" ref="F1937:F2000" ca="1" si="154">MIN(
 IF(E1937&lt;(0.02-0.01)/(0.03-0.01),
   0.01+SQRT(E1937*(0.03-0.01)*(0.02-0.01)),
   0.03-SQRT((1-E1937)*(0.03-0.01)*(0.03-0.02))
 ),
 D1937-0.005
)</f>
        <v>2.3737077897217278E-2</v>
      </c>
      <c r="G1937" s="7">
        <f t="shared" ca="1" si="150"/>
        <v>203.18463595602591</v>
      </c>
      <c r="H1937" s="7">
        <f ca="1">(G1937+DCF!$D$40+DCF!$D$41+DCF!$D$42-DCF!$D$43-DCF!$D$44)/DCF!$C$35</f>
        <v>1.7888680209731678</v>
      </c>
    </row>
    <row r="1938" spans="3:8" x14ac:dyDescent="0.35">
      <c r="C1938" s="8">
        <f t="shared" ca="1" si="151"/>
        <v>0.17691525888990067</v>
      </c>
      <c r="D1938" s="7">
        <f t="shared" ca="1" si="152"/>
        <v>7.9253485035526455E-2</v>
      </c>
      <c r="E1938" s="7">
        <f t="shared" ca="1" si="153"/>
        <v>0.84463459880791292</v>
      </c>
      <c r="F1938" s="7">
        <f t="shared" ca="1" si="154"/>
        <v>2.4425676701301097E-2</v>
      </c>
      <c r="G1938" s="7">
        <f t="shared" ca="1" si="150"/>
        <v>302.91218252946885</v>
      </c>
      <c r="H1938" s="7">
        <f ca="1">(G1938+DCF!$D$40+DCF!$D$41+DCF!$D$42-DCF!$D$43-DCF!$D$44)/DCF!$C$35</f>
        <v>2.3517280874222193</v>
      </c>
    </row>
    <row r="1939" spans="3:8" x14ac:dyDescent="0.35">
      <c r="C1939" s="8">
        <f t="shared" ca="1" si="151"/>
        <v>8.3213580023810407E-2</v>
      </c>
      <c r="D1939" s="7">
        <f t="shared" ca="1" si="152"/>
        <v>7.6346288106564686E-2</v>
      </c>
      <c r="E1939" s="7">
        <f t="shared" ca="1" si="153"/>
        <v>0.45178328746922458</v>
      </c>
      <c r="F1939" s="7">
        <f t="shared" ca="1" si="154"/>
        <v>1.9505611894762215E-2</v>
      </c>
      <c r="G1939" s="7">
        <f t="shared" ca="1" si="150"/>
        <v>299.03280907664009</v>
      </c>
      <c r="H1939" s="7">
        <f ca="1">(G1939+DCF!$D$40+DCF!$D$41+DCF!$D$42-DCF!$D$43-DCF!$D$44)/DCF!$C$35</f>
        <v>2.3298329894832377</v>
      </c>
    </row>
    <row r="1940" spans="3:8" x14ac:dyDescent="0.35">
      <c r="C1940" s="8">
        <f t="shared" ca="1" si="151"/>
        <v>0.53856882717527399</v>
      </c>
      <c r="D1940" s="7">
        <f t="shared" ca="1" si="152"/>
        <v>8.7307331825622753E-2</v>
      </c>
      <c r="E1940" s="7">
        <f t="shared" ca="1" si="153"/>
        <v>3.7755699925810293E-2</v>
      </c>
      <c r="F1940" s="7">
        <f t="shared" ca="1" si="154"/>
        <v>1.2747933766516591E-2</v>
      </c>
      <c r="G1940" s="7">
        <f t="shared" ca="1" si="150"/>
        <v>232.03824103413177</v>
      </c>
      <c r="H1940" s="7">
        <f ca="1">(G1940+DCF!$D$40+DCF!$D$41+DCF!$D$42-DCF!$D$43-DCF!$D$44)/DCF!$C$35</f>
        <v>1.9517171296654914</v>
      </c>
    </row>
    <row r="1941" spans="3:8" x14ac:dyDescent="0.35">
      <c r="C1941" s="8">
        <f t="shared" ca="1" si="151"/>
        <v>0.46254139186121768</v>
      </c>
      <c r="D1941" s="7">
        <f t="shared" ca="1" si="152"/>
        <v>8.5509107678917035E-2</v>
      </c>
      <c r="E1941" s="7">
        <f t="shared" ca="1" si="153"/>
        <v>0.29708082822465809</v>
      </c>
      <c r="F1941" s="7">
        <f t="shared" ca="1" si="154"/>
        <v>1.7708188220647677E-2</v>
      </c>
      <c r="G1941" s="7">
        <f t="shared" ca="1" si="150"/>
        <v>250.54679254749041</v>
      </c>
      <c r="H1941" s="7">
        <f ca="1">(G1941+DCF!$D$40+DCF!$D$41+DCF!$D$42-DCF!$D$43-DCF!$D$44)/DCF!$C$35</f>
        <v>2.0561789849164152</v>
      </c>
    </row>
    <row r="1942" spans="3:8" x14ac:dyDescent="0.35">
      <c r="C1942" s="8">
        <f t="shared" ca="1" si="151"/>
        <v>0.55857628619159072</v>
      </c>
      <c r="D1942" s="7">
        <f t="shared" ca="1" si="152"/>
        <v>8.7804755810980933E-2</v>
      </c>
      <c r="E1942" s="7">
        <f t="shared" ca="1" si="153"/>
        <v>0.59760519952120994</v>
      </c>
      <c r="F1942" s="7">
        <f t="shared" ca="1" si="154"/>
        <v>2.1028993362182925E-2</v>
      </c>
      <c r="G1942" s="7">
        <f t="shared" ca="1" si="150"/>
        <v>250.48677728532923</v>
      </c>
      <c r="H1942" s="7">
        <f ca="1">(G1942+DCF!$D$40+DCF!$D$41+DCF!$D$42-DCF!$D$43-DCF!$D$44)/DCF!$C$35</f>
        <v>2.0558402601045787</v>
      </c>
    </row>
    <row r="1943" spans="3:8" x14ac:dyDescent="0.35">
      <c r="C1943" s="8">
        <f t="shared" ca="1" si="151"/>
        <v>0.22000864839066836</v>
      </c>
      <c r="D1943" s="7">
        <f t="shared" ca="1" si="152"/>
        <v>8.0319117492357747E-2</v>
      </c>
      <c r="E1943" s="7">
        <f t="shared" ca="1" si="153"/>
        <v>0.80646066029732411</v>
      </c>
      <c r="F1943" s="7">
        <f t="shared" ca="1" si="154"/>
        <v>2.3778435249831826E-2</v>
      </c>
      <c r="G1943" s="7">
        <f t="shared" ca="1" si="150"/>
        <v>294.2839462613432</v>
      </c>
      <c r="H1943" s="7">
        <f ca="1">(G1943+DCF!$D$40+DCF!$D$41+DCF!$D$42-DCF!$D$43-DCF!$D$44)/DCF!$C$35</f>
        <v>2.3030305128194106</v>
      </c>
    </row>
    <row r="1944" spans="3:8" x14ac:dyDescent="0.35">
      <c r="C1944" s="8">
        <f t="shared" ca="1" si="151"/>
        <v>5.7754003754112881E-2</v>
      </c>
      <c r="D1944" s="7">
        <f t="shared" ca="1" si="152"/>
        <v>7.5287053793653955E-2</v>
      </c>
      <c r="E1944" s="7">
        <f t="shared" ca="1" si="153"/>
        <v>0.9509387826318183</v>
      </c>
      <c r="F1944" s="7">
        <f t="shared" ca="1" si="154"/>
        <v>2.6867549924797469E-2</v>
      </c>
      <c r="G1944" s="7">
        <f t="shared" ca="1" si="150"/>
        <v>340.52127931699886</v>
      </c>
      <c r="H1944" s="7">
        <f ca="1">(G1944+DCF!$D$40+DCF!$D$41+DCF!$D$42-DCF!$D$43-DCF!$D$44)/DCF!$C$35</f>
        <v>2.563992997612591</v>
      </c>
    </row>
    <row r="1945" spans="3:8" x14ac:dyDescent="0.35">
      <c r="C1945" s="8">
        <f t="shared" ca="1" si="151"/>
        <v>8.9506119830849884E-2</v>
      </c>
      <c r="D1945" s="7">
        <f t="shared" ca="1" si="152"/>
        <v>7.6581866148603406E-2</v>
      </c>
      <c r="E1945" s="7">
        <f t="shared" ca="1" si="153"/>
        <v>0.6581555593227667</v>
      </c>
      <c r="F1945" s="7">
        <f t="shared" ca="1" si="154"/>
        <v>2.1731451872580854E-2</v>
      </c>
      <c r="G1945" s="7">
        <f t="shared" ca="1" si="150"/>
        <v>306.93764399437271</v>
      </c>
      <c r="H1945" s="7">
        <f ca="1">(G1945+DCF!$D$40+DCF!$D$41+DCF!$D$42-DCF!$D$43-DCF!$D$44)/DCF!$C$35</f>
        <v>2.3744477028692441</v>
      </c>
    </row>
    <row r="1946" spans="3:8" x14ac:dyDescent="0.35">
      <c r="C1946" s="8">
        <f t="shared" ca="1" si="151"/>
        <v>0.2316233188514697</v>
      </c>
      <c r="D1946" s="7">
        <f t="shared" ca="1" si="152"/>
        <v>8.0587997276355502E-2</v>
      </c>
      <c r="E1946" s="7">
        <f t="shared" ca="1" si="153"/>
        <v>0.8753150782748228</v>
      </c>
      <c r="F1946" s="7">
        <f t="shared" ca="1" si="154"/>
        <v>2.5006305541481793E-2</v>
      </c>
      <c r="G1946" s="7">
        <f t="shared" ca="1" si="150"/>
        <v>297.74780132574017</v>
      </c>
      <c r="H1946" s="7">
        <f ca="1">(G1946+DCF!$D$40+DCF!$D$41+DCF!$D$42-DCF!$D$43-DCF!$D$44)/DCF!$C$35</f>
        <v>2.3225804341671754</v>
      </c>
    </row>
    <row r="1947" spans="3:8" x14ac:dyDescent="0.35">
      <c r="C1947" s="8">
        <f t="shared" ca="1" si="151"/>
        <v>0.37884492133653813</v>
      </c>
      <c r="D1947" s="7">
        <f t="shared" ca="1" si="152"/>
        <v>8.3671136222988593E-2</v>
      </c>
      <c r="E1947" s="7">
        <f t="shared" ca="1" si="153"/>
        <v>0.64603340779314644</v>
      </c>
      <c r="F1947" s="7">
        <f t="shared" ca="1" si="154"/>
        <v>2.1586123459345824E-2</v>
      </c>
      <c r="G1947" s="7">
        <f t="shared" ca="1" si="150"/>
        <v>269.72113261179152</v>
      </c>
      <c r="H1947" s="7">
        <f ca="1">(G1947+DCF!$D$40+DCF!$D$41+DCF!$D$42-DCF!$D$43-DCF!$D$44)/DCF!$C$35</f>
        <v>2.1643985360186901</v>
      </c>
    </row>
    <row r="1948" spans="3:8" x14ac:dyDescent="0.35">
      <c r="C1948" s="8">
        <f t="shared" ca="1" si="151"/>
        <v>8.2214354145222268E-2</v>
      </c>
      <c r="D1948" s="7">
        <f t="shared" ca="1" si="152"/>
        <v>7.6308070022303789E-2</v>
      </c>
      <c r="E1948" s="7">
        <f t="shared" ca="1" si="153"/>
        <v>0.28401260102450299</v>
      </c>
      <c r="F1948" s="7">
        <f t="shared" ca="1" si="154"/>
        <v>1.7536744668946971E-2</v>
      </c>
      <c r="G1948" s="7">
        <f t="shared" ca="1" si="150"/>
        <v>291.60049122847249</v>
      </c>
      <c r="H1948" s="7">
        <f ca="1">(G1948+DCF!$D$40+DCF!$D$41+DCF!$D$42-DCF!$D$43-DCF!$D$44)/DCF!$C$35</f>
        <v>2.2878851519837027</v>
      </c>
    </row>
    <row r="1949" spans="3:8" x14ac:dyDescent="0.35">
      <c r="C1949" s="8">
        <f t="shared" ca="1" si="151"/>
        <v>1.171993370383162E-2</v>
      </c>
      <c r="D1949" s="7">
        <f t="shared" ca="1" si="152"/>
        <v>7.2381690137833743E-2</v>
      </c>
      <c r="E1949" s="7">
        <f t="shared" ca="1" si="153"/>
        <v>0.83451042309346268</v>
      </c>
      <c r="F1949" s="7">
        <f t="shared" ca="1" si="154"/>
        <v>2.4246921225873276E-2</v>
      </c>
      <c r="G1949" s="7">
        <f t="shared" ca="1" si="150"/>
        <v>347.25447263860781</v>
      </c>
      <c r="H1949" s="7">
        <f ca="1">(G1949+DCF!$D$40+DCF!$D$41+DCF!$D$42-DCF!$D$43-DCF!$D$44)/DCF!$C$35</f>
        <v>2.6019949917519352</v>
      </c>
    </row>
    <row r="1950" spans="3:8" x14ac:dyDescent="0.35">
      <c r="C1950" s="8">
        <f t="shared" ca="1" si="151"/>
        <v>0.40277867270291601</v>
      </c>
      <c r="D1950" s="7">
        <f t="shared" ca="1" si="152"/>
        <v>8.4183358056022367E-2</v>
      </c>
      <c r="E1950" s="7">
        <f t="shared" ca="1" si="153"/>
        <v>0.10555002732208041</v>
      </c>
      <c r="F1950" s="7">
        <f t="shared" ca="1" si="154"/>
        <v>1.4594562597725281E-2</v>
      </c>
      <c r="G1950" s="7">
        <f t="shared" ca="1" si="150"/>
        <v>247.48892330977955</v>
      </c>
      <c r="H1950" s="7">
        <f ca="1">(G1950+DCF!$D$40+DCF!$D$41+DCF!$D$42-DCF!$D$43-DCF!$D$44)/DCF!$C$35</f>
        <v>2.0389204385922768</v>
      </c>
    </row>
    <row r="1951" spans="3:8" x14ac:dyDescent="0.35">
      <c r="C1951" s="8">
        <f t="shared" ca="1" si="151"/>
        <v>3.0461559951060702E-2</v>
      </c>
      <c r="D1951" s="7">
        <f t="shared" ca="1" si="152"/>
        <v>7.3839712882015199E-2</v>
      </c>
      <c r="E1951" s="7">
        <f t="shared" ca="1" si="153"/>
        <v>0.80422339190952008</v>
      </c>
      <c r="F1951" s="7">
        <f t="shared" ca="1" si="154"/>
        <v>2.374257867663556E-2</v>
      </c>
      <c r="G1951" s="7">
        <f t="shared" ca="1" si="150"/>
        <v>333.96981409452917</v>
      </c>
      <c r="H1951" s="7">
        <f ca="1">(G1951+DCF!$D$40+DCF!$D$41+DCF!$D$42-DCF!$D$43-DCF!$D$44)/DCF!$C$35</f>
        <v>2.5270166728441654</v>
      </c>
    </row>
    <row r="1952" spans="3:8" x14ac:dyDescent="0.35">
      <c r="C1952" s="8">
        <f t="shared" ca="1" si="151"/>
        <v>0.61834526175065596</v>
      </c>
      <c r="D1952" s="7">
        <f t="shared" ca="1" si="152"/>
        <v>8.9362008627623959E-2</v>
      </c>
      <c r="E1952" s="7">
        <f t="shared" ca="1" si="153"/>
        <v>0.46768646235935563</v>
      </c>
      <c r="F1952" s="7">
        <f t="shared" ca="1" si="154"/>
        <v>1.9671467958478232E-2</v>
      </c>
      <c r="G1952" s="7">
        <f t="shared" ca="1" si="150"/>
        <v>241.02625821316914</v>
      </c>
      <c r="H1952" s="7">
        <f ca="1">(G1952+DCF!$D$40+DCF!$D$41+DCF!$D$42-DCF!$D$43-DCF!$D$44)/DCF!$C$35</f>
        <v>2.0024452997695517</v>
      </c>
    </row>
    <row r="1953" spans="3:8" x14ac:dyDescent="0.35">
      <c r="C1953" s="8">
        <f t="shared" ca="1" si="151"/>
        <v>0.60977352127656759</v>
      </c>
      <c r="D1953" s="7">
        <f t="shared" ca="1" si="152"/>
        <v>8.9131536945540282E-2</v>
      </c>
      <c r="E1953" s="7">
        <f t="shared" ca="1" si="153"/>
        <v>0.25538077892280309</v>
      </c>
      <c r="F1953" s="7">
        <f t="shared" ca="1" si="154"/>
        <v>1.714675841095532E-2</v>
      </c>
      <c r="G1953" s="7">
        <f t="shared" ca="1" si="150"/>
        <v>235.77771065781761</v>
      </c>
      <c r="H1953" s="7">
        <f ca="1">(G1953+DCF!$D$40+DCF!$D$41+DCF!$D$42-DCF!$D$43-DCF!$D$44)/DCF!$C$35</f>
        <v>1.9728226134880775</v>
      </c>
    </row>
    <row r="1954" spans="3:8" x14ac:dyDescent="0.35">
      <c r="C1954" s="8">
        <f t="shared" ca="1" si="151"/>
        <v>0.87781080993883309</v>
      </c>
      <c r="D1954" s="7">
        <f t="shared" ca="1" si="152"/>
        <v>9.8322537257252235E-2</v>
      </c>
      <c r="E1954" s="7">
        <f t="shared" ca="1" si="153"/>
        <v>0.91610267360917907</v>
      </c>
      <c r="F1954" s="7">
        <f t="shared" ca="1" si="154"/>
        <v>2.5903725439113706E-2</v>
      </c>
      <c r="G1954" s="7">
        <f t="shared" ca="1" si="150"/>
        <v>224.54417766705467</v>
      </c>
      <c r="H1954" s="7">
        <f ca="1">(G1954+DCF!$D$40+DCF!$D$41+DCF!$D$42-DCF!$D$43-DCF!$D$44)/DCF!$C$35</f>
        <v>1.9094208018233132</v>
      </c>
    </row>
    <row r="1955" spans="3:8" x14ac:dyDescent="0.35">
      <c r="C1955" s="8">
        <f t="shared" ca="1" si="151"/>
        <v>0.1609811201413337</v>
      </c>
      <c r="D1955" s="7">
        <f t="shared" ca="1" si="152"/>
        <v>7.8826939568639037E-2</v>
      </c>
      <c r="E1955" s="7">
        <f t="shared" ca="1" si="153"/>
        <v>0.61449099925096939</v>
      </c>
      <c r="F1955" s="7">
        <f t="shared" ca="1" si="154"/>
        <v>2.1219236926678518E-2</v>
      </c>
      <c r="G1955" s="7">
        <f t="shared" ca="1" si="150"/>
        <v>292.31806526510104</v>
      </c>
      <c r="H1955" s="7">
        <f ca="1">(G1955+DCF!$D$40+DCF!$D$41+DCF!$D$42-DCF!$D$43-DCF!$D$44)/DCF!$C$35</f>
        <v>2.2919351239705441</v>
      </c>
    </row>
    <row r="1956" spans="3:8" x14ac:dyDescent="0.35">
      <c r="C1956" s="8">
        <f t="shared" ca="1" si="151"/>
        <v>0.83468990154618306</v>
      </c>
      <c r="D1956" s="7">
        <f t="shared" ca="1" si="152"/>
        <v>9.6417435077480407E-2</v>
      </c>
      <c r="E1956" s="7">
        <f t="shared" ca="1" si="153"/>
        <v>0.20489399277427423</v>
      </c>
      <c r="F1956" s="7">
        <f t="shared" ca="1" si="154"/>
        <v>1.6401468468629277E-2</v>
      </c>
      <c r="G1956" s="7">
        <f t="shared" ca="1" si="150"/>
        <v>211.41216676345141</v>
      </c>
      <c r="H1956" s="7">
        <f ca="1">(G1956+DCF!$D$40+DCF!$D$41+DCF!$D$42-DCF!$D$43-DCF!$D$44)/DCF!$C$35</f>
        <v>1.8353040228211501</v>
      </c>
    </row>
    <row r="1957" spans="3:8" x14ac:dyDescent="0.35">
      <c r="C1957" s="8">
        <f t="shared" ca="1" si="151"/>
        <v>0.62746551346663315</v>
      </c>
      <c r="D1957" s="7">
        <f t="shared" ca="1" si="152"/>
        <v>8.9610088598249454E-2</v>
      </c>
      <c r="E1957" s="7">
        <f t="shared" ca="1" si="153"/>
        <v>1.5935109068419662E-2</v>
      </c>
      <c r="F1957" s="7">
        <f t="shared" ca="1" si="154"/>
        <v>1.1785223183157762E-2</v>
      </c>
      <c r="G1957" s="7">
        <f t="shared" ca="1" si="150"/>
        <v>222.6776621343472</v>
      </c>
      <c r="H1957" s="7">
        <f ca="1">(G1957+DCF!$D$40+DCF!$D$41+DCF!$D$42-DCF!$D$43-DCF!$D$44)/DCF!$C$35</f>
        <v>1.898886229452236</v>
      </c>
    </row>
    <row r="1958" spans="3:8" x14ac:dyDescent="0.35">
      <c r="C1958" s="8">
        <f t="shared" ca="1" si="151"/>
        <v>0.8957260731269906</v>
      </c>
      <c r="D1958" s="7">
        <f t="shared" ca="1" si="152"/>
        <v>9.9212521036392304E-2</v>
      </c>
      <c r="E1958" s="7">
        <f t="shared" ca="1" si="153"/>
        <v>0.15881194752161398</v>
      </c>
      <c r="F1958" s="7">
        <f t="shared" ca="1" si="154"/>
        <v>1.563581311829294E-2</v>
      </c>
      <c r="G1958" s="7">
        <f t="shared" ca="1" si="150"/>
        <v>202.5273936834364</v>
      </c>
      <c r="H1958" s="7">
        <f ca="1">(G1958+DCF!$D$40+DCF!$D$41+DCF!$D$42-DCF!$D$43-DCF!$D$44)/DCF!$C$35</f>
        <v>1.7851585601277593</v>
      </c>
    </row>
    <row r="1959" spans="3:8" x14ac:dyDescent="0.35">
      <c r="C1959" s="8">
        <f t="shared" ca="1" si="151"/>
        <v>0.55110582063944924</v>
      </c>
      <c r="D1959" s="7">
        <f t="shared" ca="1" si="152"/>
        <v>8.761773237211265E-2</v>
      </c>
      <c r="E1959" s="7">
        <f t="shared" ca="1" si="153"/>
        <v>0.21204406417645305</v>
      </c>
      <c r="F1959" s="7">
        <f t="shared" ca="1" si="154"/>
        <v>1.6512204913490564E-2</v>
      </c>
      <c r="G1959" s="7">
        <f t="shared" ca="1" si="150"/>
        <v>239.61758660685638</v>
      </c>
      <c r="H1959" s="7">
        <f ca="1">(G1959+DCF!$D$40+DCF!$D$41+DCF!$D$42-DCF!$D$43-DCF!$D$44)/DCF!$C$35</f>
        <v>1.9944947883895268</v>
      </c>
    </row>
    <row r="1960" spans="3:8" x14ac:dyDescent="0.35">
      <c r="C1960" s="8">
        <f t="shared" ca="1" si="151"/>
        <v>0.6862247641894349</v>
      </c>
      <c r="D1960" s="7">
        <f t="shared" ca="1" si="152"/>
        <v>9.1287085658172035E-2</v>
      </c>
      <c r="E1960" s="7">
        <f t="shared" ca="1" si="153"/>
        <v>0.58517566429383061</v>
      </c>
      <c r="F1960" s="7">
        <f t="shared" ca="1" si="154"/>
        <v>2.0891494791062924E-2</v>
      </c>
      <c r="G1960" s="7">
        <f t="shared" ca="1" si="150"/>
        <v>237.05615447527384</v>
      </c>
      <c r="H1960" s="7">
        <f ca="1">(G1960+DCF!$D$40+DCF!$D$41+DCF!$D$42-DCF!$D$43-DCF!$D$44)/DCF!$C$35</f>
        <v>1.9800381221090069</v>
      </c>
    </row>
    <row r="1961" spans="3:8" x14ac:dyDescent="0.35">
      <c r="C1961" s="8">
        <f t="shared" ca="1" si="151"/>
        <v>0.86710785308710692</v>
      </c>
      <c r="D1961" s="7">
        <f t="shared" ca="1" si="152"/>
        <v>9.7821837743124432E-2</v>
      </c>
      <c r="E1961" s="7">
        <f t="shared" ca="1" si="153"/>
        <v>0.13431724559204417</v>
      </c>
      <c r="F1961" s="7">
        <f t="shared" ca="1" si="154"/>
        <v>1.5182996152652329E-2</v>
      </c>
      <c r="G1961" s="7">
        <f t="shared" ca="1" si="150"/>
        <v>205.43262764063934</v>
      </c>
      <c r="H1961" s="7">
        <f ca="1">(G1961+DCF!$D$40+DCF!$D$41+DCF!$D$42-DCF!$D$43-DCF!$D$44)/DCF!$C$35</f>
        <v>1.8015556363056739</v>
      </c>
    </row>
    <row r="1962" spans="3:8" x14ac:dyDescent="0.35">
      <c r="C1962" s="8">
        <f t="shared" ca="1" si="151"/>
        <v>0.19070631783400993</v>
      </c>
      <c r="D1962" s="7">
        <f t="shared" ca="1" si="152"/>
        <v>7.9607385587747631E-2</v>
      </c>
      <c r="E1962" s="7">
        <f t="shared" ca="1" si="153"/>
        <v>0.89535876564381256</v>
      </c>
      <c r="F1962" s="7">
        <f t="shared" ca="1" si="154"/>
        <v>2.5425259912165776E-2</v>
      </c>
      <c r="G1962" s="7">
        <f t="shared" ca="1" si="150"/>
        <v>305.13685132535301</v>
      </c>
      <c r="H1962" s="7">
        <f ca="1">(G1962+DCF!$D$40+DCF!$D$41+DCF!$D$42-DCF!$D$43-DCF!$D$44)/DCF!$C$35</f>
        <v>2.3642840688867421</v>
      </c>
    </row>
    <row r="1963" spans="3:8" x14ac:dyDescent="0.35">
      <c r="C1963" s="8">
        <f t="shared" ca="1" si="151"/>
        <v>0.21017761328057405</v>
      </c>
      <c r="D1963" s="7">
        <f t="shared" ca="1" si="152"/>
        <v>8.008592905129705E-2</v>
      </c>
      <c r="E1963" s="7">
        <f t="shared" ca="1" si="153"/>
        <v>0.88352034437911697</v>
      </c>
      <c r="F1963" s="7">
        <f t="shared" ca="1" si="154"/>
        <v>2.5173414133761153E-2</v>
      </c>
      <c r="G1963" s="7">
        <f t="shared" ca="1" si="150"/>
        <v>301.28456506978296</v>
      </c>
      <c r="H1963" s="7">
        <f ca="1">(G1963+DCF!$D$40+DCF!$D$41+DCF!$D$42-DCF!$D$43-DCF!$D$44)/DCF!$C$35</f>
        <v>2.342541850489801</v>
      </c>
    </row>
    <row r="1964" spans="3:8" x14ac:dyDescent="0.35">
      <c r="C1964" s="8">
        <f t="shared" ca="1" si="151"/>
        <v>8.0857902251181057E-2</v>
      </c>
      <c r="D1964" s="7">
        <f t="shared" ca="1" si="152"/>
        <v>7.6255815269776733E-2</v>
      </c>
      <c r="E1964" s="7">
        <f t="shared" ca="1" si="153"/>
        <v>0.33130922660252538</v>
      </c>
      <c r="F1964" s="7">
        <f t="shared" ca="1" si="154"/>
        <v>1.814013791778156E-2</v>
      </c>
      <c r="G1964" s="7">
        <f t="shared" ca="1" si="150"/>
        <v>294.1658941336708</v>
      </c>
      <c r="H1964" s="7">
        <f ca="1">(G1964+DCF!$D$40+DCF!$D$41+DCF!$D$42-DCF!$D$43-DCF!$D$44)/DCF!$C$35</f>
        <v>2.3023642292226594</v>
      </c>
    </row>
    <row r="1965" spans="3:8" x14ac:dyDescent="0.35">
      <c r="C1965" s="8">
        <f t="shared" ca="1" si="151"/>
        <v>0.25107073963673998</v>
      </c>
      <c r="D1965" s="7">
        <f t="shared" ca="1" si="152"/>
        <v>8.1023531103243743E-2</v>
      </c>
      <c r="E1965" s="7">
        <f t="shared" ca="1" si="153"/>
        <v>0.1228799140550243</v>
      </c>
      <c r="F1965" s="7">
        <f t="shared" ca="1" si="154"/>
        <v>1.4957416949481338E-2</v>
      </c>
      <c r="G1965" s="7">
        <f t="shared" ca="1" si="150"/>
        <v>261.04974560631854</v>
      </c>
      <c r="H1965" s="7">
        <f ca="1">(G1965+DCF!$D$40+DCF!$D$41+DCF!$D$42-DCF!$D$43-DCF!$D$44)/DCF!$C$35</f>
        <v>2.115457419608977</v>
      </c>
    </row>
    <row r="1966" spans="3:8" x14ac:dyDescent="0.35">
      <c r="C1966" s="8">
        <f t="shared" ca="1" si="151"/>
        <v>0.75691412381063017</v>
      </c>
      <c r="D1966" s="7">
        <f t="shared" ca="1" si="152"/>
        <v>9.3529303662949259E-2</v>
      </c>
      <c r="E1966" s="7">
        <f t="shared" ca="1" si="153"/>
        <v>0.47903621376708194</v>
      </c>
      <c r="F1966" s="7">
        <f t="shared" ca="1" si="154"/>
        <v>1.9788117426421507E-2</v>
      </c>
      <c r="G1966" s="7">
        <f t="shared" ca="1" si="150"/>
        <v>226.88918459603786</v>
      </c>
      <c r="H1966" s="7">
        <f ca="1">(G1966+DCF!$D$40+DCF!$D$41+DCF!$D$42-DCF!$D$43-DCF!$D$44)/DCF!$C$35</f>
        <v>1.9226559690486389</v>
      </c>
    </row>
    <row r="1967" spans="3:8" x14ac:dyDescent="0.35">
      <c r="C1967" s="8">
        <f t="shared" ca="1" si="151"/>
        <v>0.86456328782028158</v>
      </c>
      <c r="D1967" s="7">
        <f t="shared" ca="1" si="152"/>
        <v>9.7705799302412313E-2</v>
      </c>
      <c r="E1967" s="7">
        <f t="shared" ca="1" si="153"/>
        <v>0.64076792839374064</v>
      </c>
      <c r="F1967" s="7">
        <f t="shared" ca="1" si="154"/>
        <v>2.1523773580109373E-2</v>
      </c>
      <c r="G1967" s="7">
        <f t="shared" ca="1" si="150"/>
        <v>217.35735473967094</v>
      </c>
      <c r="H1967" s="7">
        <f ca="1">(G1967+DCF!$D$40+DCF!$D$41+DCF!$D$42-DCF!$D$43-DCF!$D$44)/DCF!$C$35</f>
        <v>1.8688585322252564</v>
      </c>
    </row>
    <row r="1968" spans="3:8" x14ac:dyDescent="0.35">
      <c r="C1968" s="8">
        <f t="shared" ca="1" si="151"/>
        <v>0.22094585707597325</v>
      </c>
      <c r="D1968" s="7">
        <f t="shared" ca="1" si="152"/>
        <v>8.0341073195020485E-2</v>
      </c>
      <c r="E1968" s="7">
        <f t="shared" ca="1" si="153"/>
        <v>0.41581843069469238</v>
      </c>
      <c r="F1968" s="7">
        <f t="shared" ca="1" si="154"/>
        <v>1.9119412598349657E-2</v>
      </c>
      <c r="G1968" s="7">
        <f t="shared" ca="1" si="150"/>
        <v>277.11446641728799</v>
      </c>
      <c r="H1968" s="7">
        <f ca="1">(G1968+DCF!$D$40+DCF!$D$41+DCF!$D$42-DCF!$D$43-DCF!$D$44)/DCF!$C$35</f>
        <v>2.2061263484438873</v>
      </c>
    </row>
    <row r="1969" spans="3:8" x14ac:dyDescent="0.35">
      <c r="C1969" s="8">
        <f t="shared" ca="1" si="151"/>
        <v>0.82712433057068724</v>
      </c>
      <c r="D1969" s="7">
        <f t="shared" ca="1" si="152"/>
        <v>9.6110102697171837E-2</v>
      </c>
      <c r="E1969" s="7">
        <f t="shared" ca="1" si="153"/>
        <v>0.17675697598591977</v>
      </c>
      <c r="F1969" s="7">
        <f t="shared" ca="1" si="154"/>
        <v>1.594570392781073E-2</v>
      </c>
      <c r="G1969" s="7">
        <f t="shared" ca="1" si="150"/>
        <v>211.45446761671332</v>
      </c>
      <c r="H1969" s="7">
        <f ca="1">(G1969+DCF!$D$40+DCF!$D$41+DCF!$D$42-DCF!$D$43-DCF!$D$44)/DCF!$C$35</f>
        <v>1.8355427679010796</v>
      </c>
    </row>
    <row r="1970" spans="3:8" x14ac:dyDescent="0.35">
      <c r="C1970" s="8">
        <f t="shared" ca="1" si="151"/>
        <v>0.69297574278986995</v>
      </c>
      <c r="D1970" s="7">
        <f t="shared" ca="1" si="152"/>
        <v>9.1489487553109039E-2</v>
      </c>
      <c r="E1970" s="7">
        <f t="shared" ca="1" si="153"/>
        <v>0.79499382754160419</v>
      </c>
      <c r="F1970" s="7">
        <f t="shared" ca="1" si="154"/>
        <v>2.3596779365687985E-2</v>
      </c>
      <c r="G1970" s="7">
        <f t="shared" ca="1" si="150"/>
        <v>243.06241312346032</v>
      </c>
      <c r="H1970" s="7">
        <f ca="1">(G1970+DCF!$D$40+DCF!$D$41+DCF!$D$42-DCF!$D$43-DCF!$D$44)/DCF!$C$35</f>
        <v>2.013937313034543</v>
      </c>
    </row>
    <row r="1971" spans="3:8" x14ac:dyDescent="0.35">
      <c r="C1971" s="8">
        <f t="shared" ca="1" si="151"/>
        <v>0.61260218723200799</v>
      </c>
      <c r="D1971" s="7">
        <f t="shared" ca="1" si="152"/>
        <v>8.9207309961212844E-2</v>
      </c>
      <c r="E1971" s="7">
        <f t="shared" ca="1" si="153"/>
        <v>0.47335188429490827</v>
      </c>
      <c r="F1971" s="7">
        <f t="shared" ca="1" si="154"/>
        <v>1.9729870341324271E-2</v>
      </c>
      <c r="G1971" s="7">
        <f t="shared" ca="1" si="150"/>
        <v>241.73973792612452</v>
      </c>
      <c r="H1971" s="7">
        <f ca="1">(G1971+DCF!$D$40+DCF!$D$41+DCF!$D$42-DCF!$D$43-DCF!$D$44)/DCF!$C$35</f>
        <v>2.0064721634841658</v>
      </c>
    </row>
    <row r="1972" spans="3:8" x14ac:dyDescent="0.35">
      <c r="C1972" s="8">
        <f t="shared" ca="1" si="151"/>
        <v>0.10028835418400617</v>
      </c>
      <c r="D1972" s="7">
        <f t="shared" ca="1" si="152"/>
        <v>7.6967034047933106E-2</v>
      </c>
      <c r="E1972" s="7">
        <f t="shared" ca="1" si="153"/>
        <v>0.72382060331950093</v>
      </c>
      <c r="F1972" s="7">
        <f t="shared" ca="1" si="154"/>
        <v>2.2567915545683041E-2</v>
      </c>
      <c r="G1972" s="7">
        <f t="shared" ca="1" si="150"/>
        <v>308.29221797924799</v>
      </c>
      <c r="H1972" s="7">
        <f ca="1">(G1972+DCF!$D$40+DCF!$D$41+DCF!$D$42-DCF!$D$43-DCF!$D$44)/DCF!$C$35</f>
        <v>2.3820928884707526</v>
      </c>
    </row>
    <row r="1973" spans="3:8" x14ac:dyDescent="0.35">
      <c r="C1973" s="8">
        <f t="shared" ca="1" si="151"/>
        <v>0.58162924151882456</v>
      </c>
      <c r="D1973" s="7">
        <f t="shared" ca="1" si="152"/>
        <v>8.8392090187503297E-2</v>
      </c>
      <c r="E1973" s="7">
        <f t="shared" ca="1" si="153"/>
        <v>0.86029580505716163</v>
      </c>
      <c r="F1973" s="7">
        <f t="shared" ca="1" si="154"/>
        <v>2.4714090523990439E-2</v>
      </c>
      <c r="G1973" s="7">
        <f t="shared" ca="1" si="150"/>
        <v>258.59436540660806</v>
      </c>
      <c r="H1973" s="7">
        <f ca="1">(G1973+DCF!$D$40+DCF!$D$41+DCF!$D$42-DCF!$D$43-DCF!$D$44)/DCF!$C$35</f>
        <v>2.1015993080856079</v>
      </c>
    </row>
    <row r="1974" spans="3:8" x14ac:dyDescent="0.35">
      <c r="C1974" s="8">
        <f t="shared" ca="1" si="151"/>
        <v>0.47662798327773948</v>
      </c>
      <c r="D1974" s="7">
        <f t="shared" ca="1" si="152"/>
        <v>8.5832187300832488E-2</v>
      </c>
      <c r="E1974" s="7">
        <f t="shared" ca="1" si="153"/>
        <v>8.9226814712209168E-2</v>
      </c>
      <c r="F1974" s="7">
        <f t="shared" ca="1" si="154"/>
        <v>1.4224377225395695E-2</v>
      </c>
      <c r="G1974" s="7">
        <f t="shared" ca="1" si="150"/>
        <v>240.50955773481155</v>
      </c>
      <c r="H1974" s="7">
        <f ca="1">(G1974+DCF!$D$40+DCF!$D$41+DCF!$D$42-DCF!$D$43-DCF!$D$44)/DCF!$C$35</f>
        <v>1.9995290537013859</v>
      </c>
    </row>
    <row r="1975" spans="3:8" x14ac:dyDescent="0.35">
      <c r="C1975" s="8">
        <f t="shared" ca="1" si="151"/>
        <v>0.45937707416712292</v>
      </c>
      <c r="D1975" s="7">
        <f t="shared" ca="1" si="152"/>
        <v>8.5437117733671991E-2</v>
      </c>
      <c r="E1975" s="7">
        <f t="shared" ca="1" si="153"/>
        <v>0.50351606913848512</v>
      </c>
      <c r="F1975" s="7">
        <f t="shared" ca="1" si="154"/>
        <v>2.0035222723397028E-2</v>
      </c>
      <c r="G1975" s="7">
        <f t="shared" ca="1" si="150"/>
        <v>257.3008044235923</v>
      </c>
      <c r="H1975" s="7">
        <f ca="1">(G1975+DCF!$D$40+DCF!$D$41+DCF!$D$42-DCF!$D$43-DCF!$D$44)/DCF!$C$35</f>
        <v>2.0942984785167189</v>
      </c>
    </row>
    <row r="1976" spans="3:8" x14ac:dyDescent="0.35">
      <c r="C1976" s="8">
        <f t="shared" ca="1" si="151"/>
        <v>0.15162472573956109</v>
      </c>
      <c r="D1976" s="7">
        <f t="shared" ca="1" si="152"/>
        <v>7.8566584340210965E-2</v>
      </c>
      <c r="E1976" s="7">
        <f t="shared" ca="1" si="153"/>
        <v>0.77170641206630763</v>
      </c>
      <c r="F1976" s="7">
        <f t="shared" ca="1" si="154"/>
        <v>2.3242876530154381E-2</v>
      </c>
      <c r="G1976" s="7">
        <f t="shared" ca="1" si="150"/>
        <v>301.8732808722159</v>
      </c>
      <c r="H1976" s="7">
        <f ca="1">(G1976+DCF!$D$40+DCF!$D$41+DCF!$D$42-DCF!$D$43-DCF!$D$44)/DCF!$C$35</f>
        <v>2.3458645494537524</v>
      </c>
    </row>
    <row r="1977" spans="3:8" x14ac:dyDescent="0.35">
      <c r="C1977" s="8">
        <f t="shared" ca="1" si="151"/>
        <v>0.92783124308732756</v>
      </c>
      <c r="D1977" s="7">
        <f t="shared" ca="1" si="152"/>
        <v>0.10102557340469362</v>
      </c>
      <c r="E1977" s="7">
        <f t="shared" ca="1" si="153"/>
        <v>0.72820093841397693</v>
      </c>
      <c r="F1977" s="7">
        <f t="shared" ca="1" si="154"/>
        <v>2.2627089291385349E-2</v>
      </c>
      <c r="G1977" s="7">
        <f t="shared" ca="1" si="150"/>
        <v>209.73192491100451</v>
      </c>
      <c r="H1977" s="7">
        <f ca="1">(G1977+DCF!$D$40+DCF!$D$41+DCF!$D$42-DCF!$D$43-DCF!$D$44)/DCF!$C$35</f>
        <v>1.8258207749802715</v>
      </c>
    </row>
    <row r="1978" spans="3:8" x14ac:dyDescent="0.35">
      <c r="C1978" s="8">
        <f t="shared" ca="1" si="151"/>
        <v>0.46225308321366065</v>
      </c>
      <c r="D1978" s="7">
        <f t="shared" ca="1" si="152"/>
        <v>8.5502539741157763E-2</v>
      </c>
      <c r="E1978" s="7">
        <f t="shared" ca="1" si="153"/>
        <v>0.82416462015098524</v>
      </c>
      <c r="F1978" s="7">
        <f t="shared" ca="1" si="154"/>
        <v>2.4069816531522573E-2</v>
      </c>
      <c r="G1978" s="7">
        <f t="shared" ca="1" si="150"/>
        <v>269.38378650072843</v>
      </c>
      <c r="H1978" s="7">
        <f ca="1">(G1978+DCF!$D$40+DCF!$D$41+DCF!$D$42-DCF!$D$43-DCF!$D$44)/DCF!$C$35</f>
        <v>2.1624945620314282</v>
      </c>
    </row>
    <row r="1979" spans="3:8" x14ac:dyDescent="0.35">
      <c r="C1979" s="8">
        <f t="shared" ca="1" si="151"/>
        <v>0.79842043041334254</v>
      </c>
      <c r="D1979" s="7">
        <f t="shared" ca="1" si="152"/>
        <v>9.5001240062634856E-2</v>
      </c>
      <c r="E1979" s="7">
        <f t="shared" ca="1" si="153"/>
        <v>0.39672495299398403</v>
      </c>
      <c r="F1979" s="7">
        <f t="shared" ca="1" si="154"/>
        <v>1.8907580513180713E-2</v>
      </c>
      <c r="G1979" s="7">
        <f t="shared" ca="1" si="150"/>
        <v>220.38003505285019</v>
      </c>
      <c r="H1979" s="7">
        <f ca="1">(G1979+DCF!$D$40+DCF!$D$41+DCF!$D$42-DCF!$D$43-DCF!$D$44)/DCF!$C$35</f>
        <v>1.885918473037872</v>
      </c>
    </row>
    <row r="1980" spans="3:8" x14ac:dyDescent="0.35">
      <c r="C1980" s="8">
        <f t="shared" ca="1" si="151"/>
        <v>8.791917223300616E-2</v>
      </c>
      <c r="D1980" s="7">
        <f t="shared" ca="1" si="152"/>
        <v>7.652325680628741E-2</v>
      </c>
      <c r="E1980" s="7">
        <f t="shared" ca="1" si="153"/>
        <v>0.82271063149266666</v>
      </c>
      <c r="F1980" s="7">
        <f t="shared" ca="1" si="154"/>
        <v>2.4045348565913647E-2</v>
      </c>
      <c r="G1980" s="7">
        <f t="shared" ca="1" si="150"/>
        <v>317.69820805869108</v>
      </c>
      <c r="H1980" s="7">
        <f ca="1">(G1980+DCF!$D$40+DCF!$D$41+DCF!$D$42-DCF!$D$43-DCF!$D$44)/DCF!$C$35</f>
        <v>2.4351800883773058</v>
      </c>
    </row>
    <row r="1981" spans="3:8" x14ac:dyDescent="0.35">
      <c r="C1981" s="8">
        <f t="shared" ca="1" si="151"/>
        <v>0.65284433915786266</v>
      </c>
      <c r="D1981" s="7">
        <f t="shared" ca="1" si="152"/>
        <v>9.0316867182792651E-2</v>
      </c>
      <c r="E1981" s="7">
        <f t="shared" ca="1" si="153"/>
        <v>0.9799956397925218</v>
      </c>
      <c r="F1981" s="7">
        <f t="shared" ca="1" si="154"/>
        <v>2.7999782001506924E-2</v>
      </c>
      <c r="G1981" s="7">
        <f t="shared" ca="1" si="150"/>
        <v>260.26519556693654</v>
      </c>
      <c r="H1981" s="7">
        <f ca="1">(G1981+DCF!$D$40+DCF!$D$41+DCF!$D$42-DCF!$D$43-DCF!$D$44)/DCF!$C$35</f>
        <v>2.1110294365443987</v>
      </c>
    </row>
    <row r="1982" spans="3:8" x14ac:dyDescent="0.35">
      <c r="C1982" s="8">
        <f t="shared" ca="1" si="151"/>
        <v>6.8536384309553111E-2</v>
      </c>
      <c r="D1982" s="7">
        <f t="shared" ca="1" si="152"/>
        <v>7.57594800117566E-2</v>
      </c>
      <c r="E1982" s="7">
        <f t="shared" ca="1" si="153"/>
        <v>0.45100059164676998</v>
      </c>
      <c r="F1982" s="7">
        <f t="shared" ca="1" si="154"/>
        <v>1.949737428605159E-2</v>
      </c>
      <c r="G1982" s="7">
        <f t="shared" ca="1" si="150"/>
        <v>302.27345427780966</v>
      </c>
      <c r="H1982" s="7">
        <f ca="1">(G1982+DCF!$D$40+DCF!$D$41+DCF!$D$42-DCF!$D$43-DCF!$D$44)/DCF!$C$35</f>
        <v>2.3481231193013299</v>
      </c>
    </row>
    <row r="1983" spans="3:8" x14ac:dyDescent="0.35">
      <c r="C1983" s="8">
        <f t="shared" ca="1" si="151"/>
        <v>0.63433077573229091</v>
      </c>
      <c r="D1983" s="7">
        <f t="shared" ca="1" si="152"/>
        <v>8.9798840273816877E-2</v>
      </c>
      <c r="E1983" s="7">
        <f t="shared" ca="1" si="153"/>
        <v>0.86089525352758989</v>
      </c>
      <c r="F1983" s="7">
        <f t="shared" ca="1" si="154"/>
        <v>2.4725443213455559E-2</v>
      </c>
      <c r="G1983" s="7">
        <f t="shared" ca="1" si="150"/>
        <v>252.75670582264215</v>
      </c>
      <c r="H1983" s="7">
        <f ca="1">(G1983+DCF!$D$40+DCF!$D$41+DCF!$D$42-DCF!$D$43-DCF!$D$44)/DCF!$C$35</f>
        <v>2.0686516865483813</v>
      </c>
    </row>
    <row r="1984" spans="3:8" x14ac:dyDescent="0.35">
      <c r="C1984" s="8">
        <f t="shared" ca="1" si="151"/>
        <v>0.91096979860067573</v>
      </c>
      <c r="D1984" s="7">
        <f t="shared" ca="1" si="152"/>
        <v>0.10003216649609124</v>
      </c>
      <c r="E1984" s="7">
        <f t="shared" ca="1" si="153"/>
        <v>0.34609427378473512</v>
      </c>
      <c r="F1984" s="7">
        <f t="shared" ca="1" si="154"/>
        <v>1.8319786941800073E-2</v>
      </c>
      <c r="G1984" s="7">
        <f t="shared" ca="1" si="150"/>
        <v>204.84562793865084</v>
      </c>
      <c r="H1984" s="7">
        <f ca="1">(G1984+DCF!$D$40+DCF!$D$41+DCF!$D$42-DCF!$D$43-DCF!$D$44)/DCF!$C$35</f>
        <v>1.7982426229746633</v>
      </c>
    </row>
    <row r="1985" spans="3:8" x14ac:dyDescent="0.35">
      <c r="C1985" s="8">
        <f t="shared" ca="1" si="151"/>
        <v>0.67767551363113832</v>
      </c>
      <c r="D1985" s="7">
        <f t="shared" ca="1" si="152"/>
        <v>9.1033868955750372E-2</v>
      </c>
      <c r="E1985" s="7">
        <f t="shared" ca="1" si="153"/>
        <v>0.54893793922506673</v>
      </c>
      <c r="F1985" s="7">
        <f t="shared" ca="1" si="154"/>
        <v>2.0501978513659456E-2</v>
      </c>
      <c r="G1985" s="7">
        <f t="shared" ca="1" si="150"/>
        <v>237.02104580503018</v>
      </c>
      <c r="H1985" s="7">
        <f ca="1">(G1985+DCF!$D$40+DCF!$D$41+DCF!$D$42-DCF!$D$43-DCF!$D$44)/DCF!$C$35</f>
        <v>1.9798399695509097</v>
      </c>
    </row>
    <row r="1986" spans="3:8" x14ac:dyDescent="0.35">
      <c r="C1986" s="8">
        <f t="shared" ca="1" si="151"/>
        <v>0.4605743276481703</v>
      </c>
      <c r="D1986" s="7">
        <f t="shared" ca="1" si="152"/>
        <v>8.5464331059768472E-2</v>
      </c>
      <c r="E1986" s="7">
        <f t="shared" ca="1" si="153"/>
        <v>0.69684157115533163</v>
      </c>
      <c r="F1986" s="7">
        <f t="shared" ca="1" si="154"/>
        <v>2.221336492643108E-2</v>
      </c>
      <c r="G1986" s="7">
        <f t="shared" ca="1" si="150"/>
        <v>263.67097753378368</v>
      </c>
      <c r="H1986" s="7">
        <f ca="1">(G1986+DCF!$D$40+DCF!$D$41+DCF!$D$42-DCF!$D$43-DCF!$D$44)/DCF!$C$35</f>
        <v>2.1302515946144243</v>
      </c>
    </row>
    <row r="1987" spans="3:8" x14ac:dyDescent="0.35">
      <c r="C1987" s="8">
        <f t="shared" ca="1" si="151"/>
        <v>0.88143407416997388</v>
      </c>
      <c r="D1987" s="7">
        <f t="shared" ca="1" si="152"/>
        <v>9.8496975474845358E-2</v>
      </c>
      <c r="E1987" s="7">
        <f t="shared" ca="1" si="153"/>
        <v>0.38893547216488944</v>
      </c>
      <c r="F1987" s="7">
        <f t="shared" ca="1" si="154"/>
        <v>1.8819699225766026E-2</v>
      </c>
      <c r="G1987" s="7">
        <f t="shared" ca="1" si="150"/>
        <v>209.93124745465477</v>
      </c>
      <c r="H1987" s="7">
        <f ca="1">(G1987+DCF!$D$40+DCF!$D$41+DCF!$D$42-DCF!$D$43-DCF!$D$44)/DCF!$C$35</f>
        <v>1.8269457470067434</v>
      </c>
    </row>
    <row r="1988" spans="3:8" x14ac:dyDescent="0.35">
      <c r="C1988" s="8">
        <f t="shared" ca="1" si="151"/>
        <v>0.53326935879981074</v>
      </c>
      <c r="D1988" s="7">
        <f t="shared" ca="1" si="152"/>
        <v>8.7177392883822175E-2</v>
      </c>
      <c r="E1988" s="7">
        <f t="shared" ca="1" si="153"/>
        <v>0.72419524951430647</v>
      </c>
      <c r="F1988" s="7">
        <f t="shared" ca="1" si="154"/>
        <v>2.2572958186657444E-2</v>
      </c>
      <c r="G1988" s="7">
        <f t="shared" ca="1" si="150"/>
        <v>257.40266085167582</v>
      </c>
      <c r="H1988" s="7">
        <f ca="1">(G1988+DCF!$D$40+DCF!$D$41+DCF!$D$42-DCF!$D$43-DCF!$D$44)/DCF!$C$35</f>
        <v>2.0948733539433109</v>
      </c>
    </row>
    <row r="1989" spans="3:8" x14ac:dyDescent="0.35">
      <c r="C1989" s="8">
        <f t="shared" ca="1" si="151"/>
        <v>0.47232635506304477</v>
      </c>
      <c r="D1989" s="7">
        <f t="shared" ca="1" si="152"/>
        <v>8.573307214026378E-2</v>
      </c>
      <c r="E1989" s="7">
        <f t="shared" ca="1" si="153"/>
        <v>0.77743615593090121</v>
      </c>
      <c r="F1989" s="7">
        <f t="shared" ca="1" si="154"/>
        <v>2.3328210973522938E-2</v>
      </c>
      <c r="G1989" s="7">
        <f t="shared" ca="1" si="150"/>
        <v>265.95658859749039</v>
      </c>
      <c r="H1989" s="7">
        <f ca="1">(G1989+DCF!$D$40+DCF!$D$41+DCF!$D$42-DCF!$D$43-DCF!$D$44)/DCF!$C$35</f>
        <v>2.1431515328902266</v>
      </c>
    </row>
    <row r="1990" spans="3:8" x14ac:dyDescent="0.35">
      <c r="C1990" s="8">
        <f t="shared" ca="1" si="151"/>
        <v>9.3171072585772508E-2</v>
      </c>
      <c r="D1990" s="7">
        <f t="shared" ca="1" si="152"/>
        <v>7.6715266125144552E-2</v>
      </c>
      <c r="E1990" s="7">
        <f t="shared" ca="1" si="153"/>
        <v>0.58118860308338705</v>
      </c>
      <c r="F1990" s="7">
        <f t="shared" ca="1" si="154"/>
        <v>2.0847826521349009E-2</v>
      </c>
      <c r="G1990" s="7">
        <f t="shared" ca="1" si="150"/>
        <v>302.43864486144923</v>
      </c>
      <c r="H1990" s="7">
        <f ca="1">(G1990+DCF!$D$40+DCF!$D$41+DCF!$D$42-DCF!$D$43-DCF!$D$44)/DCF!$C$35</f>
        <v>2.3490554513006501</v>
      </c>
    </row>
    <row r="1991" spans="3:8" x14ac:dyDescent="0.35">
      <c r="C1991" s="8">
        <f t="shared" ca="1" si="151"/>
        <v>0.8307581029368486</v>
      </c>
      <c r="D1991" s="7">
        <f t="shared" ca="1" si="152"/>
        <v>9.6256857814805349E-2</v>
      </c>
      <c r="E1991" s="7">
        <f t="shared" ca="1" si="153"/>
        <v>0.5114926381761602</v>
      </c>
      <c r="F1991" s="7">
        <f t="shared" ca="1" si="154"/>
        <v>2.0115594486021533E-2</v>
      </c>
      <c r="G1991" s="7">
        <f t="shared" ca="1" si="150"/>
        <v>218.95703528102072</v>
      </c>
      <c r="H1991" s="7">
        <f ca="1">(G1991+DCF!$D$40+DCF!$D$41+DCF!$D$42-DCF!$D$43-DCF!$D$44)/DCF!$C$35</f>
        <v>1.8778870938086729</v>
      </c>
    </row>
    <row r="1992" spans="3:8" x14ac:dyDescent="0.35">
      <c r="C1992" s="8">
        <f t="shared" ca="1" si="151"/>
        <v>0.86511722607446206</v>
      </c>
      <c r="D1992" s="7">
        <f t="shared" ca="1" si="152"/>
        <v>9.7730966798443314E-2</v>
      </c>
      <c r="E1992" s="7">
        <f t="shared" ca="1" si="153"/>
        <v>0.11334404541277066</v>
      </c>
      <c r="F1992" s="7">
        <f t="shared" ca="1" si="154"/>
        <v>1.4761177279051279E-2</v>
      </c>
      <c r="G1992" s="7">
        <f t="shared" ca="1" si="150"/>
        <v>204.96572665481659</v>
      </c>
      <c r="H1992" s="7">
        <f ca="1">(G1992+DCF!$D$40+DCF!$D$41+DCF!$D$42-DCF!$D$43-DCF!$D$44)/DCF!$C$35</f>
        <v>1.7989204574715916</v>
      </c>
    </row>
    <row r="1993" spans="3:8" x14ac:dyDescent="0.35">
      <c r="C1993" s="8">
        <f t="shared" ca="1" si="151"/>
        <v>0.56479967924048124</v>
      </c>
      <c r="D1993" s="7">
        <f t="shared" ca="1" si="152"/>
        <v>8.796177053464542E-2</v>
      </c>
      <c r="E1993" s="7">
        <f t="shared" ca="1" si="153"/>
        <v>0.38573558084624993</v>
      </c>
      <c r="F1993" s="7">
        <f t="shared" ca="1" si="154"/>
        <v>1.8783343108933523E-2</v>
      </c>
      <c r="G1993" s="7">
        <f t="shared" ca="1" si="150"/>
        <v>243.97438864079533</v>
      </c>
      <c r="H1993" s="7">
        <f ca="1">(G1993+DCF!$D$40+DCF!$D$41+DCF!$D$42-DCF!$D$43-DCF!$D$44)/DCF!$C$35</f>
        <v>2.0190844826774765</v>
      </c>
    </row>
    <row r="1994" spans="3:8" x14ac:dyDescent="0.35">
      <c r="C1994" s="8">
        <f t="shared" ca="1" si="151"/>
        <v>0.87719299717642907</v>
      </c>
      <c r="D1994" s="7">
        <f t="shared" ca="1" si="152"/>
        <v>9.8293052697175698E-2</v>
      </c>
      <c r="E1994" s="7">
        <f t="shared" ca="1" si="153"/>
        <v>0.21634455590778334</v>
      </c>
      <c r="F1994" s="7">
        <f t="shared" ca="1" si="154"/>
        <v>1.6577910852357051E-2</v>
      </c>
      <c r="G1994" s="7">
        <f t="shared" ca="1" si="150"/>
        <v>206.5427162616956</v>
      </c>
      <c r="H1994" s="7">
        <f ca="1">(G1994+DCF!$D$40+DCF!$D$41+DCF!$D$42-DCF!$D$43-DCF!$D$44)/DCF!$C$35</f>
        <v>1.8078209519228783</v>
      </c>
    </row>
    <row r="1995" spans="3:8" x14ac:dyDescent="0.35">
      <c r="C1995" s="8">
        <f t="shared" ca="1" si="151"/>
        <v>0.33194044291918412</v>
      </c>
      <c r="D1995" s="7">
        <f t="shared" ca="1" si="152"/>
        <v>8.2695156735439951E-2</v>
      </c>
      <c r="E1995" s="7">
        <f t="shared" ca="1" si="153"/>
        <v>0.42700465665179221</v>
      </c>
      <c r="F1995" s="7">
        <f t="shared" ca="1" si="154"/>
        <v>1.9241262431635542E-2</v>
      </c>
      <c r="G1995" s="7">
        <f t="shared" ca="1" si="150"/>
        <v>266.68847546045123</v>
      </c>
      <c r="H1995" s="7">
        <f ca="1">(G1995+DCF!$D$40+DCF!$D$41+DCF!$D$42-DCF!$D$43-DCF!$D$44)/DCF!$C$35</f>
        <v>2.1472822861522247</v>
      </c>
    </row>
    <row r="1996" spans="3:8" x14ac:dyDescent="0.35">
      <c r="C1996" s="8">
        <f t="shared" ca="1" si="151"/>
        <v>0.11250951271567267</v>
      </c>
      <c r="D1996" s="7">
        <f t="shared" ca="1" si="152"/>
        <v>7.737933629497841E-2</v>
      </c>
      <c r="E1996" s="7">
        <f t="shared" ca="1" si="153"/>
        <v>0.67325878624486046</v>
      </c>
      <c r="F1996" s="7">
        <f t="shared" ca="1" si="154"/>
        <v>2.1916174002922385E-2</v>
      </c>
      <c r="G1996" s="7">
        <f t="shared" ca="1" si="150"/>
        <v>303.10535853175708</v>
      </c>
      <c r="H1996" s="7">
        <f ca="1">(G1996+DCF!$D$40+DCF!$D$41+DCF!$D$42-DCF!$D$43-DCF!$D$44)/DCF!$C$35</f>
        <v>2.3528183685052322</v>
      </c>
    </row>
    <row r="1997" spans="3:8" x14ac:dyDescent="0.35">
      <c r="C1997" s="8">
        <f t="shared" ca="1" si="151"/>
        <v>0.86168202495109403</v>
      </c>
      <c r="D1997" s="7">
        <f t="shared" ca="1" si="152"/>
        <v>9.7575714903682428E-2</v>
      </c>
      <c r="E1997" s="7">
        <f t="shared" ca="1" si="153"/>
        <v>0.89636866295122375</v>
      </c>
      <c r="F1997" s="7">
        <f t="shared" ca="1" si="154"/>
        <v>2.544738894591738E-2</v>
      </c>
      <c r="G1997" s="7">
        <f t="shared" ca="1" si="150"/>
        <v>225.99498297170769</v>
      </c>
      <c r="H1997" s="7">
        <f ca="1">(G1997+DCF!$D$40+DCF!$D$41+DCF!$D$42-DCF!$D$43-DCF!$D$44)/DCF!$C$35</f>
        <v>1.917609114864588</v>
      </c>
    </row>
    <row r="1998" spans="3:8" x14ac:dyDescent="0.35">
      <c r="C1998" s="8">
        <f t="shared" ca="1" si="151"/>
        <v>0.69259753252036238</v>
      </c>
      <c r="D1998" s="7">
        <f t="shared" ca="1" si="152"/>
        <v>9.1478089901220361E-2</v>
      </c>
      <c r="E1998" s="7">
        <f t="shared" ca="1" si="153"/>
        <v>0.27074877384397222</v>
      </c>
      <c r="F1998" s="7">
        <f t="shared" ca="1" si="154"/>
        <v>1.7358651695031806E-2</v>
      </c>
      <c r="G1998" s="7">
        <f t="shared" ca="1" si="150"/>
        <v>228.33100821316734</v>
      </c>
      <c r="H1998" s="7">
        <f ca="1">(G1998+DCF!$D$40+DCF!$D$41+DCF!$D$42-DCF!$D$43-DCF!$D$44)/DCF!$C$35</f>
        <v>1.9307935896442452</v>
      </c>
    </row>
    <row r="1999" spans="3:8" x14ac:dyDescent="0.35">
      <c r="C1999" s="8">
        <f t="shared" ca="1" si="151"/>
        <v>0.55729768545468195</v>
      </c>
      <c r="D1999" s="7">
        <f t="shared" ca="1" si="152"/>
        <v>8.7772634365886393E-2</v>
      </c>
      <c r="E1999" s="7">
        <f t="shared" ca="1" si="153"/>
        <v>0.60691006524495428</v>
      </c>
      <c r="F1999" s="7">
        <f t="shared" ca="1" si="154"/>
        <v>2.1133321537858206E-2</v>
      </c>
      <c r="G1999" s="7">
        <f t="shared" ca="1" si="150"/>
        <v>250.89928275306426</v>
      </c>
      <c r="H1999" s="7">
        <f ca="1">(G1999+DCF!$D$40+DCF!$D$41+DCF!$D$42-DCF!$D$43-DCF!$D$44)/DCF!$C$35</f>
        <v>2.0581684318380415</v>
      </c>
    </row>
    <row r="2000" spans="3:8" x14ac:dyDescent="0.35">
      <c r="C2000" s="8">
        <f t="shared" ca="1" si="151"/>
        <v>0.99072496045923863</v>
      </c>
      <c r="D2000" s="7">
        <f t="shared" ca="1" si="152"/>
        <v>0.10678271168101308</v>
      </c>
      <c r="E2000" s="7">
        <f t="shared" ca="1" si="153"/>
        <v>0.84918871070945012</v>
      </c>
      <c r="F2000" s="7">
        <f t="shared" ca="1" si="154"/>
        <v>2.4507982350892344E-2</v>
      </c>
      <c r="G2000" s="7">
        <f t="shared" ref="G2000:G2063" ca="1" si="155">$C$11/(1+D2000)^1
 +$D$11/(1+D2000)^2
 +$E$11/(1+D2000)^3
 +$F$11/(1+D2000)^4
 +$G$11/(1+D2000)^5
 +$H$11/(1+D2000)^6
 +$I$11/(1+D2000)^7
 + ( $I$11*(1+F2000)/(D2000-F2000) )/(1+D2000)^7</f>
        <v>197.48923781060449</v>
      </c>
      <c r="H2000" s="7">
        <f ca="1">(G2000+DCF!$D$40+DCF!$D$41+DCF!$D$42-DCF!$D$43-DCF!$D$44)/DCF!$C$35</f>
        <v>1.756723319847638</v>
      </c>
    </row>
    <row r="2001" spans="3:8" x14ac:dyDescent="0.35">
      <c r="C2001" s="8">
        <f t="shared" ref="C2001:C2064" ca="1" si="156">RAND()</f>
        <v>0.66990314143978735</v>
      </c>
      <c r="D2001" s="7">
        <f t="shared" ref="D2001:D2064" ca="1" si="157">IF(C2001&lt;($C$6-0.07)/(0.11-0.07),0.07+SQRT(C2001*(0.11-0.07)*($C$6-0.07)),0.11-SQRT((1-C2001)*(0.11-0.07)*(0.11-$C$6)))</f>
        <v>9.0806561169159986E-2</v>
      </c>
      <c r="E2001" s="7">
        <f t="shared" ref="E2001:E2064" ca="1" si="158">RAND()</f>
        <v>0.18771907014628786</v>
      </c>
      <c r="F2001" s="7">
        <f t="shared" ref="F2001:F2064" ca="1" si="159">MIN(
 IF(E2001&lt;(0.02-0.01)/(0.03-0.01),
   0.01+SQRT(E2001*(0.03-0.01)*(0.02-0.01)),
   0.03-SQRT((1-E2001)*(0.03-0.01)*(0.03-0.02))
 ),
 D2001-0.005
)</f>
        <v>1.6127300713140946E-2</v>
      </c>
      <c r="G2001" s="7">
        <f t="shared" ca="1" si="155"/>
        <v>227.86650460929201</v>
      </c>
      <c r="H2001" s="7">
        <f ca="1">(G2001+DCF!$D$40+DCF!$D$41+DCF!$D$42-DCF!$D$43-DCF!$D$44)/DCF!$C$35</f>
        <v>1.9281719415808329</v>
      </c>
    </row>
    <row r="2002" spans="3:8" x14ac:dyDescent="0.35">
      <c r="C2002" s="8">
        <f t="shared" ca="1" si="156"/>
        <v>0.31726048572252752</v>
      </c>
      <c r="D2002" s="7">
        <f t="shared" ca="1" si="157"/>
        <v>8.2396788267781976E-2</v>
      </c>
      <c r="E2002" s="7">
        <f t="shared" ca="1" si="158"/>
        <v>0.15468553494326609</v>
      </c>
      <c r="F2002" s="7">
        <f t="shared" ca="1" si="159"/>
        <v>1.5562113536116754E-2</v>
      </c>
      <c r="G2002" s="7">
        <f t="shared" ca="1" si="155"/>
        <v>257.0967224830066</v>
      </c>
      <c r="H2002" s="7">
        <f ca="1">(G2002+DCF!$D$40+DCF!$D$41+DCF!$D$42-DCF!$D$43-DCF!$D$44)/DCF!$C$35</f>
        <v>2.0931466445592424</v>
      </c>
    </row>
    <row r="2003" spans="3:8" x14ac:dyDescent="0.35">
      <c r="C2003" s="8">
        <f t="shared" ca="1" si="156"/>
        <v>0.51921946283455089</v>
      </c>
      <c r="D2003" s="7">
        <f t="shared" ca="1" si="157"/>
        <v>8.6836427747934888E-2</v>
      </c>
      <c r="E2003" s="7">
        <f t="shared" ca="1" si="158"/>
        <v>0.63288764609520876</v>
      </c>
      <c r="F2003" s="7">
        <f t="shared" ca="1" si="159"/>
        <v>2.1431308689131214E-2</v>
      </c>
      <c r="G2003" s="7">
        <f t="shared" ca="1" si="155"/>
        <v>255.51989647755119</v>
      </c>
      <c r="H2003" s="7">
        <f ca="1">(G2003+DCF!$D$40+DCF!$D$41+DCF!$D$42-DCF!$D$43-DCF!$D$44)/DCF!$C$35</f>
        <v>2.0842470734707708</v>
      </c>
    </row>
    <row r="2004" spans="3:8" x14ac:dyDescent="0.35">
      <c r="C2004" s="8">
        <f t="shared" ca="1" si="156"/>
        <v>0.39734902096634916</v>
      </c>
      <c r="D2004" s="7">
        <f t="shared" ca="1" si="157"/>
        <v>8.4066267283679469E-2</v>
      </c>
      <c r="E2004" s="7">
        <f t="shared" ca="1" si="158"/>
        <v>0.36583435290362254</v>
      </c>
      <c r="F2004" s="7">
        <f t="shared" ca="1" si="159"/>
        <v>1.8553763533131162E-2</v>
      </c>
      <c r="G2004" s="7">
        <f t="shared" ca="1" si="155"/>
        <v>258.73092569168961</v>
      </c>
      <c r="H2004" s="7">
        <f ca="1">(G2004+DCF!$D$40+DCF!$D$41+DCF!$D$42-DCF!$D$43-DCF!$D$44)/DCF!$C$35</f>
        <v>2.102370051313295</v>
      </c>
    </row>
    <row r="2005" spans="3:8" x14ac:dyDescent="0.35">
      <c r="C2005" s="8">
        <f t="shared" ca="1" si="156"/>
        <v>0.61743172378004663</v>
      </c>
      <c r="D2005" s="7">
        <f t="shared" ca="1" si="157"/>
        <v>8.9337323593941947E-2</v>
      </c>
      <c r="E2005" s="7">
        <f t="shared" ca="1" si="158"/>
        <v>0.59221911335486987</v>
      </c>
      <c r="F2005" s="7">
        <f t="shared" ca="1" si="159"/>
        <v>2.0969154118853205E-2</v>
      </c>
      <c r="G2005" s="7">
        <f t="shared" ca="1" si="155"/>
        <v>244.40177304926334</v>
      </c>
      <c r="H2005" s="7">
        <f ca="1">(G2005+DCF!$D$40+DCF!$D$41+DCF!$D$42-DCF!$D$43-DCF!$D$44)/DCF!$C$35</f>
        <v>2.0214966308232492</v>
      </c>
    </row>
    <row r="2006" spans="3:8" x14ac:dyDescent="0.35">
      <c r="C2006" s="8">
        <f t="shared" ca="1" si="156"/>
        <v>2.4464310829589109E-2</v>
      </c>
      <c r="D2006" s="7">
        <f t="shared" ca="1" si="157"/>
        <v>7.344103566408737E-2</v>
      </c>
      <c r="E2006" s="7">
        <f t="shared" ca="1" si="158"/>
        <v>0.2840255374654499</v>
      </c>
      <c r="F2006" s="7">
        <f t="shared" ca="1" si="159"/>
        <v>1.7536916311933548E-2</v>
      </c>
      <c r="G2006" s="7">
        <f t="shared" ca="1" si="155"/>
        <v>307.34653492313356</v>
      </c>
      <c r="H2006" s="7">
        <f ca="1">(G2006+DCF!$D$40+DCF!$D$41+DCF!$D$42-DCF!$D$43-DCF!$D$44)/DCF!$C$35</f>
        <v>2.3767554742247068</v>
      </c>
    </row>
    <row r="2007" spans="3:8" x14ac:dyDescent="0.35">
      <c r="C2007" s="8">
        <f t="shared" ca="1" si="156"/>
        <v>3.2768033083918957E-2</v>
      </c>
      <c r="D2007" s="7">
        <f t="shared" ca="1" si="157"/>
        <v>7.398242740205227E-2</v>
      </c>
      <c r="E2007" s="7">
        <f t="shared" ca="1" si="158"/>
        <v>0.65619261245448313</v>
      </c>
      <c r="F2007" s="7">
        <f t="shared" ca="1" si="159"/>
        <v>2.1707745933155245E-2</v>
      </c>
      <c r="G2007" s="7">
        <f t="shared" ca="1" si="155"/>
        <v>322.808799988582</v>
      </c>
      <c r="H2007" s="7">
        <f ca="1">(G2007+DCF!$D$40+DCF!$D$41+DCF!$D$42-DCF!$D$43-DCF!$D$44)/DCF!$C$35</f>
        <v>2.4640241561608645</v>
      </c>
    </row>
    <row r="2008" spans="3:8" x14ac:dyDescent="0.35">
      <c r="C2008" s="8">
        <f t="shared" ca="1" si="156"/>
        <v>0.82614811992073678</v>
      </c>
      <c r="D2008" s="7">
        <f t="shared" ca="1" si="157"/>
        <v>9.6070940513858893E-2</v>
      </c>
      <c r="E2008" s="7">
        <f t="shared" ca="1" si="158"/>
        <v>0.2786383609434312</v>
      </c>
      <c r="F2008" s="7">
        <f t="shared" ca="1" si="159"/>
        <v>1.7465096930963875E-2</v>
      </c>
      <c r="G2008" s="7">
        <f t="shared" ca="1" si="155"/>
        <v>214.3680690764231</v>
      </c>
      <c r="H2008" s="7">
        <f ca="1">(G2008+DCF!$D$40+DCF!$D$41+DCF!$D$42-DCF!$D$43-DCF!$D$44)/DCF!$C$35</f>
        <v>1.8519870700780172</v>
      </c>
    </row>
    <row r="2009" spans="3:8" x14ac:dyDescent="0.35">
      <c r="C2009" s="8">
        <f t="shared" ca="1" si="156"/>
        <v>0.41689707694279621</v>
      </c>
      <c r="D2009" s="7">
        <f t="shared" ca="1" si="157"/>
        <v>8.4490337867156318E-2</v>
      </c>
      <c r="E2009" s="7">
        <f t="shared" ca="1" si="158"/>
        <v>8.953995188847097E-2</v>
      </c>
      <c r="F2009" s="7">
        <f t="shared" ca="1" si="159"/>
        <v>1.4231783356658773E-2</v>
      </c>
      <c r="G2009" s="7">
        <f t="shared" ca="1" si="155"/>
        <v>245.41877014162395</v>
      </c>
      <c r="H2009" s="7">
        <f ca="1">(G2009+DCF!$D$40+DCF!$D$41+DCF!$D$42-DCF!$D$43-DCF!$D$44)/DCF!$C$35</f>
        <v>2.0272365399120891</v>
      </c>
    </row>
    <row r="2010" spans="3:8" x14ac:dyDescent="0.35">
      <c r="C2010" s="8">
        <f t="shared" ca="1" si="156"/>
        <v>0.27325658510824535</v>
      </c>
      <c r="D2010" s="7">
        <f t="shared" ca="1" si="157"/>
        <v>8.1500269005218562E-2</v>
      </c>
      <c r="E2010" s="7">
        <f t="shared" ca="1" si="158"/>
        <v>0.69355171842741947</v>
      </c>
      <c r="F2010" s="7">
        <f t="shared" ca="1" si="159"/>
        <v>2.217122893970477E-2</v>
      </c>
      <c r="G2010" s="7">
        <f t="shared" ca="1" si="155"/>
        <v>282.07461261459321</v>
      </c>
      <c r="H2010" s="7">
        <f ca="1">(G2010+DCF!$D$40+DCF!$D$41+DCF!$D$42-DCF!$D$43-DCF!$D$44)/DCF!$C$35</f>
        <v>2.2341213038412531</v>
      </c>
    </row>
    <row r="2011" spans="3:8" x14ac:dyDescent="0.35">
      <c r="C2011" s="8">
        <f t="shared" ca="1" si="156"/>
        <v>0.7938127629216849</v>
      </c>
      <c r="D2011" s="7">
        <f t="shared" ca="1" si="157"/>
        <v>9.4830789190620379E-2</v>
      </c>
      <c r="E2011" s="7">
        <f t="shared" ca="1" si="158"/>
        <v>5.5278333625542131E-2</v>
      </c>
      <c r="F2011" s="7">
        <f t="shared" ca="1" si="159"/>
        <v>1.3325006274446475E-2</v>
      </c>
      <c r="G2011" s="7">
        <f t="shared" ca="1" si="155"/>
        <v>210.35217978115392</v>
      </c>
      <c r="H2011" s="7">
        <f ca="1">(G2011+DCF!$D$40+DCF!$D$41+DCF!$D$42-DCF!$D$43-DCF!$D$44)/DCF!$C$35</f>
        <v>1.8293214797446322</v>
      </c>
    </row>
    <row r="2012" spans="3:8" x14ac:dyDescent="0.35">
      <c r="C2012" s="8">
        <f t="shared" ca="1" si="156"/>
        <v>0.80184029830602799</v>
      </c>
      <c r="D2012" s="7">
        <f t="shared" ca="1" si="157"/>
        <v>9.5129013916674096E-2</v>
      </c>
      <c r="E2012" s="7">
        <f t="shared" ca="1" si="158"/>
        <v>0.24096947517281098</v>
      </c>
      <c r="F2012" s="7">
        <f t="shared" ca="1" si="159"/>
        <v>1.6942182296264062E-2</v>
      </c>
      <c r="G2012" s="7">
        <f t="shared" ca="1" si="155"/>
        <v>216.13524621828489</v>
      </c>
      <c r="H2012" s="7">
        <f ca="1">(G2012+DCF!$D$40+DCF!$D$41+DCF!$D$42-DCF!$D$43-DCF!$D$44)/DCF!$C$35</f>
        <v>1.8619609787689633</v>
      </c>
    </row>
    <row r="2013" spans="3:8" x14ac:dyDescent="0.35">
      <c r="C2013" s="8">
        <f t="shared" ca="1" si="156"/>
        <v>0.69074805729904087</v>
      </c>
      <c r="D2013" s="7">
        <f t="shared" ca="1" si="157"/>
        <v>9.1422455273791697E-2</v>
      </c>
      <c r="E2013" s="7">
        <f t="shared" ca="1" si="158"/>
        <v>0.80141527660752176</v>
      </c>
      <c r="F2013" s="7">
        <f t="shared" ca="1" si="159"/>
        <v>2.3697861896269198E-2</v>
      </c>
      <c r="G2013" s="7">
        <f t="shared" ca="1" si="155"/>
        <v>243.577906241324</v>
      </c>
      <c r="H2013" s="7">
        <f ca="1">(G2013+DCF!$D$40+DCF!$D$41+DCF!$D$42-DCF!$D$43-DCF!$D$44)/DCF!$C$35</f>
        <v>2.0168467447867928</v>
      </c>
    </row>
    <row r="2014" spans="3:8" x14ac:dyDescent="0.35">
      <c r="C2014" s="8">
        <f t="shared" ca="1" si="156"/>
        <v>0.54472147451663899</v>
      </c>
      <c r="D2014" s="7">
        <f t="shared" ca="1" si="157"/>
        <v>8.7459129687622289E-2</v>
      </c>
      <c r="E2014" s="7">
        <f t="shared" ca="1" si="158"/>
        <v>3.3432911889130223E-2</v>
      </c>
      <c r="F2014" s="7">
        <f t="shared" ca="1" si="159"/>
        <v>1.2585842682342845E-2</v>
      </c>
      <c r="G2014" s="7">
        <f t="shared" ca="1" si="155"/>
        <v>231.18167993327441</v>
      </c>
      <c r="H2014" s="7">
        <f ca="1">(G2014+DCF!$D$40+DCF!$D$41+DCF!$D$42-DCF!$D$43-DCF!$D$44)/DCF!$C$35</f>
        <v>1.9468827177631469</v>
      </c>
    </row>
    <row r="2015" spans="3:8" x14ac:dyDescent="0.35">
      <c r="C2015" s="8">
        <f t="shared" ca="1" si="156"/>
        <v>0.33690032484698562</v>
      </c>
      <c r="D2015" s="7">
        <f t="shared" ca="1" si="157"/>
        <v>8.279670539308219E-2</v>
      </c>
      <c r="E2015" s="7">
        <f t="shared" ca="1" si="158"/>
        <v>0.33902212173558699</v>
      </c>
      <c r="F2015" s="7">
        <f t="shared" ca="1" si="159"/>
        <v>1.8234344196541543E-2</v>
      </c>
      <c r="G2015" s="7">
        <f t="shared" ca="1" si="155"/>
        <v>263.17141956934688</v>
      </c>
      <c r="H2015" s="7">
        <f ca="1">(G2015+DCF!$D$40+DCF!$D$41+DCF!$D$42-DCF!$D$43-DCF!$D$44)/DCF!$C$35</f>
        <v>2.1274321005155596</v>
      </c>
    </row>
    <row r="2016" spans="3:8" x14ac:dyDescent="0.35">
      <c r="C2016" s="8">
        <f t="shared" ca="1" si="156"/>
        <v>0.56285080585017444</v>
      </c>
      <c r="D2016" s="7">
        <f t="shared" ca="1" si="157"/>
        <v>8.7912480884644262E-2</v>
      </c>
      <c r="E2016" s="7">
        <f t="shared" ca="1" si="158"/>
        <v>0.14178678019982138</v>
      </c>
      <c r="F2016" s="7">
        <f t="shared" ca="1" si="159"/>
        <v>1.5325162536483208E-2</v>
      </c>
      <c r="G2016" s="7">
        <f t="shared" ca="1" si="155"/>
        <v>235.78348931677456</v>
      </c>
      <c r="H2016" s="7">
        <f ca="1">(G2016+DCF!$D$40+DCF!$D$41+DCF!$D$42-DCF!$D$43-DCF!$D$44)/DCF!$C$35</f>
        <v>1.9728552281113811</v>
      </c>
    </row>
    <row r="2017" spans="3:8" x14ac:dyDescent="0.35">
      <c r="C2017" s="8">
        <f t="shared" ca="1" si="156"/>
        <v>0.48615699282623548</v>
      </c>
      <c r="D2017" s="7">
        <f t="shared" ca="1" si="157"/>
        <v>8.6053209066642752E-2</v>
      </c>
      <c r="E2017" s="7">
        <f t="shared" ca="1" si="158"/>
        <v>0.56727758815172702</v>
      </c>
      <c r="F2017" s="7">
        <f t="shared" ca="1" si="159"/>
        <v>2.0697071301484966E-2</v>
      </c>
      <c r="G2017" s="7">
        <f t="shared" ca="1" si="155"/>
        <v>256.65030587430812</v>
      </c>
      <c r="H2017" s="7">
        <f ca="1">(G2017+DCF!$D$40+DCF!$D$41+DCF!$D$42-DCF!$D$43-DCF!$D$44)/DCF!$C$35</f>
        <v>2.090627079096445</v>
      </c>
    </row>
    <row r="2018" spans="3:8" x14ac:dyDescent="0.35">
      <c r="C2018" s="8">
        <f t="shared" ca="1" si="156"/>
        <v>0.67573670633704586</v>
      </c>
      <c r="D2018" s="7">
        <f t="shared" ca="1" si="157"/>
        <v>9.0976913086256037E-2</v>
      </c>
      <c r="E2018" s="7">
        <f t="shared" ca="1" si="158"/>
        <v>2.4855470956768433E-2</v>
      </c>
      <c r="F2018" s="7">
        <f t="shared" ca="1" si="159"/>
        <v>1.2229595073405413E-2</v>
      </c>
      <c r="G2018" s="7">
        <f t="shared" ca="1" si="155"/>
        <v>219.41248812275091</v>
      </c>
      <c r="H2018" s="7">
        <f ca="1">(G2018+DCF!$D$40+DCF!$D$41+DCF!$D$42-DCF!$D$43-DCF!$D$44)/DCF!$C$35</f>
        <v>1.8804576595707805</v>
      </c>
    </row>
    <row r="2019" spans="3:8" x14ac:dyDescent="0.35">
      <c r="C2019" s="8">
        <f t="shared" ca="1" si="156"/>
        <v>0.1973457153389897</v>
      </c>
      <c r="D2019" s="7">
        <f t="shared" ca="1" si="157"/>
        <v>7.9773194269228007E-2</v>
      </c>
      <c r="E2019" s="7">
        <f t="shared" ca="1" si="158"/>
        <v>0.29604164992860071</v>
      </c>
      <c r="F2019" s="7">
        <f t="shared" ca="1" si="159"/>
        <v>1.7694694924798523E-2</v>
      </c>
      <c r="G2019" s="7">
        <f t="shared" ca="1" si="155"/>
        <v>275.03679355793497</v>
      </c>
      <c r="H2019" s="7">
        <f ca="1">(G2019+DCF!$D$40+DCF!$D$41+DCF!$D$42-DCF!$D$43-DCF!$D$44)/DCF!$C$35</f>
        <v>2.1944000087929503</v>
      </c>
    </row>
    <row r="2020" spans="3:8" x14ac:dyDescent="0.35">
      <c r="C2020" s="8">
        <f t="shared" ca="1" si="156"/>
        <v>0.64215360200450866</v>
      </c>
      <c r="D2020" s="7">
        <f t="shared" ca="1" si="157"/>
        <v>9.0016091969713025E-2</v>
      </c>
      <c r="E2020" s="7">
        <f t="shared" ca="1" si="158"/>
        <v>1.9233343449385432E-2</v>
      </c>
      <c r="F2020" s="7">
        <f t="shared" ca="1" si="159"/>
        <v>1.1961292606899106E-2</v>
      </c>
      <c r="G2020" s="7">
        <f t="shared" ca="1" si="155"/>
        <v>221.78604760335895</v>
      </c>
      <c r="H2020" s="7">
        <f ca="1">(G2020+DCF!$D$40+DCF!$D$41+DCF!$D$42-DCF!$D$43-DCF!$D$44)/DCF!$C$35</f>
        <v>1.8938539767657689</v>
      </c>
    </row>
    <row r="2021" spans="3:8" x14ac:dyDescent="0.35">
      <c r="C2021" s="8">
        <f t="shared" ca="1" si="156"/>
        <v>0.88440174638818159</v>
      </c>
      <c r="D2021" s="7">
        <f t="shared" ca="1" si="157"/>
        <v>9.8641846495543861E-2</v>
      </c>
      <c r="E2021" s="7">
        <f t="shared" ca="1" si="158"/>
        <v>0.71542470756050613</v>
      </c>
      <c r="F2021" s="7">
        <f t="shared" ca="1" si="159"/>
        <v>2.2455793051095511E-2</v>
      </c>
      <c r="G2021" s="7">
        <f t="shared" ca="1" si="155"/>
        <v>216.37574428975543</v>
      </c>
      <c r="H2021" s="7">
        <f ca="1">(G2021+DCF!$D$40+DCF!$D$41+DCF!$D$42-DCF!$D$43-DCF!$D$44)/DCF!$C$35</f>
        <v>1.8633183445634687</v>
      </c>
    </row>
    <row r="2022" spans="3:8" x14ac:dyDescent="0.35">
      <c r="C2022" s="8">
        <f t="shared" ca="1" si="156"/>
        <v>0.11478124535407297</v>
      </c>
      <c r="D2022" s="7">
        <f t="shared" ca="1" si="157"/>
        <v>7.7453463808952946E-2</v>
      </c>
      <c r="E2022" s="7">
        <f t="shared" ca="1" si="158"/>
        <v>0.13837642477194667</v>
      </c>
      <c r="F2022" s="7">
        <f t="shared" ca="1" si="159"/>
        <v>1.5260730458252859E-2</v>
      </c>
      <c r="G2022" s="7">
        <f t="shared" ca="1" si="155"/>
        <v>277.86819301313062</v>
      </c>
      <c r="H2022" s="7">
        <f ca="1">(G2022+DCF!$D$40+DCF!$D$41+DCF!$D$42-DCF!$D$43-DCF!$D$44)/DCF!$C$35</f>
        <v>2.2103803646750797</v>
      </c>
    </row>
    <row r="2023" spans="3:8" x14ac:dyDescent="0.35">
      <c r="C2023" s="8">
        <f t="shared" ca="1" si="156"/>
        <v>0.43747798153895534</v>
      </c>
      <c r="D2023" s="7">
        <f t="shared" ca="1" si="157"/>
        <v>8.4944569997652694E-2</v>
      </c>
      <c r="E2023" s="7">
        <f t="shared" ca="1" si="158"/>
        <v>0.79038442013148857</v>
      </c>
      <c r="F2023" s="7">
        <f t="shared" ca="1" si="159"/>
        <v>2.3525193750103229E-2</v>
      </c>
      <c r="G2023" s="7">
        <f t="shared" ca="1" si="155"/>
        <v>270.17552449748371</v>
      </c>
      <c r="H2023" s="7">
        <f ca="1">(G2023+DCF!$D$40+DCF!$D$41+DCF!$D$42-DCF!$D$43-DCF!$D$44)/DCF!$C$35</f>
        <v>2.166963113768392</v>
      </c>
    </row>
    <row r="2024" spans="3:8" x14ac:dyDescent="0.35">
      <c r="C2024" s="8">
        <f t="shared" ca="1" si="156"/>
        <v>0.91770774608224537</v>
      </c>
      <c r="D2024" s="7">
        <f t="shared" ca="1" si="157"/>
        <v>0.10041677740150975</v>
      </c>
      <c r="E2024" s="7">
        <f t="shared" ca="1" si="158"/>
        <v>8.3687233660500904E-2</v>
      </c>
      <c r="F2024" s="7">
        <f t="shared" ca="1" si="159"/>
        <v>1.4091142472720815E-2</v>
      </c>
      <c r="G2024" s="7">
        <f t="shared" ca="1" si="155"/>
        <v>197.05061846611864</v>
      </c>
      <c r="H2024" s="7">
        <f ca="1">(G2024+DCF!$D$40+DCF!$D$41+DCF!$D$42-DCF!$D$43-DCF!$D$44)/DCF!$C$35</f>
        <v>1.7542477619715466</v>
      </c>
    </row>
    <row r="2025" spans="3:8" x14ac:dyDescent="0.35">
      <c r="C2025" s="8">
        <f t="shared" ca="1" si="156"/>
        <v>0.70749236314800024</v>
      </c>
      <c r="D2025" s="7">
        <f t="shared" ca="1" si="157"/>
        <v>9.1932390232052505E-2</v>
      </c>
      <c r="E2025" s="7">
        <f t="shared" ca="1" si="158"/>
        <v>0.60390759221062729</v>
      </c>
      <c r="F2025" s="7">
        <f t="shared" ca="1" si="159"/>
        <v>2.1099523520739211E-2</v>
      </c>
      <c r="G2025" s="7">
        <f t="shared" ca="1" si="155"/>
        <v>235.26961757591641</v>
      </c>
      <c r="H2025" s="7">
        <f ca="1">(G2025+DCF!$D$40+DCF!$D$41+DCF!$D$42-DCF!$D$43-DCF!$D$44)/DCF!$C$35</f>
        <v>1.9699549473750784</v>
      </c>
    </row>
    <row r="2026" spans="3:8" x14ac:dyDescent="0.35">
      <c r="C2026" s="8">
        <f t="shared" ca="1" si="156"/>
        <v>0.43120447603828771</v>
      </c>
      <c r="D2026" s="7">
        <f t="shared" ca="1" si="157"/>
        <v>8.4805242514735923E-2</v>
      </c>
      <c r="E2026" s="7">
        <f t="shared" ca="1" si="158"/>
        <v>5.248055309265609E-2</v>
      </c>
      <c r="F2026" s="7">
        <f t="shared" ca="1" si="159"/>
        <v>1.3239770149027739E-2</v>
      </c>
      <c r="G2026" s="7">
        <f t="shared" ca="1" si="155"/>
        <v>241.82577054137772</v>
      </c>
      <c r="H2026" s="7">
        <f ca="1">(G2026+DCF!$D$40+DCF!$D$41+DCF!$D$42-DCF!$D$43-DCF!$D$44)/DCF!$C$35</f>
        <v>2.0069577296612353</v>
      </c>
    </row>
    <row r="2027" spans="3:8" x14ac:dyDescent="0.35">
      <c r="C2027" s="8">
        <f t="shared" ca="1" si="156"/>
        <v>5.9796772051415537E-2</v>
      </c>
      <c r="D2027" s="7">
        <f t="shared" ca="1" si="157"/>
        <v>7.5379743272023791E-2</v>
      </c>
      <c r="E2027" s="7">
        <f t="shared" ca="1" si="158"/>
        <v>0.1270403743137174</v>
      </c>
      <c r="F2027" s="7">
        <f t="shared" ca="1" si="159"/>
        <v>1.5040642306566047E-2</v>
      </c>
      <c r="G2027" s="7">
        <f t="shared" ca="1" si="155"/>
        <v>287.21004980325932</v>
      </c>
      <c r="H2027" s="7">
        <f ca="1">(G2027+DCF!$D$40+DCF!$D$41+DCF!$D$42-DCF!$D$43-DCF!$D$44)/DCF!$C$35</f>
        <v>2.2631055977156525</v>
      </c>
    </row>
    <row r="2028" spans="3:8" x14ac:dyDescent="0.35">
      <c r="C2028" s="8">
        <f t="shared" ca="1" si="156"/>
        <v>0.92872268108944911</v>
      </c>
      <c r="D2028" s="7">
        <f t="shared" ca="1" si="157"/>
        <v>0.10108117227971217</v>
      </c>
      <c r="E2028" s="7">
        <f t="shared" ca="1" si="158"/>
        <v>0.33460855987488125</v>
      </c>
      <c r="F2028" s="7">
        <f t="shared" ca="1" si="159"/>
        <v>1.8180569171822716E-2</v>
      </c>
      <c r="G2028" s="7">
        <f t="shared" ca="1" si="155"/>
        <v>201.84451514410426</v>
      </c>
      <c r="H2028" s="7">
        <f ca="1">(G2028+DCF!$D$40+DCF!$D$41+DCF!$D$42-DCF!$D$43-DCF!$D$44)/DCF!$C$35</f>
        <v>1.781304408760042</v>
      </c>
    </row>
    <row r="2029" spans="3:8" x14ac:dyDescent="0.35">
      <c r="C2029" s="8">
        <f t="shared" ca="1" si="156"/>
        <v>0.74715898533802827</v>
      </c>
      <c r="D2029" s="7">
        <f t="shared" ca="1" si="157"/>
        <v>9.3202066425814148E-2</v>
      </c>
      <c r="E2029" s="7">
        <f t="shared" ca="1" si="158"/>
        <v>0.35848342531793731</v>
      </c>
      <c r="F2029" s="7">
        <f t="shared" ca="1" si="159"/>
        <v>1.8467389507019708E-2</v>
      </c>
      <c r="G2029" s="7">
        <f t="shared" ca="1" si="155"/>
        <v>225.12093463486872</v>
      </c>
      <c r="H2029" s="7">
        <f ca="1">(G2029+DCF!$D$40+DCF!$D$41+DCF!$D$42-DCF!$D$43-DCF!$D$44)/DCF!$C$35</f>
        <v>1.9126760053892577</v>
      </c>
    </row>
    <row r="2030" spans="3:8" x14ac:dyDescent="0.35">
      <c r="C2030" s="8">
        <f t="shared" ca="1" si="156"/>
        <v>0.80722412798797538</v>
      </c>
      <c r="D2030" s="7">
        <f t="shared" ca="1" si="157"/>
        <v>9.5332421018947289E-2</v>
      </c>
      <c r="E2030" s="7">
        <f t="shared" ca="1" si="158"/>
        <v>0.33979689394761048</v>
      </c>
      <c r="F2030" s="7">
        <f t="shared" ca="1" si="159"/>
        <v>1.8243747860622744E-2</v>
      </c>
      <c r="G2030" s="7">
        <f t="shared" ca="1" si="155"/>
        <v>218.04988950012239</v>
      </c>
      <c r="H2030" s="7">
        <f ca="1">(G2030+DCF!$D$40+DCF!$D$41+DCF!$D$42-DCF!$D$43-DCF!$D$44)/DCF!$C$35</f>
        <v>1.8727671830913331</v>
      </c>
    </row>
    <row r="2031" spans="3:8" x14ac:dyDescent="0.35">
      <c r="C2031" s="8">
        <f t="shared" ca="1" si="156"/>
        <v>0.84136935018608316</v>
      </c>
      <c r="D2031" s="7">
        <f t="shared" ca="1" si="157"/>
        <v>9.6694670045717357E-2</v>
      </c>
      <c r="E2031" s="7">
        <f t="shared" ca="1" si="158"/>
        <v>0.52984377241558589</v>
      </c>
      <c r="F2031" s="7">
        <f t="shared" ca="1" si="159"/>
        <v>2.0303029054550961E-2</v>
      </c>
      <c r="G2031" s="7">
        <f t="shared" ca="1" si="155"/>
        <v>217.99824414825054</v>
      </c>
      <c r="H2031" s="7">
        <f ca="1">(G2031+DCF!$D$40+DCF!$D$41+DCF!$D$42-DCF!$D$43-DCF!$D$44)/DCF!$C$35</f>
        <v>1.8724756978679902</v>
      </c>
    </row>
    <row r="2032" spans="3:8" x14ac:dyDescent="0.35">
      <c r="C2032" s="8">
        <f t="shared" ca="1" si="156"/>
        <v>2.7286486818570932E-2</v>
      </c>
      <c r="D2032" s="7">
        <f t="shared" ca="1" si="157"/>
        <v>7.3634096809413366E-2</v>
      </c>
      <c r="E2032" s="7">
        <f t="shared" ca="1" si="158"/>
        <v>0.7633639471427861</v>
      </c>
      <c r="F2032" s="7">
        <f t="shared" ca="1" si="159"/>
        <v>2.3120522507381627E-2</v>
      </c>
      <c r="G2032" s="7">
        <f t="shared" ca="1" si="155"/>
        <v>332.156738271584</v>
      </c>
      <c r="H2032" s="7">
        <f ca="1">(G2032+DCF!$D$40+DCF!$D$41+DCF!$D$42-DCF!$D$43-DCF!$D$44)/DCF!$C$35</f>
        <v>2.5167837130126651</v>
      </c>
    </row>
    <row r="2033" spans="3:8" x14ac:dyDescent="0.35">
      <c r="C2033" s="8">
        <f t="shared" ca="1" si="156"/>
        <v>0.88858204519177608</v>
      </c>
      <c r="D2033" s="7">
        <f t="shared" ca="1" si="157"/>
        <v>9.8849105974587612E-2</v>
      </c>
      <c r="E2033" s="7">
        <f t="shared" ca="1" si="158"/>
        <v>0.63071942910810441</v>
      </c>
      <c r="F2033" s="7">
        <f t="shared" ca="1" si="159"/>
        <v>2.1406041995775223E-2</v>
      </c>
      <c r="G2033" s="7">
        <f t="shared" ca="1" si="155"/>
        <v>213.72264502830117</v>
      </c>
      <c r="H2033" s="7">
        <f ca="1">(G2033+DCF!$D$40+DCF!$D$41+DCF!$D$42-DCF!$D$43-DCF!$D$44)/DCF!$C$35</f>
        <v>1.8483443110300324</v>
      </c>
    </row>
    <row r="2034" spans="3:8" x14ac:dyDescent="0.35">
      <c r="C2034" s="8">
        <f t="shared" ca="1" si="156"/>
        <v>8.5615195055501081E-2</v>
      </c>
      <c r="D2034" s="7">
        <f t="shared" ca="1" si="157"/>
        <v>7.64372163554492E-2</v>
      </c>
      <c r="E2034" s="7">
        <f t="shared" ca="1" si="158"/>
        <v>0.52309311210234299</v>
      </c>
      <c r="F2034" s="7">
        <f t="shared" ca="1" si="159"/>
        <v>2.0233660994029984E-2</v>
      </c>
      <c r="G2034" s="7">
        <f t="shared" ca="1" si="155"/>
        <v>301.4782128162683</v>
      </c>
      <c r="H2034" s="7">
        <f ca="1">(G2034+DCF!$D$40+DCF!$D$41+DCF!$D$42-DCF!$D$43-DCF!$D$44)/DCF!$C$35</f>
        <v>2.3436347940866251</v>
      </c>
    </row>
    <row r="2035" spans="3:8" x14ac:dyDescent="0.35">
      <c r="C2035" s="8">
        <f t="shared" ca="1" si="156"/>
        <v>0.56858260501064695</v>
      </c>
      <c r="D2035" s="7">
        <f t="shared" ca="1" si="157"/>
        <v>8.8057761900660225E-2</v>
      </c>
      <c r="E2035" s="7">
        <f t="shared" ca="1" si="158"/>
        <v>0.28215117580848337</v>
      </c>
      <c r="F2035" s="7">
        <f t="shared" ca="1" si="159"/>
        <v>1.7512006067735612E-2</v>
      </c>
      <c r="G2035" s="7">
        <f t="shared" ca="1" si="155"/>
        <v>240.45750656899338</v>
      </c>
      <c r="H2035" s="7">
        <f ca="1">(G2035+DCF!$D$40+DCF!$D$41+DCF!$D$42-DCF!$D$43-DCF!$D$44)/DCF!$C$35</f>
        <v>1.9992352780731084</v>
      </c>
    </row>
    <row r="2036" spans="3:8" x14ac:dyDescent="0.35">
      <c r="C2036" s="8">
        <f t="shared" ca="1" si="156"/>
        <v>0.24518633880503982</v>
      </c>
      <c r="D2036" s="7">
        <f t="shared" ca="1" si="157"/>
        <v>8.0893584716778932E-2</v>
      </c>
      <c r="E2036" s="7">
        <f t="shared" ca="1" si="158"/>
        <v>0.47833968192243603</v>
      </c>
      <c r="F2036" s="7">
        <f t="shared" ca="1" si="159"/>
        <v>1.9780998741666785E-2</v>
      </c>
      <c r="G2036" s="7">
        <f t="shared" ca="1" si="155"/>
        <v>276.71839308808245</v>
      </c>
      <c r="H2036" s="7">
        <f ca="1">(G2036+DCF!$D$40+DCF!$D$41+DCF!$D$42-DCF!$D$43-DCF!$D$44)/DCF!$C$35</f>
        <v>2.2038909193367333</v>
      </c>
    </row>
    <row r="2037" spans="3:8" x14ac:dyDescent="0.35">
      <c r="C2037" s="8">
        <f t="shared" ca="1" si="156"/>
        <v>0.44929882788880959</v>
      </c>
      <c r="D2037" s="7">
        <f t="shared" ca="1" si="157"/>
        <v>8.520922534336435E-2</v>
      </c>
      <c r="E2037" s="7">
        <f t="shared" ca="1" si="158"/>
        <v>0.86813613575312387</v>
      </c>
      <c r="F2037" s="7">
        <f t="shared" ca="1" si="159"/>
        <v>2.4864557190526292E-2</v>
      </c>
      <c r="G2037" s="7">
        <f t="shared" ca="1" si="155"/>
        <v>273.39712360691829</v>
      </c>
      <c r="H2037" s="7">
        <f ca="1">(G2037+DCF!$D$40+DCF!$D$41+DCF!$D$42-DCF!$D$43-DCF!$D$44)/DCF!$C$35</f>
        <v>2.1851457478661152</v>
      </c>
    </row>
    <row r="2038" spans="3:8" x14ac:dyDescent="0.35">
      <c r="C2038" s="8">
        <f t="shared" ca="1" si="156"/>
        <v>0.897315082818962</v>
      </c>
      <c r="D2038" s="7">
        <f t="shared" ca="1" si="157"/>
        <v>9.9295030706534546E-2</v>
      </c>
      <c r="E2038" s="7">
        <f t="shared" ca="1" si="158"/>
        <v>0.10617562551042314</v>
      </c>
      <c r="F2038" s="7">
        <f t="shared" ca="1" si="159"/>
        <v>1.4608158536995514E-2</v>
      </c>
      <c r="G2038" s="7">
        <f t="shared" ca="1" si="155"/>
        <v>200.65737619272042</v>
      </c>
      <c r="H2038" s="7">
        <f ca="1">(G2038+DCF!$D$40+DCF!$D$41+DCF!$D$42-DCF!$D$43-DCF!$D$44)/DCF!$C$35</f>
        <v>1.7746042227831609</v>
      </c>
    </row>
    <row r="2039" spans="3:8" x14ac:dyDescent="0.35">
      <c r="C2039" s="8">
        <f t="shared" ca="1" si="156"/>
        <v>0.67899731929086837</v>
      </c>
      <c r="D2039" s="7">
        <f t="shared" ca="1" si="157"/>
        <v>9.1072797574089537E-2</v>
      </c>
      <c r="E2039" s="7">
        <f t="shared" ca="1" si="158"/>
        <v>0.77839037298729286</v>
      </c>
      <c r="F2039" s="7">
        <f t="shared" ca="1" si="159"/>
        <v>2.3342528602949809E-2</v>
      </c>
      <c r="G2039" s="7">
        <f t="shared" ca="1" si="155"/>
        <v>243.98009168581444</v>
      </c>
      <c r="H2039" s="7">
        <f ca="1">(G2039+DCF!$D$40+DCF!$D$41+DCF!$D$42-DCF!$D$43-DCF!$D$44)/DCF!$C$35</f>
        <v>2.0191166705373882</v>
      </c>
    </row>
    <row r="2040" spans="3:8" x14ac:dyDescent="0.35">
      <c r="C2040" s="8">
        <f t="shared" ca="1" si="156"/>
        <v>0.78216531851945226</v>
      </c>
      <c r="D2040" s="7">
        <f t="shared" ca="1" si="157"/>
        <v>9.4408223175908038E-2</v>
      </c>
      <c r="E2040" s="7">
        <f t="shared" ca="1" si="158"/>
        <v>0.53679984927276214</v>
      </c>
      <c r="F2040" s="7">
        <f t="shared" ca="1" si="159"/>
        <v>2.0375030901584795E-2</v>
      </c>
      <c r="G2040" s="7">
        <f t="shared" ca="1" si="155"/>
        <v>225.29946858287684</v>
      </c>
      <c r="H2040" s="7">
        <f ca="1">(G2040+DCF!$D$40+DCF!$D$41+DCF!$D$42-DCF!$D$43-DCF!$D$44)/DCF!$C$35</f>
        <v>1.9136836470418603</v>
      </c>
    </row>
    <row r="2041" spans="3:8" x14ac:dyDescent="0.35">
      <c r="C2041" s="8">
        <f t="shared" ca="1" si="156"/>
        <v>0.17235437329208148</v>
      </c>
      <c r="D2041" s="7">
        <f t="shared" ca="1" si="157"/>
        <v>7.9133428527851282E-2</v>
      </c>
      <c r="E2041" s="7">
        <f t="shared" ca="1" si="158"/>
        <v>0.64405603477127782</v>
      </c>
      <c r="F2041" s="7">
        <f t="shared" ca="1" si="159"/>
        <v>2.1562654857969574E-2</v>
      </c>
      <c r="G2041" s="7">
        <f t="shared" ca="1" si="155"/>
        <v>292.00945581923582</v>
      </c>
      <c r="H2041" s="7">
        <f ca="1">(G2041+DCF!$D$40+DCF!$D$41+DCF!$D$42-DCF!$D$43-DCF!$D$44)/DCF!$C$35</f>
        <v>2.2901933390858775</v>
      </c>
    </row>
    <row r="2042" spans="3:8" x14ac:dyDescent="0.35">
      <c r="C2042" s="8">
        <f t="shared" ca="1" si="156"/>
        <v>0.38783818241473211</v>
      </c>
      <c r="D2042" s="7">
        <f t="shared" ca="1" si="157"/>
        <v>8.3862429561545729E-2</v>
      </c>
      <c r="E2042" s="7">
        <f t="shared" ca="1" si="158"/>
        <v>0.58170381263355375</v>
      </c>
      <c r="F2042" s="7">
        <f t="shared" ca="1" si="159"/>
        <v>2.0853457621959583E-2</v>
      </c>
      <c r="G2042" s="7">
        <f t="shared" ca="1" si="155"/>
        <v>266.5293373059319</v>
      </c>
      <c r="H2042" s="7">
        <f ca="1">(G2042+DCF!$D$40+DCF!$D$41+DCF!$D$42-DCF!$D$43-DCF!$D$44)/DCF!$C$35</f>
        <v>2.1463841139289528</v>
      </c>
    </row>
    <row r="2043" spans="3:8" x14ac:dyDescent="0.35">
      <c r="C2043" s="8">
        <f t="shared" ca="1" si="156"/>
        <v>0.28944434528382124</v>
      </c>
      <c r="D2043" s="7">
        <f t="shared" ca="1" si="157"/>
        <v>8.1836007059704285E-2</v>
      </c>
      <c r="E2043" s="7">
        <f t="shared" ca="1" si="158"/>
        <v>0.45222436638387775</v>
      </c>
      <c r="F2043" s="7">
        <f t="shared" ca="1" si="159"/>
        <v>1.9510250957612819E-2</v>
      </c>
      <c r="G2043" s="7">
        <f t="shared" ca="1" si="155"/>
        <v>271.41571709350865</v>
      </c>
      <c r="H2043" s="7">
        <f ca="1">(G2043+DCF!$D$40+DCF!$D$41+DCF!$D$42-DCF!$D$43-DCF!$D$44)/DCF!$C$35</f>
        <v>2.1739627333418481</v>
      </c>
    </row>
    <row r="2044" spans="3:8" x14ac:dyDescent="0.35">
      <c r="C2044" s="8">
        <f t="shared" ca="1" si="156"/>
        <v>0.40766320508213183</v>
      </c>
      <c r="D2044" s="7">
        <f t="shared" ca="1" si="157"/>
        <v>8.4289148922520263E-2</v>
      </c>
      <c r="E2044" s="7">
        <f t="shared" ca="1" si="158"/>
        <v>0.34693145067564723</v>
      </c>
      <c r="F2044" s="7">
        <f t="shared" ca="1" si="159"/>
        <v>1.832984334397289E-2</v>
      </c>
      <c r="G2044" s="7">
        <f t="shared" ca="1" si="155"/>
        <v>257.16373487416672</v>
      </c>
      <c r="H2044" s="7">
        <f ca="1">(G2044+DCF!$D$40+DCF!$D$41+DCF!$D$42-DCF!$D$43-DCF!$D$44)/DCF!$C$35</f>
        <v>2.0935248610123418</v>
      </c>
    </row>
    <row r="2045" spans="3:8" x14ac:dyDescent="0.35">
      <c r="C2045" s="8">
        <f t="shared" ca="1" si="156"/>
        <v>0.69870521574005662</v>
      </c>
      <c r="D2045" s="7">
        <f t="shared" ca="1" si="157"/>
        <v>9.1663016081315427E-2</v>
      </c>
      <c r="E2045" s="7">
        <f t="shared" ca="1" si="158"/>
        <v>0.26758009295084273</v>
      </c>
      <c r="F2045" s="7">
        <f t="shared" ca="1" si="159"/>
        <v>1.7315464345492262E-2</v>
      </c>
      <c r="G2045" s="7">
        <f t="shared" ca="1" si="155"/>
        <v>227.63356956342514</v>
      </c>
      <c r="H2045" s="7">
        <f ca="1">(G2045+DCF!$D$40+DCF!$D$41+DCF!$D$42-DCF!$D$43-DCF!$D$44)/DCF!$C$35</f>
        <v>1.9268572613355068</v>
      </c>
    </row>
    <row r="2046" spans="3:8" x14ac:dyDescent="0.35">
      <c r="C2046" s="8">
        <f t="shared" ca="1" si="156"/>
        <v>0.45997738245453612</v>
      </c>
      <c r="D2046" s="7">
        <f t="shared" ca="1" si="157"/>
        <v>8.5450758847150948E-2</v>
      </c>
      <c r="E2046" s="7">
        <f t="shared" ca="1" si="158"/>
        <v>8.5142820799579133E-2</v>
      </c>
      <c r="F2046" s="7">
        <f t="shared" ca="1" si="159"/>
        <v>1.4126568084972767E-2</v>
      </c>
      <c r="G2046" s="7">
        <f t="shared" ca="1" si="155"/>
        <v>241.64367388796938</v>
      </c>
      <c r="H2046" s="7">
        <f ca="1">(G2046+DCF!$D$40+DCF!$D$41+DCF!$D$42-DCF!$D$43-DCF!$D$44)/DCF!$C$35</f>
        <v>2.0059299801781769</v>
      </c>
    </row>
    <row r="2047" spans="3:8" x14ac:dyDescent="0.35">
      <c r="C2047" s="8">
        <f t="shared" ca="1" si="156"/>
        <v>0.30649600743036642</v>
      </c>
      <c r="D2047" s="7">
        <f t="shared" ca="1" si="157"/>
        <v>8.2180034944168048E-2</v>
      </c>
      <c r="E2047" s="7">
        <f t="shared" ca="1" si="158"/>
        <v>0.49287063094377181</v>
      </c>
      <c r="F2047" s="7">
        <f t="shared" ca="1" si="159"/>
        <v>1.992845034175799E-2</v>
      </c>
      <c r="G2047" s="7">
        <f t="shared" ca="1" si="155"/>
        <v>271.19059239050847</v>
      </c>
      <c r="H2047" s="7">
        <f ca="1">(G2047+DCF!$D$40+DCF!$D$41+DCF!$D$42-DCF!$D$43-DCF!$D$44)/DCF!$C$35</f>
        <v>2.1726921344988623</v>
      </c>
    </row>
    <row r="2048" spans="3:8" x14ac:dyDescent="0.35">
      <c r="C2048" s="8">
        <f t="shared" ca="1" si="156"/>
        <v>0.9680823040568467</v>
      </c>
      <c r="D2048" s="7">
        <f t="shared" ca="1" si="157"/>
        <v>0.10403173822017171</v>
      </c>
      <c r="E2048" s="7">
        <f t="shared" ca="1" si="158"/>
        <v>0.85240573390933494</v>
      </c>
      <c r="F2048" s="7">
        <f t="shared" ca="1" si="159"/>
        <v>2.4566874452202212E-2</v>
      </c>
      <c r="G2048" s="7">
        <f t="shared" ca="1" si="155"/>
        <v>204.84987628065912</v>
      </c>
      <c r="H2048" s="7">
        <f ca="1">(G2048+DCF!$D$40+DCF!$D$41+DCF!$D$42-DCF!$D$43-DCF!$D$44)/DCF!$C$35</f>
        <v>1.7982666005229662</v>
      </c>
    </row>
    <row r="2049" spans="3:8" x14ac:dyDescent="0.35">
      <c r="C2049" s="8">
        <f t="shared" ca="1" si="156"/>
        <v>0.5562295849017389</v>
      </c>
      <c r="D2049" s="7">
        <f t="shared" ca="1" si="157"/>
        <v>8.7745836720971526E-2</v>
      </c>
      <c r="E2049" s="7">
        <f t="shared" ca="1" si="158"/>
        <v>0.15566710662194183</v>
      </c>
      <c r="F2049" s="7">
        <f t="shared" ca="1" si="159"/>
        <v>1.5579733087199454E-2</v>
      </c>
      <c r="G2049" s="7">
        <f t="shared" ca="1" si="155"/>
        <v>236.95345300810965</v>
      </c>
      <c r="H2049" s="7">
        <f ca="1">(G2049+DCF!$D$40+DCF!$D$41+DCF!$D$42-DCF!$D$43-DCF!$D$44)/DCF!$C$35</f>
        <v>1.9794584773005397</v>
      </c>
    </row>
    <row r="2050" spans="3:8" x14ac:dyDescent="0.35">
      <c r="C2050" s="8">
        <f t="shared" ca="1" si="156"/>
        <v>0.24071572398487839</v>
      </c>
      <c r="D2050" s="7">
        <f t="shared" ca="1" si="157"/>
        <v>8.0793813524824357E-2</v>
      </c>
      <c r="E2050" s="7">
        <f t="shared" ca="1" si="158"/>
        <v>0.63898681885330932</v>
      </c>
      <c r="F2050" s="7">
        <f t="shared" ca="1" si="159"/>
        <v>2.1502786560916684E-2</v>
      </c>
      <c r="G2050" s="7">
        <f t="shared" ca="1" si="155"/>
        <v>283.21113549341442</v>
      </c>
      <c r="H2050" s="7">
        <f ca="1">(G2050+DCF!$D$40+DCF!$D$41+DCF!$D$42-DCF!$D$43-DCF!$D$44)/DCF!$C$35</f>
        <v>2.2405358138244407</v>
      </c>
    </row>
    <row r="2051" spans="3:8" x14ac:dyDescent="0.35">
      <c r="C2051" s="8">
        <f t="shared" ca="1" si="156"/>
        <v>0.68876398676646</v>
      </c>
      <c r="D2051" s="7">
        <f t="shared" ca="1" si="157"/>
        <v>9.1362956490670777E-2</v>
      </c>
      <c r="E2051" s="7">
        <f t="shared" ca="1" si="158"/>
        <v>0.85695486121018349</v>
      </c>
      <c r="F2051" s="7">
        <f t="shared" ca="1" si="159"/>
        <v>2.4651259236234822E-2</v>
      </c>
      <c r="G2051" s="7">
        <f t="shared" ca="1" si="155"/>
        <v>246.32198512545403</v>
      </c>
      <c r="H2051" s="7">
        <f ca="1">(G2051+DCF!$D$40+DCF!$D$41+DCF!$D$42-DCF!$D$43-DCF!$D$44)/DCF!$C$35</f>
        <v>2.0323342652977425</v>
      </c>
    </row>
    <row r="2052" spans="3:8" x14ac:dyDescent="0.35">
      <c r="C2052" s="8">
        <f t="shared" ca="1" si="156"/>
        <v>0.26939801347885384</v>
      </c>
      <c r="D2052" s="7">
        <f t="shared" ca="1" si="157"/>
        <v>8.1418784459116711E-2</v>
      </c>
      <c r="E2052" s="7">
        <f t="shared" ca="1" si="158"/>
        <v>0.27813582582473761</v>
      </c>
      <c r="F2052" s="7">
        <f t="shared" ca="1" si="159"/>
        <v>1.745836209666355E-2</v>
      </c>
      <c r="G2052" s="7">
        <f t="shared" ca="1" si="155"/>
        <v>266.81535792056405</v>
      </c>
      <c r="H2052" s="7">
        <f ca="1">(G2052+DCF!$D$40+DCF!$D$41+DCF!$D$42-DCF!$D$43-DCF!$D$44)/DCF!$C$35</f>
        <v>2.1479984079499044</v>
      </c>
    </row>
    <row r="2053" spans="3:8" x14ac:dyDescent="0.35">
      <c r="C2053" s="8">
        <f t="shared" ca="1" si="156"/>
        <v>0.22154530866591604</v>
      </c>
      <c r="D2053" s="7">
        <f t="shared" ca="1" si="157"/>
        <v>8.0355091954893668E-2</v>
      </c>
      <c r="E2053" s="7">
        <f t="shared" ca="1" si="158"/>
        <v>0.36645071605423474</v>
      </c>
      <c r="F2053" s="7">
        <f t="shared" ca="1" si="159"/>
        <v>1.8560966254509297E-2</v>
      </c>
      <c r="G2053" s="7">
        <f t="shared" ca="1" si="155"/>
        <v>275.1775796526498</v>
      </c>
      <c r="H2053" s="7">
        <f ca="1">(G2053+DCF!$D$40+DCF!$D$41+DCF!$D$42-DCF!$D$43-DCF!$D$44)/DCF!$C$35</f>
        <v>2.1951946023967142</v>
      </c>
    </row>
    <row r="2054" spans="3:8" x14ac:dyDescent="0.35">
      <c r="C2054" s="8">
        <f t="shared" ca="1" si="156"/>
        <v>0.27783145765970108</v>
      </c>
      <c r="D2054" s="7">
        <f t="shared" ca="1" si="157"/>
        <v>8.1596138387726128E-2</v>
      </c>
      <c r="E2054" s="7">
        <f t="shared" ca="1" si="158"/>
        <v>0.85677046459735584</v>
      </c>
      <c r="F2054" s="7">
        <f t="shared" ca="1" si="159"/>
        <v>2.4647812869440303E-2</v>
      </c>
      <c r="G2054" s="7">
        <f t="shared" ca="1" si="155"/>
        <v>290.80666936750083</v>
      </c>
      <c r="H2054" s="7">
        <f ca="1">(G2054+DCF!$D$40+DCF!$D$41+DCF!$D$42-DCF!$D$43-DCF!$D$44)/DCF!$C$35</f>
        <v>2.283404838963206</v>
      </c>
    </row>
    <row r="2055" spans="3:8" x14ac:dyDescent="0.35">
      <c r="C2055" s="8">
        <f t="shared" ca="1" si="156"/>
        <v>0.16275840221852533</v>
      </c>
      <c r="D2055" s="7">
        <f t="shared" ca="1" si="157"/>
        <v>7.887553190934303E-2</v>
      </c>
      <c r="E2055" s="7">
        <f t="shared" ca="1" si="158"/>
        <v>0.60487552985137105</v>
      </c>
      <c r="F2055" s="7">
        <f t="shared" ca="1" si="159"/>
        <v>2.111040529440595E-2</v>
      </c>
      <c r="G2055" s="7">
        <f t="shared" ca="1" si="155"/>
        <v>291.64215575206902</v>
      </c>
      <c r="H2055" s="7">
        <f ca="1">(G2055+DCF!$D$40+DCF!$D$41+DCF!$D$42-DCF!$D$43-DCF!$D$44)/DCF!$C$35</f>
        <v>2.2881203056330794</v>
      </c>
    </row>
    <row r="2056" spans="3:8" x14ac:dyDescent="0.35">
      <c r="C2056" s="8">
        <f t="shared" ca="1" si="156"/>
        <v>0.40277663659370899</v>
      </c>
      <c r="D2056" s="7">
        <f t="shared" ca="1" si="157"/>
        <v>8.4183314047666366E-2</v>
      </c>
      <c r="E2056" s="7">
        <f t="shared" ca="1" si="158"/>
        <v>0.61015280670836547</v>
      </c>
      <c r="F2056" s="7">
        <f t="shared" ca="1" si="159"/>
        <v>2.1169969498448668E-2</v>
      </c>
      <c r="G2056" s="7">
        <f t="shared" ca="1" si="155"/>
        <v>266.0912499189825</v>
      </c>
      <c r="H2056" s="7">
        <f ca="1">(G2056+DCF!$D$40+DCF!$D$41+DCF!$D$42-DCF!$D$43-DCF!$D$44)/DCF!$C$35</f>
        <v>2.1439115584094282</v>
      </c>
    </row>
    <row r="2057" spans="3:8" x14ac:dyDescent="0.35">
      <c r="C2057" s="8">
        <f t="shared" ca="1" si="156"/>
        <v>0.1910516676195998</v>
      </c>
      <c r="D2057" s="7">
        <f t="shared" ca="1" si="157"/>
        <v>7.961608065315004E-2</v>
      </c>
      <c r="E2057" s="7">
        <f t="shared" ca="1" si="158"/>
        <v>4.7328991346235472E-2</v>
      </c>
      <c r="F2057" s="7">
        <f t="shared" ca="1" si="159"/>
        <v>1.307665374542653E-2</v>
      </c>
      <c r="G2057" s="7">
        <f t="shared" ca="1" si="155"/>
        <v>261.51193301176096</v>
      </c>
      <c r="H2057" s="7">
        <f ca="1">(G2057+DCF!$D$40+DCF!$D$41+DCF!$D$42-DCF!$D$43-DCF!$D$44)/DCF!$C$35</f>
        <v>2.1180659950996779</v>
      </c>
    </row>
    <row r="2058" spans="3:8" x14ac:dyDescent="0.35">
      <c r="C2058" s="8">
        <f t="shared" ca="1" si="156"/>
        <v>0.32630551716954348</v>
      </c>
      <c r="D2058" s="7">
        <f t="shared" ca="1" si="157"/>
        <v>8.2580243567114076E-2</v>
      </c>
      <c r="E2058" s="7">
        <f t="shared" ca="1" si="158"/>
        <v>0.66128319142863945</v>
      </c>
      <c r="F2058" s="7">
        <f t="shared" ca="1" si="159"/>
        <v>2.1769364440441301E-2</v>
      </c>
      <c r="G2058" s="7">
        <f t="shared" ca="1" si="155"/>
        <v>275.41379992226297</v>
      </c>
      <c r="H2058" s="7">
        <f ca="1">(G2058+DCF!$D$40+DCF!$D$41+DCF!$D$42-DCF!$D$43-DCF!$D$44)/DCF!$C$35</f>
        <v>2.1965278243721804</v>
      </c>
    </row>
    <row r="2059" spans="3:8" x14ac:dyDescent="0.35">
      <c r="C2059" s="8">
        <f t="shared" ca="1" si="156"/>
        <v>0.33324219696531088</v>
      </c>
      <c r="D2059" s="7">
        <f t="shared" ca="1" si="157"/>
        <v>8.272177226822254E-2</v>
      </c>
      <c r="E2059" s="7">
        <f t="shared" ca="1" si="158"/>
        <v>0.22019289315541823</v>
      </c>
      <c r="F2059" s="7">
        <f t="shared" ca="1" si="159"/>
        <v>1.6636156917304145E-2</v>
      </c>
      <c r="G2059" s="7">
        <f t="shared" ca="1" si="155"/>
        <v>258.80441092186931</v>
      </c>
      <c r="H2059" s="7">
        <f ca="1">(G2059+DCF!$D$40+DCF!$D$41+DCF!$D$42-DCF!$D$43-DCF!$D$44)/DCF!$C$35</f>
        <v>2.1027848003266132</v>
      </c>
    </row>
    <row r="2060" spans="3:8" x14ac:dyDescent="0.35">
      <c r="C2060" s="8">
        <f t="shared" ca="1" si="156"/>
        <v>0.40569041544089379</v>
      </c>
      <c r="D2060" s="7">
        <f t="shared" ca="1" si="157"/>
        <v>8.4246369258530518E-2</v>
      </c>
      <c r="E2060" s="7">
        <f t="shared" ca="1" si="158"/>
        <v>0.69928531157864171</v>
      </c>
      <c r="F2060" s="7">
        <f t="shared" ca="1" si="159"/>
        <v>2.2244812208316832E-2</v>
      </c>
      <c r="G2060" s="7">
        <f t="shared" ca="1" si="155"/>
        <v>269.21950441865118</v>
      </c>
      <c r="H2060" s="7">
        <f ca="1">(G2060+DCF!$D$40+DCF!$D$41+DCF!$D$42-DCF!$D$43-DCF!$D$44)/DCF!$C$35</f>
        <v>2.1615673575948255</v>
      </c>
    </row>
    <row r="2061" spans="3:8" x14ac:dyDescent="0.35">
      <c r="C2061" s="8">
        <f t="shared" ca="1" si="156"/>
        <v>0.86398752212459173</v>
      </c>
      <c r="D2061" s="7">
        <f t="shared" ca="1" si="157"/>
        <v>9.7679694593519384E-2</v>
      </c>
      <c r="E2061" s="7">
        <f t="shared" ca="1" si="158"/>
        <v>0.66027856695469778</v>
      </c>
      <c r="F2061" s="7">
        <f t="shared" ca="1" si="159"/>
        <v>2.175716756150773E-2</v>
      </c>
      <c r="G2061" s="7">
        <f t="shared" ca="1" si="155"/>
        <v>217.90134525233066</v>
      </c>
      <c r="H2061" s="7">
        <f ca="1">(G2061+DCF!$D$40+DCF!$D$41+DCF!$D$42-DCF!$D$43-DCF!$D$44)/DCF!$C$35</f>
        <v>1.8719288026432477</v>
      </c>
    </row>
    <row r="2062" spans="3:8" x14ac:dyDescent="0.35">
      <c r="C2062" s="8">
        <f t="shared" ca="1" si="156"/>
        <v>0.20157291700745916</v>
      </c>
      <c r="D2062" s="7">
        <f t="shared" ca="1" si="157"/>
        <v>7.9877311973994253E-2</v>
      </c>
      <c r="E2062" s="7">
        <f t="shared" ca="1" si="158"/>
        <v>0.4846132701463407</v>
      </c>
      <c r="F2062" s="7">
        <f t="shared" ca="1" si="159"/>
        <v>1.9844930371986799E-2</v>
      </c>
      <c r="G2062" s="7">
        <f t="shared" ca="1" si="155"/>
        <v>281.86936530560251</v>
      </c>
      <c r="H2062" s="7">
        <f ca="1">(G2062+DCF!$D$40+DCF!$D$41+DCF!$D$42-DCF!$D$43-DCF!$D$44)/DCF!$C$35</f>
        <v>2.2329628925702818</v>
      </c>
    </row>
    <row r="2063" spans="3:8" x14ac:dyDescent="0.35">
      <c r="C2063" s="8">
        <f t="shared" ca="1" si="156"/>
        <v>0.32387371907815998</v>
      </c>
      <c r="D2063" s="7">
        <f t="shared" ca="1" si="157"/>
        <v>8.2530800348230515E-2</v>
      </c>
      <c r="E2063" s="7">
        <f t="shared" ca="1" si="158"/>
        <v>0.61971510671653474</v>
      </c>
      <c r="F2063" s="7">
        <f t="shared" ca="1" si="159"/>
        <v>2.1278934775115312E-2</v>
      </c>
      <c r="G2063" s="7">
        <f t="shared" ca="1" si="155"/>
        <v>273.99954597724064</v>
      </c>
      <c r="H2063" s="7">
        <f ca="1">(G2063+DCF!$D$40+DCF!$D$41+DCF!$D$42-DCF!$D$43-DCF!$D$44)/DCF!$C$35</f>
        <v>2.1885458063959851</v>
      </c>
    </row>
    <row r="2064" spans="3:8" x14ac:dyDescent="0.35">
      <c r="C2064" s="8">
        <f t="shared" ca="1" si="156"/>
        <v>0.98362048143273717</v>
      </c>
      <c r="D2064" s="7">
        <f t="shared" ca="1" si="157"/>
        <v>0.1057245418115639</v>
      </c>
      <c r="E2064" s="7">
        <f t="shared" ca="1" si="158"/>
        <v>0.46502008650096138</v>
      </c>
      <c r="F2064" s="7">
        <f t="shared" ca="1" si="159"/>
        <v>1.9643859046055798E-2</v>
      </c>
      <c r="G2064" s="7">
        <f t="shared" ref="G2064:G2116" ca="1" si="160">$C$11/(1+D2064)^1
 +$D$11/(1+D2064)^2
 +$E$11/(1+D2064)^3
 +$F$11/(1+D2064)^4
 +$G$11/(1+D2064)^5
 +$H$11/(1+D2064)^6
 +$I$11/(1+D2064)^7
 + ( $I$11*(1+F2064)/(D2064-F2064) )/(1+D2064)^7</f>
        <v>192.55188140161576</v>
      </c>
      <c r="H2064" s="7">
        <f ca="1">(G2064+DCF!$D$40+DCF!$D$41+DCF!$D$42-DCF!$D$43-DCF!$D$44)/DCF!$C$35</f>
        <v>1.7288569895113206</v>
      </c>
    </row>
    <row r="2065" spans="3:8" x14ac:dyDescent="0.35">
      <c r="C2065" s="8">
        <f t="shared" ref="C2065:C2116" ca="1" si="161">RAND()</f>
        <v>1.2979346550873849E-2</v>
      </c>
      <c r="D2065" s="7">
        <f t="shared" ref="D2065:D2116" ca="1" si="162">IF(C2065&lt;($C$6-0.07)/(0.11-0.07),0.07+SQRT(C2065*(0.11-0.07)*($C$6-0.07)),0.11-SQRT((1-C2065)*(0.11-0.07)*(0.11-$C$6)))</f>
        <v>7.2506392573126355E-2</v>
      </c>
      <c r="E2065" s="7">
        <f t="shared" ref="E2065:E2116" ca="1" si="163">RAND()</f>
        <v>0.35128176508540432</v>
      </c>
      <c r="F2065" s="7">
        <f t="shared" ref="F2065:F2116" ca="1" si="164">MIN(
 IF(E2065&lt;(0.02-0.01)/(0.03-0.01),
   0.01+SQRT(E2065*(0.03-0.01)*(0.02-0.01)),
   0.03-SQRT((1-E2065)*(0.03-0.01)*(0.03-0.02))
 ),
 D2065-0.005
)</f>
        <v>1.8381906287777312E-2</v>
      </c>
      <c r="G2065" s="7">
        <f t="shared" ca="1" si="160"/>
        <v>316.59620179238175</v>
      </c>
      <c r="H2065" s="7">
        <f ca="1">(G2065+DCF!$D$40+DCF!$D$41+DCF!$D$42-DCF!$D$43-DCF!$D$44)/DCF!$C$35</f>
        <v>2.428960389391476</v>
      </c>
    </row>
    <row r="2066" spans="3:8" x14ac:dyDescent="0.35">
      <c r="C2066" s="8">
        <f t="shared" ca="1" si="161"/>
        <v>0.77247199322350035</v>
      </c>
      <c r="D2066" s="7">
        <f t="shared" ca="1" si="162"/>
        <v>9.4065093173709063E-2</v>
      </c>
      <c r="E2066" s="7">
        <f t="shared" ca="1" si="163"/>
        <v>0.25327694149189084</v>
      </c>
      <c r="F2066" s="7">
        <f t="shared" ca="1" si="164"/>
        <v>1.7117259886949343E-2</v>
      </c>
      <c r="G2066" s="7">
        <f t="shared" ca="1" si="160"/>
        <v>219.66264456658217</v>
      </c>
      <c r="H2066" s="7">
        <f ca="1">(G2066+DCF!$D$40+DCF!$D$41+DCF!$D$42-DCF!$D$43-DCF!$D$44)/DCF!$C$35</f>
        <v>1.8818695370052045</v>
      </c>
    </row>
    <row r="2067" spans="3:8" x14ac:dyDescent="0.35">
      <c r="C2067" s="8">
        <f t="shared" ca="1" si="161"/>
        <v>0.47719784508542196</v>
      </c>
      <c r="D2067" s="7">
        <f t="shared" ca="1" si="162"/>
        <v>8.5845348172977759E-2</v>
      </c>
      <c r="E2067" s="7">
        <f t="shared" ca="1" si="163"/>
        <v>0.57089512509866158</v>
      </c>
      <c r="F2067" s="7">
        <f t="shared" ca="1" si="164"/>
        <v>2.0736038915222729E-2</v>
      </c>
      <c r="G2067" s="7">
        <f t="shared" ca="1" si="160"/>
        <v>257.62693286341511</v>
      </c>
      <c r="H2067" s="7">
        <f ca="1">(G2067+DCF!$D$40+DCF!$D$41+DCF!$D$42-DCF!$D$43-DCF!$D$44)/DCF!$C$35</f>
        <v>2.0961391402156853</v>
      </c>
    </row>
    <row r="2068" spans="3:8" x14ac:dyDescent="0.35">
      <c r="C2068" s="8">
        <f t="shared" ca="1" si="161"/>
        <v>0.73184524521361893</v>
      </c>
      <c r="D2068" s="7">
        <f t="shared" ca="1" si="162"/>
        <v>9.2700846658243616E-2</v>
      </c>
      <c r="E2068" s="7">
        <f t="shared" ca="1" si="163"/>
        <v>0.43260054325635566</v>
      </c>
      <c r="F2068" s="7">
        <f t="shared" ca="1" si="164"/>
        <v>1.9301618603838319E-2</v>
      </c>
      <c r="G2068" s="7">
        <f t="shared" ca="1" si="160"/>
        <v>228.54898426030169</v>
      </c>
      <c r="H2068" s="7">
        <f ca="1">(G2068+DCF!$D$40+DCF!$D$41+DCF!$D$42-DCF!$D$43-DCF!$D$44)/DCF!$C$35</f>
        <v>1.9320238416316837</v>
      </c>
    </row>
    <row r="2069" spans="3:8" x14ac:dyDescent="0.35">
      <c r="C2069" s="8">
        <f t="shared" ca="1" si="161"/>
        <v>7.6338578615418595E-2</v>
      </c>
      <c r="D2069" s="7">
        <f t="shared" ca="1" si="162"/>
        <v>7.6078476128921019E-2</v>
      </c>
      <c r="E2069" s="7">
        <f t="shared" ca="1" si="163"/>
        <v>3.246847249177609E-2</v>
      </c>
      <c r="F2069" s="7">
        <f t="shared" ca="1" si="164"/>
        <v>1.2548272846136226E-2</v>
      </c>
      <c r="G2069" s="7">
        <f t="shared" ca="1" si="160"/>
        <v>275.39876706607845</v>
      </c>
      <c r="H2069" s="7">
        <f ca="1">(G2069+DCF!$D$40+DCF!$D$41+DCF!$D$42-DCF!$D$43-DCF!$D$44)/DCF!$C$35</f>
        <v>2.196442979264468</v>
      </c>
    </row>
    <row r="2070" spans="3:8" x14ac:dyDescent="0.35">
      <c r="C2070" s="8">
        <f t="shared" ca="1" si="161"/>
        <v>0.56276777520362653</v>
      </c>
      <c r="D2070" s="7">
        <f t="shared" ca="1" si="162"/>
        <v>8.7910383369719777E-2</v>
      </c>
      <c r="E2070" s="7">
        <f t="shared" ca="1" si="163"/>
        <v>8.2907497091506244E-2</v>
      </c>
      <c r="F2070" s="7">
        <f t="shared" ca="1" si="164"/>
        <v>1.4072038729960859E-2</v>
      </c>
      <c r="G2070" s="7">
        <f t="shared" ca="1" si="160"/>
        <v>232.94933243763802</v>
      </c>
      <c r="H2070" s="7">
        <f ca="1">(G2070+DCF!$D$40+DCF!$D$41+DCF!$D$42-DCF!$D$43-DCF!$D$44)/DCF!$C$35</f>
        <v>1.9568593093895361</v>
      </c>
    </row>
    <row r="2071" spans="3:8" x14ac:dyDescent="0.35">
      <c r="C2071" s="8">
        <f t="shared" ca="1" si="161"/>
        <v>4.1251220813909084E-2</v>
      </c>
      <c r="D2071" s="7">
        <f t="shared" ca="1" si="162"/>
        <v>7.4468287241654468E-2</v>
      </c>
      <c r="E2071" s="7">
        <f t="shared" ca="1" si="163"/>
        <v>0.50997766878462625</v>
      </c>
      <c r="F2071" s="7">
        <f t="shared" ca="1" si="164"/>
        <v>2.0100279486618085E-2</v>
      </c>
      <c r="G2071" s="7">
        <f t="shared" ca="1" si="160"/>
        <v>312.36551626336745</v>
      </c>
      <c r="H2071" s="7">
        <f ca="1">(G2071+DCF!$D$40+DCF!$D$41+DCF!$D$42-DCF!$D$43-DCF!$D$44)/DCF!$C$35</f>
        <v>2.4050824938670696</v>
      </c>
    </row>
    <row r="2072" spans="3:8" x14ac:dyDescent="0.35">
      <c r="C2072" s="8">
        <f t="shared" ca="1" si="161"/>
        <v>0.77018597489487994</v>
      </c>
      <c r="D2072" s="7">
        <f t="shared" ca="1" si="162"/>
        <v>9.3985242680036829E-2</v>
      </c>
      <c r="E2072" s="7">
        <f t="shared" ca="1" si="163"/>
        <v>5.6603979675179605E-2</v>
      </c>
      <c r="F2072" s="7">
        <f t="shared" ca="1" si="164"/>
        <v>1.3364639049740093E-2</v>
      </c>
      <c r="G2072" s="7">
        <f t="shared" ca="1" si="160"/>
        <v>212.78872252410616</v>
      </c>
      <c r="H2072" s="7">
        <f ca="1">(G2072+DCF!$D$40+DCF!$D$41+DCF!$D$42-DCF!$D$43-DCF!$D$44)/DCF!$C$35</f>
        <v>1.8430732730788246</v>
      </c>
    </row>
    <row r="2073" spans="3:8" x14ac:dyDescent="0.35">
      <c r="C2073" s="8">
        <f t="shared" ca="1" si="161"/>
        <v>0.79917185581794603</v>
      </c>
      <c r="D2073" s="7">
        <f t="shared" ca="1" si="162"/>
        <v>9.5029221499628946E-2</v>
      </c>
      <c r="E2073" s="7">
        <f t="shared" ca="1" si="163"/>
        <v>0.92552922909711721</v>
      </c>
      <c r="F2073" s="7">
        <f t="shared" ca="1" si="164"/>
        <v>2.614070548149321E-2</v>
      </c>
      <c r="G2073" s="7">
        <f t="shared" ca="1" si="160"/>
        <v>236.41315575233656</v>
      </c>
      <c r="H2073" s="7">
        <f ca="1">(G2073+DCF!$D$40+DCF!$D$41+DCF!$D$42-DCF!$D$43-DCF!$D$44)/DCF!$C$35</f>
        <v>1.9764090515427055</v>
      </c>
    </row>
    <row r="2074" spans="3:8" x14ac:dyDescent="0.35">
      <c r="C2074" s="8">
        <f t="shared" ca="1" si="161"/>
        <v>0.8745431750885807</v>
      </c>
      <c r="D2074" s="7">
        <f t="shared" ca="1" si="162"/>
        <v>9.8167425613961107E-2</v>
      </c>
      <c r="E2074" s="7">
        <f t="shared" ca="1" si="163"/>
        <v>0.6017024783310736</v>
      </c>
      <c r="F2074" s="7">
        <f t="shared" ca="1" si="164"/>
        <v>2.1074782673022169E-2</v>
      </c>
      <c r="G2074" s="7">
        <f t="shared" ca="1" si="160"/>
        <v>215.09539129637784</v>
      </c>
      <c r="H2074" s="7">
        <f ca="1">(G2074+DCF!$D$40+DCF!$D$41+DCF!$D$42-DCF!$D$43-DCF!$D$44)/DCF!$C$35</f>
        <v>1.8560920605958788</v>
      </c>
    </row>
    <row r="2075" spans="3:8" x14ac:dyDescent="0.35">
      <c r="C2075" s="8">
        <f t="shared" ca="1" si="161"/>
        <v>0.91388429437951113</v>
      </c>
      <c r="D2075" s="7">
        <f t="shared" ca="1" si="162"/>
        <v>0.10019667773290782</v>
      </c>
      <c r="E2075" s="7">
        <f t="shared" ca="1" si="163"/>
        <v>0.4717472747042788</v>
      </c>
      <c r="F2075" s="7">
        <f t="shared" ca="1" si="164"/>
        <v>1.9713364758972854E-2</v>
      </c>
      <c r="G2075" s="7">
        <f t="shared" ca="1" si="160"/>
        <v>206.80875350706731</v>
      </c>
      <c r="H2075" s="7">
        <f ca="1">(G2075+DCF!$D$40+DCF!$D$41+DCF!$D$42-DCF!$D$43-DCF!$D$44)/DCF!$C$35</f>
        <v>1.8093224602498437</v>
      </c>
    </row>
    <row r="2076" spans="3:8" x14ac:dyDescent="0.35">
      <c r="C2076" s="8">
        <f t="shared" ca="1" si="161"/>
        <v>0.34666690698098868</v>
      </c>
      <c r="D2076" s="7">
        <f t="shared" ca="1" si="162"/>
        <v>8.2997782835307454E-2</v>
      </c>
      <c r="E2076" s="7">
        <f t="shared" ca="1" si="163"/>
        <v>0.67789704700512277</v>
      </c>
      <c r="F2076" s="7">
        <f t="shared" ca="1" si="164"/>
        <v>2.1973756133845952E-2</v>
      </c>
      <c r="G2076" s="7">
        <f t="shared" ca="1" si="160"/>
        <v>274.1234629240904</v>
      </c>
      <c r="H2076" s="7">
        <f ca="1">(G2076+DCF!$D$40+DCF!$D$41+DCF!$D$42-DCF!$D$43-DCF!$D$44)/DCF!$C$35</f>
        <v>2.189245190902418</v>
      </c>
    </row>
    <row r="2077" spans="3:8" x14ac:dyDescent="0.35">
      <c r="C2077" s="8">
        <f t="shared" ca="1" si="161"/>
        <v>0.3015833447722307</v>
      </c>
      <c r="D2077" s="7">
        <f t="shared" ca="1" si="162"/>
        <v>8.2081652985819445E-2</v>
      </c>
      <c r="E2077" s="7">
        <f t="shared" ca="1" si="163"/>
        <v>0.47027166786771402</v>
      </c>
      <c r="F2077" s="7">
        <f t="shared" ca="1" si="164"/>
        <v>1.9698161350149977E-2</v>
      </c>
      <c r="G2077" s="7">
        <f t="shared" ca="1" si="160"/>
        <v>270.89727603961785</v>
      </c>
      <c r="H2077" s="7">
        <f ca="1">(G2077+DCF!$D$40+DCF!$D$41+DCF!$D$42-DCF!$D$43-DCF!$D$44)/DCF!$C$35</f>
        <v>2.171036663503882</v>
      </c>
    </row>
    <row r="2078" spans="3:8" x14ac:dyDescent="0.35">
      <c r="C2078" s="8">
        <f t="shared" ca="1" si="161"/>
        <v>0.52241823320713698</v>
      </c>
      <c r="D2078" s="7">
        <f t="shared" ca="1" si="162"/>
        <v>8.6913613280965016E-2</v>
      </c>
      <c r="E2078" s="7">
        <f t="shared" ca="1" si="163"/>
        <v>0.51835411541274878</v>
      </c>
      <c r="F2078" s="7">
        <f t="shared" ca="1" si="164"/>
        <v>2.0185257164986429E-2</v>
      </c>
      <c r="G2078" s="7">
        <f t="shared" ca="1" si="160"/>
        <v>251.71774048238396</v>
      </c>
      <c r="H2078" s="7">
        <f ca="1">(G2078+DCF!$D$40+DCF!$D$41+DCF!$D$42-DCF!$D$43-DCF!$D$44)/DCF!$C$35</f>
        <v>2.0627877891544415</v>
      </c>
    </row>
    <row r="2079" spans="3:8" x14ac:dyDescent="0.35">
      <c r="C2079" s="8">
        <f t="shared" ca="1" si="161"/>
        <v>0.20019301234970655</v>
      </c>
      <c r="D2079" s="7">
        <f t="shared" ca="1" si="162"/>
        <v>7.9843445432228391E-2</v>
      </c>
      <c r="E2079" s="7">
        <f t="shared" ca="1" si="163"/>
        <v>0.13094228248324813</v>
      </c>
      <c r="F2079" s="7">
        <f t="shared" ca="1" si="164"/>
        <v>1.5117465827599597E-2</v>
      </c>
      <c r="G2079" s="7">
        <f t="shared" ca="1" si="160"/>
        <v>266.5673141434292</v>
      </c>
      <c r="H2079" s="7">
        <f ca="1">(G2079+DCF!$D$40+DCF!$D$41+DCF!$D$42-DCF!$D$43-DCF!$D$44)/DCF!$C$35</f>
        <v>2.1465984543595731</v>
      </c>
    </row>
    <row r="2080" spans="3:8" x14ac:dyDescent="0.35">
      <c r="C2080" s="8">
        <f t="shared" ca="1" si="161"/>
        <v>0.48975662198172243</v>
      </c>
      <c r="D2080" s="7">
        <f t="shared" ca="1" si="162"/>
        <v>8.613723381775705E-2</v>
      </c>
      <c r="E2080" s="7">
        <f t="shared" ca="1" si="163"/>
        <v>0.89642320736198688</v>
      </c>
      <c r="F2080" s="7">
        <f t="shared" ca="1" si="164"/>
        <v>2.5448587194331563E-2</v>
      </c>
      <c r="G2080" s="7">
        <f t="shared" ca="1" si="160"/>
        <v>270.98525915099657</v>
      </c>
      <c r="H2080" s="7">
        <f ca="1">(G2080+DCF!$D$40+DCF!$D$41+DCF!$D$42-DCF!$D$43-DCF!$D$44)/DCF!$C$35</f>
        <v>2.1715332382379304</v>
      </c>
    </row>
    <row r="2081" spans="3:8" x14ac:dyDescent="0.35">
      <c r="C2081" s="8">
        <f t="shared" ca="1" si="161"/>
        <v>0.44759904402323414</v>
      </c>
      <c r="D2081" s="7">
        <f t="shared" ca="1" si="162"/>
        <v>8.517099545148718E-2</v>
      </c>
      <c r="E2081" s="7">
        <f t="shared" ca="1" si="163"/>
        <v>0.64695524316462683</v>
      </c>
      <c r="F2081" s="7">
        <f t="shared" ca="1" si="164"/>
        <v>2.1597086733336192E-2</v>
      </c>
      <c r="G2081" s="7">
        <f t="shared" ca="1" si="160"/>
        <v>263.06377793858906</v>
      </c>
      <c r="H2081" s="7">
        <f ca="1">(G2081+DCF!$D$40+DCF!$D$41+DCF!$D$42-DCF!$D$43-DCF!$D$44)/DCF!$C$35</f>
        <v>2.1268245735330682</v>
      </c>
    </row>
    <row r="2082" spans="3:8" x14ac:dyDescent="0.35">
      <c r="C2082" s="8">
        <f t="shared" ca="1" si="161"/>
        <v>0.57710741800361376</v>
      </c>
      <c r="D2082" s="7">
        <f t="shared" ca="1" si="162"/>
        <v>8.8275633000983275E-2</v>
      </c>
      <c r="E2082" s="7">
        <f t="shared" ca="1" si="163"/>
        <v>0.30552963911086006</v>
      </c>
      <c r="F2082" s="7">
        <f t="shared" ca="1" si="164"/>
        <v>1.7817028068401186E-2</v>
      </c>
      <c r="G2082" s="7">
        <f t="shared" ca="1" si="160"/>
        <v>240.41399031927745</v>
      </c>
      <c r="H2082" s="7">
        <f ca="1">(G2082+DCF!$D$40+DCF!$D$41+DCF!$D$42-DCF!$D$43-DCF!$D$44)/DCF!$C$35</f>
        <v>1.9989896733224823</v>
      </c>
    </row>
    <row r="2083" spans="3:8" x14ac:dyDescent="0.35">
      <c r="C2083" s="8">
        <f t="shared" ca="1" si="161"/>
        <v>0.30052489730715592</v>
      </c>
      <c r="D2083" s="7">
        <f t="shared" ca="1" si="162"/>
        <v>8.2060433254931744E-2</v>
      </c>
      <c r="E2083" s="7">
        <f t="shared" ca="1" si="163"/>
        <v>0.32687985856680424</v>
      </c>
      <c r="F2083" s="7">
        <f t="shared" ca="1" si="164"/>
        <v>1.8085540904191927E-2</v>
      </c>
      <c r="G2083" s="7">
        <f t="shared" ca="1" si="160"/>
        <v>265.92073796170348</v>
      </c>
      <c r="H2083" s="7">
        <f ca="1">(G2083+DCF!$D$40+DCF!$D$41+DCF!$D$42-DCF!$D$43-DCF!$D$44)/DCF!$C$35</f>
        <v>2.1429491926950188</v>
      </c>
    </row>
    <row r="2084" spans="3:8" x14ac:dyDescent="0.35">
      <c r="C2084" s="8">
        <f t="shared" ca="1" si="161"/>
        <v>0.29501597179053229</v>
      </c>
      <c r="D2084" s="7">
        <f t="shared" ca="1" si="162"/>
        <v>8.1949382006891308E-2</v>
      </c>
      <c r="E2084" s="7">
        <f t="shared" ca="1" si="163"/>
        <v>4.6716139629884079E-2</v>
      </c>
      <c r="F2084" s="7">
        <f t="shared" ca="1" si="164"/>
        <v>1.3056669417188718E-2</v>
      </c>
      <c r="G2084" s="7">
        <f t="shared" ca="1" si="160"/>
        <v>252.05314620386991</v>
      </c>
      <c r="H2084" s="7">
        <f ca="1">(G2084+DCF!$D$40+DCF!$D$41+DCF!$D$42-DCF!$D$43-DCF!$D$44)/DCF!$C$35</f>
        <v>2.0646808116258599</v>
      </c>
    </row>
    <row r="2085" spans="3:8" x14ac:dyDescent="0.35">
      <c r="C2085" s="8">
        <f t="shared" ca="1" si="161"/>
        <v>0.38706553505069974</v>
      </c>
      <c r="D2085" s="7">
        <f t="shared" ca="1" si="162"/>
        <v>8.3845939839416544E-2</v>
      </c>
      <c r="E2085" s="7">
        <f t="shared" ca="1" si="163"/>
        <v>0.87898893386113386</v>
      </c>
      <c r="F2085" s="7">
        <f t="shared" ca="1" si="164"/>
        <v>2.5080425503382103E-2</v>
      </c>
      <c r="G2085" s="7">
        <f t="shared" ca="1" si="160"/>
        <v>280.79472048546472</v>
      </c>
      <c r="H2085" s="7">
        <f ca="1">(G2085+DCF!$D$40+DCF!$D$41+DCF!$D$42-DCF!$D$43-DCF!$D$44)/DCF!$C$35</f>
        <v>2.2268976209812887</v>
      </c>
    </row>
    <row r="2086" spans="3:8" x14ac:dyDescent="0.35">
      <c r="C2086" s="8">
        <f t="shared" ca="1" si="161"/>
        <v>0.67946435487781009</v>
      </c>
      <c r="D2086" s="7">
        <f t="shared" ca="1" si="162"/>
        <v>9.1086571438357244E-2</v>
      </c>
      <c r="E2086" s="7">
        <f t="shared" ca="1" si="163"/>
        <v>0.33604354405155368</v>
      </c>
      <c r="F2086" s="7">
        <f t="shared" ca="1" si="164"/>
        <v>1.8198091778597672E-2</v>
      </c>
      <c r="G2086" s="7">
        <f t="shared" ca="1" si="160"/>
        <v>231.48605933169259</v>
      </c>
      <c r="H2086" s="7">
        <f ca="1">(G2086+DCF!$D$40+DCF!$D$41+DCF!$D$42-DCF!$D$43-DCF!$D$44)/DCF!$C$35</f>
        <v>1.9486006283536095</v>
      </c>
    </row>
    <row r="2087" spans="3:8" x14ac:dyDescent="0.35">
      <c r="C2087" s="8">
        <f t="shared" ca="1" si="161"/>
        <v>0.32425274633365819</v>
      </c>
      <c r="D2087" s="7">
        <f t="shared" ca="1" si="162"/>
        <v>8.2538500858626865E-2</v>
      </c>
      <c r="E2087" s="7">
        <f t="shared" ca="1" si="163"/>
        <v>2.9332697474417246E-2</v>
      </c>
      <c r="F2087" s="7">
        <f t="shared" ca="1" si="164"/>
        <v>1.2422094030974737E-2</v>
      </c>
      <c r="G2087" s="7">
        <f t="shared" ca="1" si="160"/>
        <v>248.14942079212113</v>
      </c>
      <c r="H2087" s="7">
        <f ca="1">(G2087+DCF!$D$40+DCF!$D$41+DCF!$D$42-DCF!$D$43-DCF!$D$44)/DCF!$C$35</f>
        <v>2.0426482717695063</v>
      </c>
    </row>
    <row r="2088" spans="3:8" x14ac:dyDescent="0.35">
      <c r="C2088" s="8">
        <f t="shared" ca="1" si="161"/>
        <v>0.94821877991013848</v>
      </c>
      <c r="D2088" s="7">
        <f t="shared" ca="1" si="162"/>
        <v>0.10239816853513015</v>
      </c>
      <c r="E2088" s="7">
        <f t="shared" ca="1" si="163"/>
        <v>0.16304622100549049</v>
      </c>
      <c r="F2088" s="7">
        <f t="shared" ca="1" si="164"/>
        <v>1.5710450437671102E-2</v>
      </c>
      <c r="G2088" s="7">
        <f t="shared" ca="1" si="160"/>
        <v>194.67430447393889</v>
      </c>
      <c r="H2088" s="7">
        <f ca="1">(G2088+DCF!$D$40+DCF!$D$41+DCF!$D$42-DCF!$D$43-DCF!$D$44)/DCF!$C$35</f>
        <v>1.7408358983741894</v>
      </c>
    </row>
    <row r="2089" spans="3:8" x14ac:dyDescent="0.35">
      <c r="C2089" s="8">
        <f t="shared" ca="1" si="161"/>
        <v>0.1675301672944628</v>
      </c>
      <c r="D2089" s="7">
        <f t="shared" ca="1" si="162"/>
        <v>7.9004698827307887E-2</v>
      </c>
      <c r="E2089" s="7">
        <f t="shared" ca="1" si="163"/>
        <v>0.10861074032995754</v>
      </c>
      <c r="F2089" s="7">
        <f t="shared" ca="1" si="164"/>
        <v>1.4660702529232208E-2</v>
      </c>
      <c r="G2089" s="7">
        <f t="shared" ca="1" si="160"/>
        <v>268.85481383234088</v>
      </c>
      <c r="H2089" s="7">
        <f ca="1">(G2089+DCF!$D$40+DCF!$D$41+DCF!$D$42-DCF!$D$43-DCF!$D$44)/DCF!$C$35</f>
        <v>2.1595090519942479</v>
      </c>
    </row>
    <row r="2090" spans="3:8" x14ac:dyDescent="0.35">
      <c r="C2090" s="8">
        <f t="shared" ca="1" si="161"/>
        <v>0.52399419952260806</v>
      </c>
      <c r="D2090" s="7">
        <f t="shared" ca="1" si="162"/>
        <v>8.6951736001755597E-2</v>
      </c>
      <c r="E2090" s="7">
        <f t="shared" ca="1" si="163"/>
        <v>0.22936711373923258</v>
      </c>
      <c r="F2090" s="7">
        <f t="shared" ca="1" si="164"/>
        <v>1.6772992156192601E-2</v>
      </c>
      <c r="G2090" s="7">
        <f t="shared" ca="1" si="160"/>
        <v>242.6689063105776</v>
      </c>
      <c r="H2090" s="7">
        <f ca="1">(G2090+DCF!$D$40+DCF!$D$41+DCF!$D$42-DCF!$D$43-DCF!$D$44)/DCF!$C$35</f>
        <v>2.0117163692887323</v>
      </c>
    </row>
    <row r="2091" spans="3:8" x14ac:dyDescent="0.35">
      <c r="C2091" s="8">
        <f t="shared" ca="1" si="161"/>
        <v>0.4510617411132396</v>
      </c>
      <c r="D2091" s="7">
        <f t="shared" ca="1" si="162"/>
        <v>8.5248937458815538E-2</v>
      </c>
      <c r="E2091" s="7">
        <f t="shared" ca="1" si="163"/>
        <v>0.82655603464892191</v>
      </c>
      <c r="F2091" s="7">
        <f t="shared" ca="1" si="164"/>
        <v>2.4110280730780489E-2</v>
      </c>
      <c r="G2091" s="7">
        <f t="shared" ca="1" si="160"/>
        <v>270.68902375778589</v>
      </c>
      <c r="H2091" s="7">
        <f ca="1">(G2091+DCF!$D$40+DCF!$D$41+DCF!$D$42-DCF!$D$43-DCF!$D$44)/DCF!$C$35</f>
        <v>2.1698612922326781</v>
      </c>
    </row>
    <row r="2092" spans="3:8" x14ac:dyDescent="0.35">
      <c r="C2092" s="8">
        <f t="shared" ca="1" si="161"/>
        <v>0.81978747580732247</v>
      </c>
      <c r="D2092" s="7">
        <f t="shared" ca="1" si="162"/>
        <v>9.5818421209222571E-2</v>
      </c>
      <c r="E2092" s="7">
        <f t="shared" ca="1" si="163"/>
        <v>0.3461735482306354</v>
      </c>
      <c r="F2092" s="7">
        <f t="shared" ca="1" si="164"/>
        <v>1.8320739729502843E-2</v>
      </c>
      <c r="G2092" s="7">
        <f t="shared" ca="1" si="160"/>
        <v>216.74449398549123</v>
      </c>
      <c r="H2092" s="7">
        <f ca="1">(G2092+DCF!$D$40+DCF!$D$41+DCF!$D$42-DCF!$D$43-DCF!$D$44)/DCF!$C$35</f>
        <v>1.8653995596878383</v>
      </c>
    </row>
    <row r="2093" spans="3:8" x14ac:dyDescent="0.35">
      <c r="C2093" s="8">
        <f t="shared" ca="1" si="161"/>
        <v>0.17254519656045375</v>
      </c>
      <c r="D2093" s="7">
        <f t="shared" ca="1" si="162"/>
        <v>7.9138483196639353E-2</v>
      </c>
      <c r="E2093" s="7">
        <f t="shared" ca="1" si="163"/>
        <v>0.93911592444441838</v>
      </c>
      <c r="F2093" s="7">
        <f t="shared" ca="1" si="164"/>
        <v>2.6510470646187896E-2</v>
      </c>
      <c r="G2093" s="7">
        <f t="shared" ca="1" si="160"/>
        <v>312.81413807046408</v>
      </c>
      <c r="H2093" s="7">
        <f ca="1">(G2093+DCF!$D$40+DCF!$D$41+DCF!$D$42-DCF!$D$43-DCF!$D$44)/DCF!$C$35</f>
        <v>2.4076145054208378</v>
      </c>
    </row>
    <row r="2094" spans="3:8" x14ac:dyDescent="0.35">
      <c r="C2094" s="8">
        <f t="shared" ca="1" si="161"/>
        <v>0.60432437820467988</v>
      </c>
      <c r="D2094" s="7">
        <f t="shared" ca="1" si="162"/>
        <v>8.8986337922114161E-2</v>
      </c>
      <c r="E2094" s="7">
        <f t="shared" ca="1" si="163"/>
        <v>0.2925161637558914</v>
      </c>
      <c r="F2094" s="7">
        <f t="shared" ca="1" si="164"/>
        <v>1.7648740599025325E-2</v>
      </c>
      <c r="G2094" s="7">
        <f t="shared" ca="1" si="160"/>
        <v>237.46727219871474</v>
      </c>
      <c r="H2094" s="7">
        <f ca="1">(G2094+DCF!$D$40+DCF!$D$41+DCF!$D$42-DCF!$D$43-DCF!$D$44)/DCF!$C$35</f>
        <v>1.982358461444377</v>
      </c>
    </row>
    <row r="2095" spans="3:8" x14ac:dyDescent="0.35">
      <c r="C2095" s="8">
        <f t="shared" ca="1" si="161"/>
        <v>0.87811075962632235</v>
      </c>
      <c r="D2095" s="7">
        <f t="shared" ca="1" si="162"/>
        <v>9.8336878965858909E-2</v>
      </c>
      <c r="E2095" s="7">
        <f t="shared" ca="1" si="163"/>
        <v>0.62682449006395058</v>
      </c>
      <c r="F2095" s="7">
        <f t="shared" ca="1" si="164"/>
        <v>2.1360839046110445E-2</v>
      </c>
      <c r="G2095" s="7">
        <f t="shared" ca="1" si="160"/>
        <v>215.14636622092979</v>
      </c>
      <c r="H2095" s="7">
        <f ca="1">(G2095+DCF!$D$40+DCF!$D$41+DCF!$D$42-DCF!$D$43-DCF!$D$44)/DCF!$C$35</f>
        <v>1.8563797619422608</v>
      </c>
    </row>
    <row r="2096" spans="3:8" x14ac:dyDescent="0.35">
      <c r="C2096" s="8">
        <f t="shared" ca="1" si="161"/>
        <v>0.44593228467692414</v>
      </c>
      <c r="D2096" s="7">
        <f t="shared" ca="1" si="162"/>
        <v>8.5133565388247706E-2</v>
      </c>
      <c r="E2096" s="7">
        <f t="shared" ca="1" si="163"/>
        <v>0.6835761715078702</v>
      </c>
      <c r="F2096" s="7">
        <f t="shared" ca="1" si="164"/>
        <v>2.2044827739236193E-2</v>
      </c>
      <c r="G2096" s="7">
        <f t="shared" ca="1" si="160"/>
        <v>264.60535290828534</v>
      </c>
      <c r="H2096" s="7">
        <f ca="1">(G2096+DCF!$D$40+DCF!$D$41+DCF!$D$42-DCF!$D$43-DCF!$D$44)/DCF!$C$35</f>
        <v>2.135525188555623</v>
      </c>
    </row>
    <row r="2097" spans="3:8" x14ac:dyDescent="0.35">
      <c r="C2097" s="8">
        <f t="shared" ca="1" si="161"/>
        <v>0.16312774276250708</v>
      </c>
      <c r="D2097" s="7">
        <f t="shared" ca="1" si="162"/>
        <v>7.888559663146226E-2</v>
      </c>
      <c r="E2097" s="7">
        <f t="shared" ca="1" si="163"/>
        <v>0.17007109424620159</v>
      </c>
      <c r="F2097" s="7">
        <f t="shared" ca="1" si="164"/>
        <v>1.5832171023661801E-2</v>
      </c>
      <c r="G2097" s="7">
        <f t="shared" ca="1" si="160"/>
        <v>273.07849415007149</v>
      </c>
      <c r="H2097" s="7">
        <f ca="1">(G2097+DCF!$D$40+DCF!$D$41+DCF!$D$42-DCF!$D$43-DCF!$D$44)/DCF!$C$35</f>
        <v>2.1833474102611552</v>
      </c>
    </row>
    <row r="2098" spans="3:8" x14ac:dyDescent="0.35">
      <c r="C2098" s="8">
        <f t="shared" ca="1" si="161"/>
        <v>0.721691152748269</v>
      </c>
      <c r="D2098" s="7">
        <f t="shared" ca="1" si="162"/>
        <v>9.2376360377806985E-2</v>
      </c>
      <c r="E2098" s="7">
        <f t="shared" ca="1" si="163"/>
        <v>0.81445920628328383</v>
      </c>
      <c r="F2098" s="7">
        <f t="shared" ca="1" si="164"/>
        <v>2.3908353363552411E-2</v>
      </c>
      <c r="G2098" s="7">
        <f t="shared" ca="1" si="160"/>
        <v>240.54388140076827</v>
      </c>
      <c r="H2098" s="7">
        <f ca="1">(G2098+DCF!$D$40+DCF!$D$41+DCF!$D$42-DCF!$D$43-DCF!$D$44)/DCF!$C$35</f>
        <v>1.9997227757126552</v>
      </c>
    </row>
    <row r="2099" spans="3:8" x14ac:dyDescent="0.35">
      <c r="C2099" s="8">
        <f t="shared" ca="1" si="161"/>
        <v>7.5578242418994357E-2</v>
      </c>
      <c r="D2099" s="7">
        <f t="shared" ca="1" si="162"/>
        <v>7.6048129407576645E-2</v>
      </c>
      <c r="E2099" s="7">
        <f t="shared" ca="1" si="163"/>
        <v>0.843112420274995</v>
      </c>
      <c r="F2099" s="7">
        <f t="shared" ca="1" si="164"/>
        <v>2.4398436294658338E-2</v>
      </c>
      <c r="G2099" s="7">
        <f t="shared" ca="1" si="160"/>
        <v>322.43283361746876</v>
      </c>
      <c r="H2099" s="7">
        <f ca="1">(G2099+DCF!$D$40+DCF!$D$41+DCF!$D$42-DCF!$D$43-DCF!$D$44)/DCF!$C$35</f>
        <v>2.4619022102803294</v>
      </c>
    </row>
    <row r="2100" spans="3:8" x14ac:dyDescent="0.35">
      <c r="C2100" s="8">
        <f t="shared" ca="1" si="161"/>
        <v>0.33491312070284673</v>
      </c>
      <c r="D2100" s="7">
        <f t="shared" ca="1" si="162"/>
        <v>8.2755973915450337E-2</v>
      </c>
      <c r="E2100" s="7">
        <f t="shared" ca="1" si="163"/>
        <v>2.8890225259691871E-2</v>
      </c>
      <c r="F2100" s="7">
        <f t="shared" ca="1" si="164"/>
        <v>1.2403756446052381E-2</v>
      </c>
      <c r="G2100" s="7">
        <f t="shared" ca="1" si="160"/>
        <v>247.28583170926927</v>
      </c>
      <c r="H2100" s="7">
        <f ca="1">(G2100+DCF!$D$40+DCF!$D$41+DCF!$D$42-DCF!$D$43-DCF!$D$44)/DCF!$C$35</f>
        <v>2.0377741940922749</v>
      </c>
    </row>
    <row r="2101" spans="3:8" x14ac:dyDescent="0.35">
      <c r="C2101" s="8">
        <f t="shared" ca="1" si="161"/>
        <v>0.46202870908976312</v>
      </c>
      <c r="D2101" s="7">
        <f t="shared" ca="1" si="162"/>
        <v>8.5497429509216294E-2</v>
      </c>
      <c r="E2101" s="7">
        <f t="shared" ca="1" si="163"/>
        <v>0.52989689591287348</v>
      </c>
      <c r="F2101" s="7">
        <f t="shared" ca="1" si="164"/>
        <v>2.0303576906022237E-2</v>
      </c>
      <c r="G2101" s="7">
        <f t="shared" ca="1" si="160"/>
        <v>257.82503816902977</v>
      </c>
      <c r="H2101" s="7">
        <f ca="1">(G2101+DCF!$D$40+DCF!$D$41+DCF!$D$42-DCF!$D$43-DCF!$D$44)/DCF!$C$35</f>
        <v>2.0972572421776148</v>
      </c>
    </row>
    <row r="2102" spans="3:8" x14ac:dyDescent="0.35">
      <c r="C2102" s="8">
        <f t="shared" ca="1" si="161"/>
        <v>0.85432930914157645</v>
      </c>
      <c r="D2102" s="7">
        <f t="shared" ca="1" si="162"/>
        <v>9.7249765061066501E-2</v>
      </c>
      <c r="E2102" s="7">
        <f t="shared" ca="1" si="163"/>
        <v>0.94212784298952956</v>
      </c>
      <c r="F2102" s="7">
        <f t="shared" ca="1" si="164"/>
        <v>2.6597878396927281E-2</v>
      </c>
      <c r="G2102" s="7">
        <f t="shared" ca="1" si="160"/>
        <v>229.69565141698558</v>
      </c>
      <c r="H2102" s="7">
        <f ca="1">(G2102+DCF!$D$40+DCF!$D$41+DCF!$D$42-DCF!$D$43-DCF!$D$44)/DCF!$C$35</f>
        <v>1.9384956056946923</v>
      </c>
    </row>
    <row r="2103" spans="3:8" x14ac:dyDescent="0.35">
      <c r="C2103" s="8">
        <f t="shared" ca="1" si="161"/>
        <v>0.99664310434116066</v>
      </c>
      <c r="D2103" s="7">
        <f t="shared" ca="1" si="162"/>
        <v>0.10806446504674684</v>
      </c>
      <c r="E2103" s="7">
        <f t="shared" ca="1" si="163"/>
        <v>0.19332671039452998</v>
      </c>
      <c r="F2103" s="7">
        <f t="shared" ca="1" si="164"/>
        <v>1.6218146193111415E-2</v>
      </c>
      <c r="G2103" s="7">
        <f t="shared" ca="1" si="160"/>
        <v>182.51430757190855</v>
      </c>
      <c r="H2103" s="7">
        <f ca="1">(G2103+DCF!$D$40+DCF!$D$41+DCF!$D$42-DCF!$D$43-DCF!$D$44)/DCF!$C$35</f>
        <v>1.6722051448916837</v>
      </c>
    </row>
    <row r="2104" spans="3:8" x14ac:dyDescent="0.35">
      <c r="C2104" s="8">
        <f t="shared" ca="1" si="161"/>
        <v>0.98164954466414223</v>
      </c>
      <c r="D2104" s="7">
        <f t="shared" ca="1" si="162"/>
        <v>0.10547461513738143</v>
      </c>
      <c r="E2104" s="7">
        <f t="shared" ca="1" si="163"/>
        <v>0.76256249709422463</v>
      </c>
      <c r="F2104" s="7">
        <f t="shared" ca="1" si="164"/>
        <v>2.3108882486769285E-2</v>
      </c>
      <c r="G2104" s="7">
        <f t="shared" ca="1" si="160"/>
        <v>198.56197595284999</v>
      </c>
      <c r="H2104" s="7">
        <f ca="1">(G2104+DCF!$D$40+DCF!$D$41+DCF!$D$42-DCF!$D$43-DCF!$D$44)/DCF!$C$35</f>
        <v>1.7627778301887909</v>
      </c>
    </row>
    <row r="2105" spans="3:8" x14ac:dyDescent="0.35">
      <c r="C2105" s="8">
        <f t="shared" ca="1" si="161"/>
        <v>0.40390501285262415</v>
      </c>
      <c r="D2105" s="7">
        <f t="shared" ca="1" si="162"/>
        <v>8.4207714221952501E-2</v>
      </c>
      <c r="E2105" s="7">
        <f t="shared" ca="1" si="163"/>
        <v>0.91084568024056922</v>
      </c>
      <c r="F2105" s="7">
        <f t="shared" ca="1" si="164"/>
        <v>2.5777339233150957E-2</v>
      </c>
      <c r="G2105" s="7">
        <f t="shared" ca="1" si="160"/>
        <v>281.49837831372679</v>
      </c>
      <c r="H2105" s="7">
        <f ca="1">(G2105+DCF!$D$40+DCF!$D$41+DCF!$D$42-DCF!$D$43-DCF!$D$44)/DCF!$C$35</f>
        <v>2.2308690501959969</v>
      </c>
    </row>
    <row r="2106" spans="3:8" x14ac:dyDescent="0.35">
      <c r="C2106" s="8">
        <f t="shared" ca="1" si="161"/>
        <v>0.25239672049361583</v>
      </c>
      <c r="D2106" s="7">
        <f t="shared" ca="1" si="162"/>
        <v>8.1052602079099298E-2</v>
      </c>
      <c r="E2106" s="7">
        <f t="shared" ca="1" si="163"/>
        <v>0.20593121374871748</v>
      </c>
      <c r="F2106" s="7">
        <f t="shared" ca="1" si="164"/>
        <v>1.6417650874716035E-2</v>
      </c>
      <c r="G2106" s="7">
        <f t="shared" ca="1" si="160"/>
        <v>265.24256032478672</v>
      </c>
      <c r="H2106" s="7">
        <f ca="1">(G2106+DCF!$D$40+DCF!$D$41+DCF!$D$42-DCF!$D$43-DCF!$D$44)/DCF!$C$35</f>
        <v>2.1391215731165296</v>
      </c>
    </row>
    <row r="2107" spans="3:8" x14ac:dyDescent="0.35">
      <c r="C2107" s="8">
        <f t="shared" ca="1" si="161"/>
        <v>0.94660548337995642</v>
      </c>
      <c r="D2107" s="7">
        <f t="shared" ca="1" si="162"/>
        <v>0.10228065543274764</v>
      </c>
      <c r="E2107" s="7">
        <f t="shared" ca="1" si="163"/>
        <v>5.8756450429411244E-2</v>
      </c>
      <c r="F2107" s="7">
        <f t="shared" ca="1" si="164"/>
        <v>1.3428015473401812E-2</v>
      </c>
      <c r="G2107" s="7">
        <f t="shared" ca="1" si="160"/>
        <v>191.62496111108055</v>
      </c>
      <c r="H2107" s="7">
        <f ca="1">(G2107+DCF!$D$40+DCF!$D$41+DCF!$D$42-DCF!$D$43-DCF!$D$44)/DCF!$C$35</f>
        <v>1.7236254718990887</v>
      </c>
    </row>
    <row r="2108" spans="3:8" x14ac:dyDescent="0.35">
      <c r="C2108" s="8">
        <f t="shared" ca="1" si="161"/>
        <v>5.1554553078670518E-2</v>
      </c>
      <c r="D2108" s="7">
        <f t="shared" ca="1" si="162"/>
        <v>7.4995238101439876E-2</v>
      </c>
      <c r="E2108" s="7">
        <f t="shared" ca="1" si="163"/>
        <v>0.22278935092162455</v>
      </c>
      <c r="F2108" s="7">
        <f t="shared" ca="1" si="164"/>
        <v>1.6675168176482513E-2</v>
      </c>
      <c r="G2108" s="7">
        <f t="shared" ca="1" si="160"/>
        <v>295.25760598664823</v>
      </c>
      <c r="H2108" s="7">
        <f ca="1">(G2108+DCF!$D$40+DCF!$D$41+DCF!$D$42-DCF!$D$43-DCF!$D$44)/DCF!$C$35</f>
        <v>2.3085258267674016</v>
      </c>
    </row>
    <row r="2109" spans="3:8" x14ac:dyDescent="0.35">
      <c r="C2109" s="8">
        <f t="shared" ca="1" si="161"/>
        <v>0.43750516855028609</v>
      </c>
      <c r="D2109" s="7">
        <f t="shared" ca="1" si="162"/>
        <v>8.4945175476609694E-2</v>
      </c>
      <c r="E2109" s="7">
        <f t="shared" ca="1" si="163"/>
        <v>0.80927861740331408</v>
      </c>
      <c r="F2109" s="7">
        <f t="shared" ca="1" si="164"/>
        <v>2.3823894712738686E-2</v>
      </c>
      <c r="G2109" s="7">
        <f t="shared" ca="1" si="160"/>
        <v>271.15564440639326</v>
      </c>
      <c r="H2109" s="7">
        <f ca="1">(G2109+DCF!$D$40+DCF!$D$41+DCF!$D$42-DCF!$D$43-DCF!$D$44)/DCF!$C$35</f>
        <v>2.1724948888497191</v>
      </c>
    </row>
    <row r="2110" spans="3:8" x14ac:dyDescent="0.35">
      <c r="C2110" s="8">
        <f t="shared" ca="1" si="161"/>
        <v>0.5297516554861329</v>
      </c>
      <c r="D2110" s="7">
        <f t="shared" ca="1" si="162"/>
        <v>8.709154844871711E-2</v>
      </c>
      <c r="E2110" s="7">
        <f t="shared" ca="1" si="163"/>
        <v>0.52470798809569752</v>
      </c>
      <c r="F2110" s="7">
        <f t="shared" ca="1" si="164"/>
        <v>2.0250210136579329E-2</v>
      </c>
      <c r="G2110" s="7">
        <f t="shared" ca="1" si="160"/>
        <v>251.18806723664011</v>
      </c>
      <c r="H2110" s="7">
        <f ca="1">(G2110+DCF!$D$40+DCF!$D$41+DCF!$D$42-DCF!$D$43-DCF!$D$44)/DCF!$C$35</f>
        <v>2.0597983250741625</v>
      </c>
    </row>
    <row r="2111" spans="3:8" x14ac:dyDescent="0.35">
      <c r="C2111" s="8">
        <f t="shared" ca="1" si="161"/>
        <v>1.7186018905862133E-2</v>
      </c>
      <c r="D2111" s="7">
        <f t="shared" ca="1" si="162"/>
        <v>7.2884100059019671E-2</v>
      </c>
      <c r="E2111" s="7">
        <f t="shared" ca="1" si="163"/>
        <v>0.53404494130697622</v>
      </c>
      <c r="F2111" s="7">
        <f t="shared" ca="1" si="164"/>
        <v>2.0346450821661248E-2</v>
      </c>
      <c r="G2111" s="7">
        <f t="shared" ca="1" si="160"/>
        <v>323.35919767911128</v>
      </c>
      <c r="H2111" s="7">
        <f ca="1">(G2111+DCF!$D$40+DCF!$D$41+DCF!$D$42-DCF!$D$43-DCF!$D$44)/DCF!$C$35</f>
        <v>2.4671305885489967</v>
      </c>
    </row>
    <row r="2112" spans="3:8" x14ac:dyDescent="0.35">
      <c r="C2112" s="8">
        <f t="shared" ca="1" si="161"/>
        <v>0.73384022321142295</v>
      </c>
      <c r="D2112" s="7">
        <f t="shared" ca="1" si="162"/>
        <v>9.2765316629074612E-2</v>
      </c>
      <c r="E2112" s="7">
        <f t="shared" ca="1" si="163"/>
        <v>0.21282559593621264</v>
      </c>
      <c r="F2112" s="7">
        <f t="shared" ca="1" si="164"/>
        <v>1.6524194907208287E-2</v>
      </c>
      <c r="G2112" s="7">
        <f t="shared" ca="1" si="160"/>
        <v>222.46869339865626</v>
      </c>
      <c r="H2112" s="7">
        <f ca="1">(G2112+DCF!$D$40+DCF!$D$41+DCF!$D$42-DCF!$D$43-DCF!$D$44)/DCF!$C$35</f>
        <v>1.8977068145313027</v>
      </c>
    </row>
    <row r="2113" spans="3:8" x14ac:dyDescent="0.35">
      <c r="C2113" s="8">
        <f t="shared" ca="1" si="161"/>
        <v>0.34311206486544599</v>
      </c>
      <c r="D2113" s="7">
        <f t="shared" ca="1" si="162"/>
        <v>8.2924421786226582E-2</v>
      </c>
      <c r="E2113" s="7">
        <f t="shared" ca="1" si="163"/>
        <v>0.85510583550225194</v>
      </c>
      <c r="F2113" s="7">
        <f t="shared" ca="1" si="164"/>
        <v>2.461680086755565E-2</v>
      </c>
      <c r="G2113" s="7">
        <f t="shared" ca="1" si="160"/>
        <v>283.76067859180552</v>
      </c>
      <c r="H2113" s="7">
        <f ca="1">(G2113+DCF!$D$40+DCF!$D$41+DCF!$D$42-DCF!$D$43-DCF!$D$44)/DCF!$C$35</f>
        <v>2.2436374229134524</v>
      </c>
    </row>
    <row r="2114" spans="3:8" x14ac:dyDescent="0.35">
      <c r="C2114" s="8">
        <f t="shared" ca="1" si="161"/>
        <v>0.921385840888159</v>
      </c>
      <c r="D2114" s="7">
        <f t="shared" ca="1" si="162"/>
        <v>0.10063338900301638</v>
      </c>
      <c r="E2114" s="7">
        <f t="shared" ca="1" si="163"/>
        <v>0.57101258016243528</v>
      </c>
      <c r="F2114" s="7">
        <f t="shared" ca="1" si="164"/>
        <v>2.0737306872862897E-2</v>
      </c>
      <c r="G2114" s="7">
        <f t="shared" ca="1" si="160"/>
        <v>207.4145962047009</v>
      </c>
      <c r="H2114" s="7">
        <f ca="1">(G2114+DCF!$D$40+DCF!$D$41+DCF!$D$42-DCF!$D$43-DCF!$D$44)/DCF!$C$35</f>
        <v>1.8127418230313854</v>
      </c>
    </row>
    <row r="2115" spans="3:8" x14ac:dyDescent="0.35">
      <c r="C2115" s="8">
        <f t="shared" ca="1" si="161"/>
        <v>0.73707370419366669</v>
      </c>
      <c r="D2115" s="7">
        <f t="shared" ca="1" si="162"/>
        <v>9.287032556877195E-2</v>
      </c>
      <c r="E2115" s="7">
        <f t="shared" ca="1" si="163"/>
        <v>0.31227707956961748</v>
      </c>
      <c r="F2115" s="7">
        <f t="shared" ca="1" si="164"/>
        <v>1.7902873902190489E-2</v>
      </c>
      <c r="G2115" s="7">
        <f t="shared" ca="1" si="160"/>
        <v>224.99110834203265</v>
      </c>
      <c r="H2115" s="7">
        <f ca="1">(G2115+DCF!$D$40+DCF!$D$41+DCF!$D$42-DCF!$D$43-DCF!$D$44)/DCF!$C$35</f>
        <v>1.911943268664819</v>
      </c>
    </row>
    <row r="2116" spans="3:8" x14ac:dyDescent="0.35">
      <c r="C2116" s="8">
        <f t="shared" ca="1" si="161"/>
        <v>0.53298810757494397</v>
      </c>
      <c r="D2116" s="7">
        <f t="shared" ca="1" si="162"/>
        <v>8.717051748404353E-2</v>
      </c>
      <c r="E2116" s="7">
        <f t="shared" ca="1" si="163"/>
        <v>0.78424972673851667</v>
      </c>
      <c r="F2116" s="7">
        <f t="shared" ca="1" si="164"/>
        <v>2.3431129880086176E-2</v>
      </c>
      <c r="G2116" s="7">
        <f t="shared" ca="1" si="160"/>
        <v>259.97477292235419</v>
      </c>
      <c r="H2116" s="7">
        <f ca="1">(G2116+DCF!$D$40+DCF!$D$41+DCF!$D$42-DCF!$D$43-DCF!$D$44)/DCF!$C$35</f>
        <v>2.1093902975638006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selection activeCell="D15" sqref="D15"/>
    </sheetView>
  </sheetViews>
  <sheetFormatPr defaultRowHeight="14.5" x14ac:dyDescent="0.35"/>
  <cols>
    <col min="1" max="1" width="40.08984375" customWidth="1"/>
    <col min="2" max="2" width="20.08984375" customWidth="1"/>
    <col min="3" max="3" width="18.81640625" customWidth="1"/>
    <col min="4" max="4" width="17.453125" customWidth="1"/>
    <col min="5" max="5" width="31" customWidth="1"/>
  </cols>
  <sheetData>
    <row r="1" spans="1:13" ht="15" thickBot="1" x14ac:dyDescent="0.4">
      <c r="A1" s="65" t="s">
        <v>259</v>
      </c>
      <c r="B1" s="2">
        <v>45657</v>
      </c>
      <c r="C1" s="2">
        <v>45291</v>
      </c>
      <c r="D1" s="2">
        <v>44926</v>
      </c>
      <c r="E1" s="2">
        <v>44561</v>
      </c>
      <c r="M1">
        <v>1000000</v>
      </c>
    </row>
    <row r="2" spans="1:13" ht="15" thickTop="1" x14ac:dyDescent="0.35">
      <c r="A2" s="38" t="s">
        <v>19</v>
      </c>
      <c r="B2" s="13">
        <v>0</v>
      </c>
      <c r="C2" s="13">
        <v>0</v>
      </c>
      <c r="D2" s="13">
        <v>-359435.685344</v>
      </c>
      <c r="E2" s="13">
        <v>0</v>
      </c>
    </row>
    <row r="3" spans="1:13" x14ac:dyDescent="0.35">
      <c r="A3" s="1" t="s">
        <v>20</v>
      </c>
      <c r="B3" s="13">
        <v>0.23930000000000001</v>
      </c>
      <c r="C3" s="13">
        <v>0.32082500000000003</v>
      </c>
      <c r="D3" s="13">
        <v>0.13824400000000001</v>
      </c>
      <c r="E3" s="13">
        <v>0.12903899999999999</v>
      </c>
    </row>
    <row r="4" spans="1:13" x14ac:dyDescent="0.35">
      <c r="A4" s="1" t="s">
        <v>21</v>
      </c>
      <c r="B4" s="13">
        <v>20.75</v>
      </c>
      <c r="C4" s="13">
        <v>4.1470000000000002</v>
      </c>
      <c r="D4" s="13">
        <v>56.463000000000001</v>
      </c>
      <c r="E4" s="13">
        <v>46.057000000000002</v>
      </c>
    </row>
    <row r="5" spans="1:13" x14ac:dyDescent="0.35">
      <c r="A5" s="1" t="s">
        <v>22</v>
      </c>
      <c r="B5" s="13">
        <v>0</v>
      </c>
      <c r="C5" s="13">
        <v>0</v>
      </c>
      <c r="D5" s="13">
        <v>0</v>
      </c>
      <c r="E5" s="13">
        <v>0</v>
      </c>
    </row>
    <row r="6" spans="1:13" x14ac:dyDescent="0.35">
      <c r="A6" s="1" t="s">
        <v>23</v>
      </c>
      <c r="B6" s="13">
        <v>0</v>
      </c>
      <c r="C6" s="13">
        <v>0</v>
      </c>
      <c r="D6" s="13">
        <v>-2.6</v>
      </c>
      <c r="E6" s="13">
        <v>0</v>
      </c>
    </row>
    <row r="7" spans="1:13" x14ac:dyDescent="0.35">
      <c r="A7" s="1" t="s">
        <v>24</v>
      </c>
      <c r="B7" s="13">
        <v>4.492</v>
      </c>
      <c r="C7" s="13">
        <v>-3.331</v>
      </c>
      <c r="D7" s="13">
        <v>39.616</v>
      </c>
      <c r="E7" s="13">
        <v>34.32</v>
      </c>
    </row>
    <row r="8" spans="1:13" x14ac:dyDescent="0.35">
      <c r="A8" s="1" t="s">
        <v>25</v>
      </c>
      <c r="B8" s="13">
        <v>2.5350000000000001</v>
      </c>
      <c r="C8" s="13">
        <v>1.4910000000000001</v>
      </c>
      <c r="D8" s="13">
        <v>4.18</v>
      </c>
      <c r="E8" s="13">
        <v>1.476</v>
      </c>
    </row>
    <row r="9" spans="1:13" x14ac:dyDescent="0.35">
      <c r="A9" s="1" t="s">
        <v>26</v>
      </c>
      <c r="B9" s="13">
        <v>27.978999999999999</v>
      </c>
      <c r="C9" s="13">
        <v>26.462</v>
      </c>
      <c r="D9" s="13">
        <v>28.155000000000001</v>
      </c>
      <c r="E9" s="13">
        <v>25.553000000000001</v>
      </c>
    </row>
    <row r="10" spans="1:13" x14ac:dyDescent="0.35">
      <c r="A10" s="1" t="s">
        <v>27</v>
      </c>
      <c r="B10" s="13">
        <v>20.75</v>
      </c>
      <c r="C10" s="13">
        <v>4.1470000000000002</v>
      </c>
      <c r="D10" s="13">
        <v>56.463000000000001</v>
      </c>
      <c r="E10" s="13">
        <v>46.057000000000002</v>
      </c>
    </row>
    <row r="11" spans="1:13" x14ac:dyDescent="0.35">
      <c r="A11" s="1" t="s">
        <v>28</v>
      </c>
      <c r="B11" s="13">
        <v>18.215</v>
      </c>
      <c r="C11" s="13">
        <v>2.6560000000000001</v>
      </c>
      <c r="D11" s="13">
        <v>52.283000000000001</v>
      </c>
      <c r="E11" s="13">
        <v>44.581000000000003</v>
      </c>
    </row>
    <row r="12" spans="1:13" x14ac:dyDescent="0.35">
      <c r="A12" s="1" t="s">
        <v>29</v>
      </c>
      <c r="B12" s="13">
        <v>-4.1120000000000001</v>
      </c>
      <c r="C12" s="13">
        <v>-3.58</v>
      </c>
      <c r="D12" s="13">
        <v>-6.2160000000000002</v>
      </c>
      <c r="E12" s="13">
        <v>-4.1829999999999998</v>
      </c>
    </row>
    <row r="13" spans="1:13" x14ac:dyDescent="0.35">
      <c r="A13" s="1" t="s">
        <v>30</v>
      </c>
      <c r="B13" s="13">
        <v>5.8789999999999996</v>
      </c>
      <c r="C13" s="13">
        <v>4.548</v>
      </c>
      <c r="D13" s="13">
        <v>4.6500000000000004</v>
      </c>
      <c r="E13" s="13">
        <v>3.9809999999999999</v>
      </c>
    </row>
    <row r="14" spans="1:13" x14ac:dyDescent="0.35">
      <c r="A14" s="1" t="s">
        <v>31</v>
      </c>
      <c r="B14" s="13">
        <v>1.5820000000000001</v>
      </c>
      <c r="C14" s="13">
        <v>1.036</v>
      </c>
      <c r="D14" s="13">
        <v>0.104</v>
      </c>
      <c r="E14" s="13">
        <v>0.17100000000000001</v>
      </c>
    </row>
    <row r="15" spans="1:13" x14ac:dyDescent="0.35">
      <c r="A15" s="1" t="s">
        <v>32</v>
      </c>
      <c r="B15" s="13">
        <v>4.492</v>
      </c>
      <c r="C15" s="13">
        <v>-3.331</v>
      </c>
      <c r="D15" s="13">
        <v>44.456564314655999</v>
      </c>
      <c r="E15" s="13">
        <v>34.32</v>
      </c>
    </row>
    <row r="16" spans="1:13" x14ac:dyDescent="0.35">
      <c r="A16" s="1" t="s">
        <v>33</v>
      </c>
      <c r="B16" s="13">
        <v>68.572999999999993</v>
      </c>
      <c r="C16" s="13">
        <v>1.3460000000000001</v>
      </c>
      <c r="D16" s="13">
        <v>39.616</v>
      </c>
      <c r="E16" s="13">
        <v>34.32</v>
      </c>
    </row>
    <row r="17" spans="1:5" x14ac:dyDescent="0.35">
      <c r="A17" s="1" t="s">
        <v>34</v>
      </c>
      <c r="B17" s="13">
        <v>40.962000000000003</v>
      </c>
      <c r="C17" s="13">
        <v>50.500999999999998</v>
      </c>
      <c r="D17" s="13">
        <v>11.823</v>
      </c>
      <c r="E17" s="13">
        <v>8.1430000000000007</v>
      </c>
    </row>
    <row r="18" spans="1:5" x14ac:dyDescent="0.35">
      <c r="A18" s="1" t="s">
        <v>35</v>
      </c>
      <c r="B18" s="13">
        <v>16.66</v>
      </c>
      <c r="C18" s="13">
        <v>-1.196</v>
      </c>
      <c r="D18" s="13">
        <v>53.107999999999997</v>
      </c>
      <c r="E18" s="13">
        <v>44.642000000000003</v>
      </c>
    </row>
    <row r="19" spans="1:5" x14ac:dyDescent="0.35">
      <c r="A19" s="1" t="s">
        <v>36</v>
      </c>
      <c r="B19" s="13">
        <v>174.38</v>
      </c>
      <c r="C19" s="13">
        <v>159.73099999999999</v>
      </c>
      <c r="D19" s="13">
        <v>159.70400000000001</v>
      </c>
      <c r="E19" s="13">
        <v>160.547</v>
      </c>
    </row>
    <row r="20" spans="1:5" x14ac:dyDescent="0.35">
      <c r="A20" s="1" t="s">
        <v>37</v>
      </c>
      <c r="B20" s="13">
        <v>173.78100000000001</v>
      </c>
      <c r="C20" s="13">
        <v>158.548</v>
      </c>
      <c r="D20" s="13">
        <v>157.53399999999999</v>
      </c>
      <c r="E20" s="13">
        <v>156.553</v>
      </c>
    </row>
    <row r="21" spans="1:5" x14ac:dyDescent="0.35">
      <c r="A21" s="1" t="s">
        <v>38</v>
      </c>
      <c r="B21" s="13">
        <v>0.39300000000000002</v>
      </c>
      <c r="C21" s="13">
        <v>8.0000000000000002E-3</v>
      </c>
      <c r="D21" s="13">
        <v>0.248</v>
      </c>
      <c r="E21" s="13">
        <v>0.214</v>
      </c>
    </row>
    <row r="22" spans="1:5" x14ac:dyDescent="0.35">
      <c r="A22" s="1" t="s">
        <v>39</v>
      </c>
      <c r="B22" s="13">
        <v>0.39500000000000002</v>
      </c>
      <c r="C22" s="13">
        <v>8.0000000000000002E-3</v>
      </c>
      <c r="D22" s="13">
        <v>0.251</v>
      </c>
      <c r="E22" s="13">
        <v>0.219</v>
      </c>
    </row>
    <row r="23" spans="1:5" x14ac:dyDescent="0.35">
      <c r="A23" s="1" t="s">
        <v>40</v>
      </c>
      <c r="B23" s="13">
        <v>68.572999999999993</v>
      </c>
      <c r="C23" s="13">
        <v>1.3460000000000001</v>
      </c>
      <c r="D23" s="13">
        <v>39.616</v>
      </c>
      <c r="E23" s="13">
        <v>34.32</v>
      </c>
    </row>
    <row r="24" spans="1:5" x14ac:dyDescent="0.35">
      <c r="A24" s="1" t="s">
        <v>41</v>
      </c>
      <c r="B24" s="13">
        <v>68.572999999999993</v>
      </c>
      <c r="C24" s="13">
        <v>1.3460000000000001</v>
      </c>
      <c r="D24" s="13">
        <v>39.616</v>
      </c>
      <c r="E24" s="13">
        <v>34.32</v>
      </c>
    </row>
    <row r="25" spans="1:5" x14ac:dyDescent="0.35">
      <c r="A25" s="1" t="s">
        <v>42</v>
      </c>
      <c r="B25" s="13">
        <v>0</v>
      </c>
      <c r="C25" s="13">
        <v>0</v>
      </c>
      <c r="D25" s="13">
        <v>0</v>
      </c>
      <c r="E25" s="13">
        <v>0</v>
      </c>
    </row>
    <row r="26" spans="1:5" x14ac:dyDescent="0.35">
      <c r="A26" s="1" t="s">
        <v>43</v>
      </c>
      <c r="B26" s="13">
        <v>68.572999999999993</v>
      </c>
      <c r="C26" s="13">
        <v>1.3460000000000001</v>
      </c>
      <c r="D26" s="13">
        <v>39.616</v>
      </c>
      <c r="E26" s="13">
        <v>34.32</v>
      </c>
    </row>
    <row r="27" spans="1:5" x14ac:dyDescent="0.35">
      <c r="A27" s="1" t="s">
        <v>44</v>
      </c>
      <c r="B27" s="13">
        <v>-4.8929999999999998</v>
      </c>
      <c r="C27" s="13">
        <v>-2.0470000000000002</v>
      </c>
      <c r="D27" s="13">
        <v>-1.4330000000000001</v>
      </c>
      <c r="E27" s="13">
        <v>-1.042</v>
      </c>
    </row>
    <row r="28" spans="1:5" x14ac:dyDescent="0.35">
      <c r="A28" s="1" t="s">
        <v>45</v>
      </c>
      <c r="B28" s="13">
        <v>73.465999999999994</v>
      </c>
      <c r="C28" s="13">
        <v>3.3919999999999999</v>
      </c>
      <c r="D28" s="13">
        <v>41.048999999999999</v>
      </c>
      <c r="E28" s="13">
        <v>35.362000000000002</v>
      </c>
    </row>
    <row r="29" spans="1:5" x14ac:dyDescent="0.35">
      <c r="A29" s="1" t="s">
        <v>46</v>
      </c>
      <c r="B29" s="13">
        <v>64.081000000000003</v>
      </c>
      <c r="C29" s="13">
        <v>4.6769999999999996</v>
      </c>
      <c r="D29" s="13">
        <v>0</v>
      </c>
      <c r="E29" s="13">
        <v>0</v>
      </c>
    </row>
    <row r="30" spans="1:5" x14ac:dyDescent="0.35">
      <c r="A30" s="1" t="s">
        <v>47</v>
      </c>
      <c r="B30" s="13">
        <v>9.3849999999999998</v>
      </c>
      <c r="C30" s="13">
        <v>-1.2849999999999999</v>
      </c>
      <c r="D30" s="13">
        <v>41.048999999999999</v>
      </c>
      <c r="E30" s="13">
        <v>35.362000000000002</v>
      </c>
    </row>
    <row r="31" spans="1:5" x14ac:dyDescent="0.35">
      <c r="A31" s="1" t="s">
        <v>48</v>
      </c>
      <c r="B31" s="13">
        <v>2.952</v>
      </c>
      <c r="C31" s="13">
        <v>-0.60699999999999998</v>
      </c>
      <c r="D31" s="13">
        <v>6.585</v>
      </c>
      <c r="E31" s="13">
        <v>5.2389999999999999</v>
      </c>
    </row>
    <row r="32" spans="1:5" x14ac:dyDescent="0.35">
      <c r="A32" s="1" t="s">
        <v>49</v>
      </c>
      <c r="B32" s="13">
        <v>12.336</v>
      </c>
      <c r="C32" s="13">
        <v>-1.8919999999999999</v>
      </c>
      <c r="D32" s="13">
        <v>47.633000000000003</v>
      </c>
      <c r="E32" s="13">
        <v>40.6</v>
      </c>
    </row>
    <row r="33" spans="1:5" x14ac:dyDescent="0.35">
      <c r="A33" s="1" t="s">
        <v>50</v>
      </c>
      <c r="B33" s="13">
        <v>0</v>
      </c>
      <c r="C33" s="13">
        <v>3.1219999999999999</v>
      </c>
      <c r="D33" s="13">
        <v>0.25</v>
      </c>
      <c r="E33" s="13">
        <v>0</v>
      </c>
    </row>
    <row r="34" spans="1:5" x14ac:dyDescent="0.35">
      <c r="A34" s="1" t="s">
        <v>51</v>
      </c>
      <c r="B34" s="13">
        <v>0</v>
      </c>
      <c r="C34" s="13">
        <v>0</v>
      </c>
      <c r="D34" s="13">
        <v>-2.6</v>
      </c>
      <c r="E34" s="13">
        <v>0</v>
      </c>
    </row>
    <row r="35" spans="1:5" x14ac:dyDescent="0.35">
      <c r="A35" s="1" t="s">
        <v>52</v>
      </c>
      <c r="B35" s="13">
        <v>0</v>
      </c>
      <c r="C35" s="13">
        <v>-3.1219999999999999</v>
      </c>
      <c r="D35" s="13">
        <v>-0.25</v>
      </c>
      <c r="E35" s="13">
        <v>0</v>
      </c>
    </row>
    <row r="36" spans="1:5" x14ac:dyDescent="0.35">
      <c r="A36" s="1" t="s">
        <v>53</v>
      </c>
      <c r="B36" s="13">
        <v>-4.1120000000000001</v>
      </c>
      <c r="C36" s="13">
        <v>-3.58</v>
      </c>
      <c r="D36" s="13">
        <v>-6.2160000000000002</v>
      </c>
      <c r="E36" s="13">
        <v>-4.1829999999999998</v>
      </c>
    </row>
    <row r="37" spans="1:5" x14ac:dyDescent="0.35">
      <c r="A37" s="1" t="s">
        <v>54</v>
      </c>
      <c r="B37" s="13">
        <v>-0.185</v>
      </c>
      <c r="C37" s="13">
        <v>6.8000000000000005E-2</v>
      </c>
      <c r="D37" s="13">
        <v>1.67</v>
      </c>
      <c r="E37" s="13">
        <v>0.373</v>
      </c>
    </row>
    <row r="38" spans="1:5" x14ac:dyDescent="0.35">
      <c r="A38" s="1" t="s">
        <v>55</v>
      </c>
      <c r="B38" s="13">
        <v>5.8789999999999996</v>
      </c>
      <c r="C38" s="13">
        <v>4.548</v>
      </c>
      <c r="D38" s="13">
        <v>4.6500000000000004</v>
      </c>
      <c r="E38" s="13">
        <v>3.9809999999999999</v>
      </c>
    </row>
    <row r="39" spans="1:5" x14ac:dyDescent="0.35">
      <c r="A39" s="1" t="s">
        <v>56</v>
      </c>
      <c r="B39" s="13">
        <v>1.5820000000000001</v>
      </c>
      <c r="C39" s="13">
        <v>1.036</v>
      </c>
      <c r="D39" s="13">
        <v>0.104</v>
      </c>
      <c r="E39" s="13">
        <v>0.17100000000000001</v>
      </c>
    </row>
    <row r="40" spans="1:5" x14ac:dyDescent="0.35">
      <c r="A40" s="1" t="s">
        <v>57</v>
      </c>
      <c r="B40" s="13">
        <v>16.658999999999999</v>
      </c>
      <c r="C40" s="13">
        <v>-1.196</v>
      </c>
      <c r="D40" s="13">
        <v>55.709000000000003</v>
      </c>
      <c r="E40" s="13">
        <v>44.640999999999998</v>
      </c>
    </row>
    <row r="41" spans="1:5" x14ac:dyDescent="0.35">
      <c r="A41" s="1" t="s">
        <v>58</v>
      </c>
      <c r="B41" s="13">
        <v>12.983000000000001</v>
      </c>
      <c r="C41" s="13">
        <v>24.039000000000001</v>
      </c>
      <c r="D41" s="13">
        <v>-16.332000000000001</v>
      </c>
      <c r="E41" s="13">
        <v>-17.41</v>
      </c>
    </row>
    <row r="42" spans="1:5" x14ac:dyDescent="0.35">
      <c r="A42" s="1" t="s">
        <v>59</v>
      </c>
      <c r="B42" s="13">
        <v>11.547000000000001</v>
      </c>
      <c r="C42" s="13">
        <v>15.731</v>
      </c>
      <c r="D42" s="13">
        <v>9.7620000000000005</v>
      </c>
      <c r="E42" s="13">
        <v>8.907</v>
      </c>
    </row>
    <row r="43" spans="1:5" x14ac:dyDescent="0.35">
      <c r="A43" s="1" t="s">
        <v>60</v>
      </c>
      <c r="B43" s="13">
        <v>2.4449999999999998</v>
      </c>
      <c r="C43" s="13">
        <v>1.393</v>
      </c>
      <c r="D43" s="13">
        <v>1.58</v>
      </c>
      <c r="E43" s="13">
        <v>1.476</v>
      </c>
    </row>
    <row r="44" spans="1:5" x14ac:dyDescent="0.35">
      <c r="A44" s="1" t="s">
        <v>61</v>
      </c>
      <c r="B44" s="13">
        <v>1.1579999999999999</v>
      </c>
      <c r="C44" s="13">
        <v>8.5999999999999993E-2</v>
      </c>
      <c r="D44" s="13">
        <v>0.39600000000000002</v>
      </c>
      <c r="E44" s="13">
        <v>0.44700000000000001</v>
      </c>
    </row>
    <row r="45" spans="1:5" x14ac:dyDescent="0.35">
      <c r="A45" s="1" t="s">
        <v>62</v>
      </c>
      <c r="B45" s="13">
        <v>1.2869999999999999</v>
      </c>
      <c r="C45" s="13">
        <v>1.3069999999999999</v>
      </c>
      <c r="D45" s="13">
        <v>1.1839999999999999</v>
      </c>
      <c r="E45" s="13">
        <v>1.0289999999999999</v>
      </c>
    </row>
    <row r="46" spans="1:5" x14ac:dyDescent="0.35">
      <c r="A46" s="1" t="s">
        <v>63</v>
      </c>
      <c r="B46" s="13">
        <v>29.641999999999999</v>
      </c>
      <c r="C46" s="13">
        <v>22.843</v>
      </c>
      <c r="D46" s="13">
        <v>39.377000000000002</v>
      </c>
      <c r="E46" s="13">
        <v>27.231000000000002</v>
      </c>
    </row>
    <row r="47" spans="1:5" x14ac:dyDescent="0.35">
      <c r="A47" s="1" t="s">
        <v>64</v>
      </c>
      <c r="B47" s="13">
        <v>27.978999999999999</v>
      </c>
      <c r="C47" s="13">
        <v>26.462</v>
      </c>
      <c r="D47" s="13">
        <v>28.155000000000001</v>
      </c>
      <c r="E47" s="13">
        <v>25.553000000000001</v>
      </c>
    </row>
    <row r="48" spans="1:5" x14ac:dyDescent="0.35">
      <c r="A48" s="1" t="s">
        <v>65</v>
      </c>
      <c r="B48" s="13">
        <v>57.621000000000002</v>
      </c>
      <c r="C48" s="13">
        <v>49.305</v>
      </c>
      <c r="D48" s="13">
        <v>67.531999999999996</v>
      </c>
      <c r="E48" s="13">
        <v>52.783999999999999</v>
      </c>
    </row>
    <row r="49" spans="1:5" x14ac:dyDescent="0.35">
      <c r="A49" s="1" t="s">
        <v>66</v>
      </c>
      <c r="B49" s="13">
        <v>57.621000000000002</v>
      </c>
      <c r="C49" s="13">
        <v>49.305</v>
      </c>
      <c r="D49" s="13">
        <v>67.531999999999996</v>
      </c>
      <c r="E49" s="13">
        <v>52.783999999999999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workbookViewId="0"/>
  </sheetViews>
  <sheetFormatPr defaultRowHeight="14.5" x14ac:dyDescent="0.35"/>
  <cols>
    <col min="1" max="1" width="38.7265625" customWidth="1"/>
    <col min="2" max="2" width="22.90625" customWidth="1"/>
    <col min="3" max="3" width="25.6328125" customWidth="1"/>
    <col min="4" max="4" width="23.36328125" customWidth="1"/>
    <col min="5" max="5" width="52.6328125" customWidth="1"/>
  </cols>
  <sheetData>
    <row r="1" spans="1:5" ht="15" thickBot="1" x14ac:dyDescent="0.4">
      <c r="A1" s="65" t="s">
        <v>260</v>
      </c>
      <c r="B1" s="2">
        <v>45657</v>
      </c>
      <c r="C1" s="2">
        <v>45291</v>
      </c>
      <c r="D1" s="2">
        <v>44926</v>
      </c>
      <c r="E1" s="2">
        <v>44561</v>
      </c>
    </row>
    <row r="2" spans="1:5" ht="15" thickTop="1" x14ac:dyDescent="0.35">
      <c r="A2" s="38" t="s">
        <v>67</v>
      </c>
      <c r="B2" s="13">
        <v>2.6298999999999999E-2</v>
      </c>
      <c r="C2" s="13">
        <v>2.6298999999999999E-2</v>
      </c>
      <c r="D2" s="13">
        <v>2.6298999999999999E-2</v>
      </c>
      <c r="E2" s="13">
        <v>2.6298999999999999E-2</v>
      </c>
    </row>
    <row r="3" spans="1:5" x14ac:dyDescent="0.35">
      <c r="A3" s="1" t="s">
        <v>68</v>
      </c>
      <c r="B3" s="13">
        <v>176.851911</v>
      </c>
      <c r="C3" s="13">
        <v>158.82308800000001</v>
      </c>
      <c r="D3" s="13">
        <v>158.02866900000001</v>
      </c>
      <c r="E3" s="13">
        <v>156.59099399999999</v>
      </c>
    </row>
    <row r="4" spans="1:5" x14ac:dyDescent="0.35">
      <c r="A4" s="1" t="s">
        <v>69</v>
      </c>
      <c r="B4" s="13">
        <v>176.87821</v>
      </c>
      <c r="C4" s="13">
        <v>158.84938700000001</v>
      </c>
      <c r="D4" s="13">
        <v>158.054968</v>
      </c>
      <c r="E4" s="13">
        <v>156.61729299999999</v>
      </c>
    </row>
    <row r="5" spans="1:5" x14ac:dyDescent="0.35">
      <c r="A5" s="1" t="s">
        <v>70</v>
      </c>
      <c r="B5" s="13">
        <v>11.465</v>
      </c>
      <c r="C5" s="13">
        <v>50.795999999999999</v>
      </c>
      <c r="D5" s="13">
        <v>36.131</v>
      </c>
      <c r="E5" s="13">
        <v>18.187999999999999</v>
      </c>
    </row>
    <row r="6" spans="1:5" x14ac:dyDescent="0.35">
      <c r="A6" s="1" t="s">
        <v>71</v>
      </c>
      <c r="B6" s="13">
        <v>102.533</v>
      </c>
      <c r="C6" s="13">
        <v>93.855999999999995</v>
      </c>
      <c r="D6" s="13">
        <v>92.965999999999994</v>
      </c>
      <c r="E6" s="13">
        <v>83.007999999999996</v>
      </c>
    </row>
    <row r="7" spans="1:5" x14ac:dyDescent="0.35">
      <c r="A7" s="1" t="s">
        <v>72</v>
      </c>
      <c r="B7" s="13">
        <v>156.26900000000001</v>
      </c>
      <c r="C7" s="13">
        <v>105.3</v>
      </c>
      <c r="D7" s="13">
        <v>132.07</v>
      </c>
      <c r="E7" s="13">
        <v>110.004</v>
      </c>
    </row>
    <row r="8" spans="1:5" x14ac:dyDescent="0.35">
      <c r="A8" s="1" t="s">
        <v>73</v>
      </c>
      <c r="B8" s="13">
        <v>298.39999999999998</v>
      </c>
      <c r="C8" s="13">
        <v>203.01</v>
      </c>
      <c r="D8" s="13">
        <v>229.75800000000001</v>
      </c>
      <c r="E8" s="13">
        <v>207.173</v>
      </c>
    </row>
    <row r="9" spans="1:5" x14ac:dyDescent="0.35">
      <c r="A9" s="1" t="s">
        <v>74</v>
      </c>
      <c r="B9" s="13">
        <v>90.884</v>
      </c>
      <c r="C9" s="13">
        <v>34.195999999999998</v>
      </c>
      <c r="D9" s="13">
        <v>61.369</v>
      </c>
      <c r="E9" s="13">
        <v>61.779000000000003</v>
      </c>
    </row>
    <row r="10" spans="1:5" x14ac:dyDescent="0.35">
      <c r="A10" s="1" t="s">
        <v>75</v>
      </c>
      <c r="B10" s="13">
        <v>156.26900000000001</v>
      </c>
      <c r="C10" s="13">
        <v>105.3</v>
      </c>
      <c r="D10" s="13">
        <v>132.07</v>
      </c>
      <c r="E10" s="13">
        <v>110.004</v>
      </c>
    </row>
    <row r="11" spans="1:5" x14ac:dyDescent="0.35">
      <c r="A11" s="1" t="s">
        <v>76</v>
      </c>
      <c r="B11" s="13">
        <v>2.9260000000000002</v>
      </c>
      <c r="C11" s="13">
        <v>4.0430000000000001</v>
      </c>
      <c r="D11" s="13">
        <v>3.2639999999999998</v>
      </c>
      <c r="E11" s="13">
        <v>1.613</v>
      </c>
    </row>
    <row r="12" spans="1:5" x14ac:dyDescent="0.35">
      <c r="A12" s="1" t="s">
        <v>77</v>
      </c>
      <c r="B12" s="13">
        <v>198.79300000000001</v>
      </c>
      <c r="C12" s="13">
        <v>113.197</v>
      </c>
      <c r="D12" s="13">
        <v>140.05600000000001</v>
      </c>
      <c r="E12" s="13">
        <v>125.77800000000001</v>
      </c>
    </row>
    <row r="13" spans="1:5" x14ac:dyDescent="0.35">
      <c r="A13" s="1" t="s">
        <v>78</v>
      </c>
      <c r="B13" s="13">
        <v>298.39999999999998</v>
      </c>
      <c r="C13" s="13">
        <v>202.947</v>
      </c>
      <c r="D13" s="13">
        <v>229.70599999999999</v>
      </c>
      <c r="E13" s="13">
        <v>207.13300000000001</v>
      </c>
    </row>
    <row r="14" spans="1:5" x14ac:dyDescent="0.35">
      <c r="A14" s="1" t="s">
        <v>79</v>
      </c>
      <c r="B14" s="13">
        <v>202.56800000000001</v>
      </c>
      <c r="C14" s="13">
        <v>115.125</v>
      </c>
      <c r="D14" s="13">
        <v>142.14400000000001</v>
      </c>
      <c r="E14" s="13">
        <v>127.39400000000001</v>
      </c>
    </row>
    <row r="15" spans="1:5" x14ac:dyDescent="0.35">
      <c r="A15" s="1" t="s">
        <v>80</v>
      </c>
      <c r="B15" s="13">
        <v>3.7749999999999999</v>
      </c>
      <c r="C15" s="13">
        <v>1.9279999999999999</v>
      </c>
      <c r="D15" s="13">
        <v>2.0880000000000001</v>
      </c>
      <c r="E15" s="13">
        <v>1.6160000000000001</v>
      </c>
    </row>
    <row r="16" spans="1:5" x14ac:dyDescent="0.35">
      <c r="A16" s="1" t="s">
        <v>81</v>
      </c>
      <c r="B16" s="13">
        <v>198.79300000000001</v>
      </c>
      <c r="C16" s="13">
        <v>113.197</v>
      </c>
      <c r="D16" s="13">
        <v>140.05600000000001</v>
      </c>
      <c r="E16" s="13">
        <v>125.77800000000001</v>
      </c>
    </row>
    <row r="17" spans="1:5" x14ac:dyDescent="0.35">
      <c r="A17" s="1" t="s">
        <v>82</v>
      </c>
      <c r="B17" s="13">
        <v>0</v>
      </c>
      <c r="C17" s="13">
        <v>-1E-3</v>
      </c>
      <c r="D17" s="13">
        <v>0</v>
      </c>
      <c r="E17" s="13">
        <v>-1E-3</v>
      </c>
    </row>
    <row r="18" spans="1:5" x14ac:dyDescent="0.35">
      <c r="A18" s="1" t="s">
        <v>83</v>
      </c>
      <c r="B18" s="13">
        <v>104.166</v>
      </c>
      <c r="C18" s="13">
        <v>52.914000000000001</v>
      </c>
      <c r="D18" s="13">
        <v>65.472999999999999</v>
      </c>
      <c r="E18" s="13">
        <v>33.606999999999999</v>
      </c>
    </row>
    <row r="19" spans="1:5" x14ac:dyDescent="0.35">
      <c r="A19" s="1" t="s">
        <v>84</v>
      </c>
      <c r="B19" s="13">
        <v>38.968000000000004</v>
      </c>
      <c r="C19" s="13">
        <v>38.968000000000004</v>
      </c>
      <c r="D19" s="13">
        <v>38.968000000000004</v>
      </c>
      <c r="E19" s="13">
        <v>38.968000000000004</v>
      </c>
    </row>
    <row r="20" spans="1:5" x14ac:dyDescent="0.35">
      <c r="A20" s="1" t="s">
        <v>85</v>
      </c>
      <c r="B20" s="13">
        <v>35.198</v>
      </c>
      <c r="C20" s="13">
        <v>0.77200000000000002</v>
      </c>
      <c r="D20" s="13">
        <v>0.77200000000000002</v>
      </c>
      <c r="E20" s="13">
        <v>0.77200000000000002</v>
      </c>
    </row>
    <row r="21" spans="1:5" x14ac:dyDescent="0.35">
      <c r="A21" s="1" t="s">
        <v>86</v>
      </c>
      <c r="B21" s="13">
        <v>35.198</v>
      </c>
      <c r="C21" s="13">
        <v>0.77200000000000002</v>
      </c>
      <c r="D21" s="13">
        <v>0.77200000000000002</v>
      </c>
      <c r="E21" s="13">
        <v>0.77200000000000002</v>
      </c>
    </row>
    <row r="22" spans="1:5" x14ac:dyDescent="0.35">
      <c r="A22" s="1" t="s">
        <v>87</v>
      </c>
      <c r="B22" s="13">
        <v>140.75399999999999</v>
      </c>
      <c r="C22" s="13">
        <v>126.422</v>
      </c>
      <c r="D22" s="13">
        <v>128.36799999999999</v>
      </c>
      <c r="E22" s="13">
        <v>112.869</v>
      </c>
    </row>
    <row r="23" spans="1:5" x14ac:dyDescent="0.35">
      <c r="A23" s="1" t="s">
        <v>88</v>
      </c>
      <c r="B23" s="13">
        <v>110.346</v>
      </c>
      <c r="C23" s="13">
        <v>98.944000000000003</v>
      </c>
      <c r="D23" s="13">
        <v>107.61499999999999</v>
      </c>
      <c r="E23" s="13">
        <v>94.216999999999999</v>
      </c>
    </row>
    <row r="24" spans="1:5" x14ac:dyDescent="0.35">
      <c r="A24" s="1" t="s">
        <v>89</v>
      </c>
      <c r="B24" s="13">
        <v>0.54800000000000004</v>
      </c>
      <c r="C24" s="13">
        <v>0.48299999999999998</v>
      </c>
      <c r="D24" s="13">
        <v>7.343</v>
      </c>
      <c r="E24" s="13">
        <v>7.5519999999999996</v>
      </c>
    </row>
    <row r="25" spans="1:5" x14ac:dyDescent="0.35">
      <c r="A25" s="1" t="s">
        <v>90</v>
      </c>
      <c r="B25" s="13">
        <v>8.5359999999999996</v>
      </c>
      <c r="C25" s="13">
        <v>5.9909999999999997</v>
      </c>
      <c r="D25" s="13">
        <v>8.4179999999999993</v>
      </c>
      <c r="E25" s="13">
        <v>4.6269999999999998</v>
      </c>
    </row>
    <row r="26" spans="1:5" x14ac:dyDescent="0.35">
      <c r="A26" s="1" t="s">
        <v>91</v>
      </c>
      <c r="B26" s="13">
        <v>101.262</v>
      </c>
      <c r="C26" s="13">
        <v>92.47</v>
      </c>
      <c r="D26" s="13">
        <v>91.853999999999999</v>
      </c>
      <c r="E26" s="13">
        <v>82.037999999999997</v>
      </c>
    </row>
    <row r="27" spans="1:5" x14ac:dyDescent="0.35">
      <c r="A27" s="1" t="s">
        <v>92</v>
      </c>
      <c r="B27" s="13">
        <v>1.655</v>
      </c>
      <c r="C27" s="13">
        <v>2.72</v>
      </c>
      <c r="D27" s="13">
        <v>2.2040000000000002</v>
      </c>
      <c r="E27" s="13">
        <v>0.68300000000000005</v>
      </c>
    </row>
    <row r="28" spans="1:5" x14ac:dyDescent="0.35">
      <c r="A28" s="1" t="s">
        <v>93</v>
      </c>
      <c r="B28" s="13">
        <v>99.606999999999999</v>
      </c>
      <c r="C28" s="13">
        <v>89.75</v>
      </c>
      <c r="D28" s="13">
        <v>89.65</v>
      </c>
      <c r="E28" s="13">
        <v>81.355000000000004</v>
      </c>
    </row>
    <row r="29" spans="1:5" x14ac:dyDescent="0.35">
      <c r="A29" s="1" t="s">
        <v>94</v>
      </c>
      <c r="B29" s="13">
        <v>30.408000000000001</v>
      </c>
      <c r="C29" s="13">
        <v>27.478000000000002</v>
      </c>
      <c r="D29" s="13">
        <v>20.753</v>
      </c>
      <c r="E29" s="13">
        <v>18.652000000000001</v>
      </c>
    </row>
    <row r="30" spans="1:5" x14ac:dyDescent="0.35">
      <c r="A30" s="1" t="s">
        <v>95</v>
      </c>
      <c r="B30" s="13">
        <v>1.7250000000000001</v>
      </c>
      <c r="C30" s="13">
        <v>7.1159999999999997</v>
      </c>
      <c r="D30" s="13">
        <v>3.714</v>
      </c>
      <c r="E30" s="13">
        <v>3.3460000000000001</v>
      </c>
    </row>
    <row r="31" spans="1:5" x14ac:dyDescent="0.35">
      <c r="A31" s="1" t="s">
        <v>96</v>
      </c>
      <c r="B31" s="13">
        <v>1.2709999999999999</v>
      </c>
      <c r="C31" s="13">
        <v>1.3859999999999999</v>
      </c>
      <c r="D31" s="13">
        <v>1.1120000000000001</v>
      </c>
      <c r="E31" s="13">
        <v>0.97</v>
      </c>
    </row>
    <row r="32" spans="1:5" x14ac:dyDescent="0.35">
      <c r="A32" s="1" t="s">
        <v>97</v>
      </c>
      <c r="B32" s="13">
        <v>1.2709999999999999</v>
      </c>
      <c r="C32" s="13">
        <v>1.323</v>
      </c>
      <c r="D32" s="13">
        <v>1.06</v>
      </c>
      <c r="E32" s="13">
        <v>0.93</v>
      </c>
    </row>
    <row r="33" spans="1:5" x14ac:dyDescent="0.35">
      <c r="A33" s="1" t="s">
        <v>98</v>
      </c>
      <c r="B33" s="13">
        <v>0</v>
      </c>
      <c r="C33" s="13">
        <v>6.3E-2</v>
      </c>
      <c r="D33" s="13">
        <v>5.1999999999999998E-2</v>
      </c>
      <c r="E33" s="13">
        <v>0.04</v>
      </c>
    </row>
    <row r="34" spans="1:5" x14ac:dyDescent="0.35">
      <c r="A34" s="1" t="s">
        <v>99</v>
      </c>
      <c r="B34" s="13">
        <v>11.044</v>
      </c>
      <c r="C34" s="13">
        <v>4.0369999999999999</v>
      </c>
      <c r="D34" s="13">
        <v>1.645</v>
      </c>
      <c r="E34" s="13">
        <v>2.1890000000000001</v>
      </c>
    </row>
    <row r="35" spans="1:5" x14ac:dyDescent="0.35">
      <c r="A35" s="1" t="s">
        <v>100</v>
      </c>
      <c r="B35" s="13">
        <v>9.76</v>
      </c>
      <c r="C35" s="13">
        <v>1.9359999999999999</v>
      </c>
      <c r="D35" s="13">
        <v>0.47799999999999998</v>
      </c>
      <c r="E35" s="13">
        <v>0.95899999999999996</v>
      </c>
    </row>
    <row r="36" spans="1:5" x14ac:dyDescent="0.35">
      <c r="A36" s="1" t="s">
        <v>101</v>
      </c>
      <c r="B36" s="13">
        <v>1.284</v>
      </c>
      <c r="C36" s="13">
        <v>2.101</v>
      </c>
      <c r="D36" s="13">
        <v>1.167</v>
      </c>
      <c r="E36" s="13">
        <v>1.23</v>
      </c>
    </row>
    <row r="37" spans="1:5" x14ac:dyDescent="0.35">
      <c r="A37" s="1" t="s">
        <v>102</v>
      </c>
      <c r="B37" s="13">
        <v>343.322</v>
      </c>
      <c r="C37" s="13">
        <v>241.547</v>
      </c>
      <c r="D37" s="13">
        <v>270.512</v>
      </c>
      <c r="E37" s="13">
        <v>240.26300000000001</v>
      </c>
    </row>
    <row r="38" spans="1:5" x14ac:dyDescent="0.35">
      <c r="A38" s="1" t="s">
        <v>103</v>
      </c>
      <c r="B38" s="13">
        <v>222.03299999999999</v>
      </c>
      <c r="C38" s="13">
        <v>179.875</v>
      </c>
      <c r="D38" s="13">
        <v>188.38800000000001</v>
      </c>
      <c r="E38" s="13">
        <v>159.834</v>
      </c>
    </row>
    <row r="39" spans="1:5" x14ac:dyDescent="0.35">
      <c r="A39" s="1" t="s">
        <v>104</v>
      </c>
      <c r="B39" s="13">
        <v>1.7330000000000001</v>
      </c>
      <c r="C39" s="13">
        <v>1.8959999999999999</v>
      </c>
      <c r="D39" s="13">
        <v>1.79</v>
      </c>
      <c r="E39" s="13">
        <v>1.8360000000000001</v>
      </c>
    </row>
    <row r="40" spans="1:5" x14ac:dyDescent="0.35">
      <c r="A40" s="1" t="s">
        <v>105</v>
      </c>
      <c r="B40" s="13">
        <v>167.792</v>
      </c>
      <c r="C40" s="13">
        <v>159.41499999999999</v>
      </c>
      <c r="D40" s="13">
        <v>169.49700000000001</v>
      </c>
      <c r="E40" s="13">
        <v>130.404</v>
      </c>
    </row>
    <row r="41" spans="1:5" x14ac:dyDescent="0.35">
      <c r="A41" s="1" t="s">
        <v>106</v>
      </c>
      <c r="B41" s="13">
        <v>167.792</v>
      </c>
      <c r="C41" s="13">
        <v>159.41499999999999</v>
      </c>
      <c r="D41" s="13">
        <v>169.49700000000001</v>
      </c>
      <c r="E41" s="13">
        <v>130.404</v>
      </c>
    </row>
    <row r="42" spans="1:5" x14ac:dyDescent="0.35">
      <c r="A42" s="1" t="s">
        <v>107</v>
      </c>
      <c r="B42" s="13">
        <v>42.524000000000001</v>
      </c>
      <c r="C42" s="13">
        <v>7.8970000000000002</v>
      </c>
      <c r="D42" s="13">
        <v>7.9859999999999998</v>
      </c>
      <c r="E42" s="13">
        <v>15.773999999999999</v>
      </c>
    </row>
    <row r="43" spans="1:5" x14ac:dyDescent="0.35">
      <c r="A43" s="1" t="s">
        <v>108</v>
      </c>
      <c r="B43" s="13">
        <v>12.388999999999999</v>
      </c>
      <c r="C43" s="13">
        <v>1.0999999999999999E-2</v>
      </c>
      <c r="D43" s="13">
        <v>0.1</v>
      </c>
      <c r="E43" s="13">
        <v>0.46</v>
      </c>
    </row>
    <row r="44" spans="1:5" x14ac:dyDescent="0.35">
      <c r="A44" s="1" t="s">
        <v>109</v>
      </c>
      <c r="B44" s="13">
        <v>30.135000000000002</v>
      </c>
      <c r="C44" s="13">
        <v>7.8860000000000001</v>
      </c>
      <c r="D44" s="13">
        <v>7.8860000000000001</v>
      </c>
      <c r="E44" s="13">
        <v>15.314</v>
      </c>
    </row>
    <row r="45" spans="1:5" x14ac:dyDescent="0.35">
      <c r="A45" s="1" t="s">
        <v>110</v>
      </c>
      <c r="B45" s="13">
        <v>2.9319999999999999</v>
      </c>
      <c r="C45" s="13">
        <v>4.1420000000000003</v>
      </c>
      <c r="D45" s="13">
        <v>3.57</v>
      </c>
      <c r="E45" s="13">
        <v>1.754</v>
      </c>
    </row>
    <row r="46" spans="1:5" x14ac:dyDescent="0.35">
      <c r="A46" s="1" t="s">
        <v>111</v>
      </c>
      <c r="B46" s="13">
        <v>-2.4079999999999999</v>
      </c>
      <c r="C46" s="13">
        <v>-2.3340000000000001</v>
      </c>
      <c r="D46" s="13">
        <v>-2.246</v>
      </c>
      <c r="E46" s="13">
        <v>-2.1829999999999998</v>
      </c>
    </row>
    <row r="47" spans="1:5" x14ac:dyDescent="0.35">
      <c r="A47" s="1" t="s">
        <v>112</v>
      </c>
      <c r="B47" s="13">
        <v>5.34</v>
      </c>
      <c r="C47" s="13">
        <v>6.476</v>
      </c>
      <c r="D47" s="13">
        <v>5.8159999999999998</v>
      </c>
      <c r="E47" s="13">
        <v>3.9369999999999998</v>
      </c>
    </row>
    <row r="48" spans="1:5" x14ac:dyDescent="0.35">
      <c r="A48" s="1" t="s">
        <v>113</v>
      </c>
      <c r="B48" s="13">
        <v>2.3E-2</v>
      </c>
      <c r="C48" s="13">
        <v>2.3E-2</v>
      </c>
      <c r="D48" s="13">
        <v>3.3000000000000002E-2</v>
      </c>
      <c r="E48" s="13">
        <v>4.7E-2</v>
      </c>
    </row>
    <row r="49" spans="1:5" x14ac:dyDescent="0.35">
      <c r="A49" s="1" t="s">
        <v>114</v>
      </c>
      <c r="B49" s="13">
        <v>2.532</v>
      </c>
      <c r="C49" s="13">
        <v>2.5209999999999999</v>
      </c>
      <c r="D49" s="13">
        <v>2.4980000000000002</v>
      </c>
      <c r="E49" s="13">
        <v>2.347</v>
      </c>
    </row>
    <row r="50" spans="1:5" x14ac:dyDescent="0.35">
      <c r="A50" s="1" t="s">
        <v>115</v>
      </c>
      <c r="B50" s="13">
        <v>2.7850000000000001</v>
      </c>
      <c r="C50" s="13">
        <v>3.9319999999999999</v>
      </c>
      <c r="D50" s="13">
        <v>3.2850000000000001</v>
      </c>
      <c r="E50" s="13">
        <v>1.5429999999999999</v>
      </c>
    </row>
    <row r="51" spans="1:5" x14ac:dyDescent="0.35">
      <c r="A51" s="1" t="s">
        <v>116</v>
      </c>
      <c r="B51" s="13">
        <v>0</v>
      </c>
      <c r="C51" s="13">
        <v>0</v>
      </c>
      <c r="D51" s="13">
        <v>0</v>
      </c>
      <c r="E51" s="13">
        <v>0</v>
      </c>
    </row>
    <row r="52" spans="1:5" x14ac:dyDescent="0.35">
      <c r="A52" s="1" t="s">
        <v>117</v>
      </c>
      <c r="B52" s="13">
        <v>121.292</v>
      </c>
      <c r="C52" s="13">
        <v>61.673999999999999</v>
      </c>
      <c r="D52" s="13">
        <v>82.122</v>
      </c>
      <c r="E52" s="13">
        <v>80.430999999999997</v>
      </c>
    </row>
    <row r="53" spans="1:5" x14ac:dyDescent="0.35">
      <c r="A53" s="1" t="s">
        <v>118</v>
      </c>
      <c r="B53" s="13">
        <v>0</v>
      </c>
      <c r="C53" s="13">
        <v>0</v>
      </c>
      <c r="D53" s="13">
        <v>0</v>
      </c>
      <c r="E53" s="13">
        <v>-2E-3</v>
      </c>
    </row>
    <row r="54" spans="1:5" x14ac:dyDescent="0.35">
      <c r="A54" s="1" t="s">
        <v>119</v>
      </c>
      <c r="B54" s="13">
        <v>0</v>
      </c>
      <c r="C54" s="13">
        <v>0</v>
      </c>
      <c r="D54" s="13">
        <v>5.7690000000000001</v>
      </c>
      <c r="E54" s="13">
        <v>0</v>
      </c>
    </row>
    <row r="55" spans="1:5" x14ac:dyDescent="0.35">
      <c r="A55" s="1" t="s">
        <v>120</v>
      </c>
      <c r="B55" s="13">
        <v>2</v>
      </c>
      <c r="C55" s="13">
        <v>2</v>
      </c>
      <c r="D55" s="13">
        <v>2</v>
      </c>
      <c r="E55" s="13">
        <v>2</v>
      </c>
    </row>
    <row r="56" spans="1:5" x14ac:dyDescent="0.35">
      <c r="A56" s="1" t="s">
        <v>121</v>
      </c>
      <c r="B56" s="13">
        <v>17.739000000000001</v>
      </c>
      <c r="C56" s="13">
        <v>11.507</v>
      </c>
      <c r="D56" s="13">
        <v>12.055999999999999</v>
      </c>
      <c r="E56" s="13">
        <v>9.2219999999999995</v>
      </c>
    </row>
    <row r="57" spans="1:5" x14ac:dyDescent="0.35">
      <c r="A57" s="1" t="s">
        <v>122</v>
      </c>
      <c r="B57" s="13">
        <v>9.6210000000000004</v>
      </c>
      <c r="C57" s="13">
        <v>8.875</v>
      </c>
      <c r="D57" s="13">
        <v>8.6609999999999996</v>
      </c>
      <c r="E57" s="13">
        <v>6.0019999999999998</v>
      </c>
    </row>
    <row r="58" spans="1:5" x14ac:dyDescent="0.35">
      <c r="A58" s="1" t="s">
        <v>123</v>
      </c>
      <c r="B58" s="13">
        <v>-0.106</v>
      </c>
      <c r="C58" s="13">
        <v>-0.13200000000000001</v>
      </c>
      <c r="D58" s="13">
        <v>-0.109</v>
      </c>
      <c r="E58" s="13">
        <v>-7.3999999999999996E-2</v>
      </c>
    </row>
    <row r="59" spans="1:5" x14ac:dyDescent="0.35">
      <c r="A59" s="1" t="s">
        <v>124</v>
      </c>
      <c r="B59" s="13">
        <v>9.7270000000000003</v>
      </c>
      <c r="C59" s="13">
        <v>9.0069999999999997</v>
      </c>
      <c r="D59" s="13">
        <v>8.77</v>
      </c>
      <c r="E59" s="13">
        <v>6.0759999999999996</v>
      </c>
    </row>
    <row r="60" spans="1:5" x14ac:dyDescent="0.35">
      <c r="A60" s="1" t="s">
        <v>125</v>
      </c>
      <c r="B60" s="13">
        <v>91.932000000000002</v>
      </c>
      <c r="C60" s="13">
        <v>39.292000000000002</v>
      </c>
      <c r="D60" s="13">
        <v>53.636000000000003</v>
      </c>
      <c r="E60" s="13">
        <v>63.207000000000001</v>
      </c>
    </row>
    <row r="61" spans="1:5" x14ac:dyDescent="0.35">
      <c r="A61" s="1" t="s">
        <v>126</v>
      </c>
      <c r="B61" s="13">
        <v>3.79</v>
      </c>
      <c r="C61" s="13">
        <v>0.27500000000000002</v>
      </c>
      <c r="D61" s="13">
        <v>6.5000000000000002E-2</v>
      </c>
      <c r="E61" s="13">
        <v>0</v>
      </c>
    </row>
    <row r="62" spans="1:5" x14ac:dyDescent="0.35">
      <c r="A62" s="1" t="s">
        <v>127</v>
      </c>
      <c r="B62" s="13">
        <v>88.141999999999996</v>
      </c>
      <c r="C62" s="13">
        <v>39.017000000000003</v>
      </c>
      <c r="D62" s="13">
        <v>53.570999999999998</v>
      </c>
      <c r="E62" s="13">
        <v>63.207000000000001</v>
      </c>
    </row>
    <row r="63" spans="1:5" x14ac:dyDescent="0.35">
      <c r="A63" s="1" t="s">
        <v>128</v>
      </c>
      <c r="B63" s="13">
        <v>11.385999999999999</v>
      </c>
      <c r="C63" s="13">
        <v>0.872</v>
      </c>
      <c r="D63" s="13">
        <v>0</v>
      </c>
      <c r="E63" s="13">
        <v>0</v>
      </c>
    </row>
    <row r="64" spans="1:5" x14ac:dyDescent="0.35">
      <c r="A64" s="1" t="s">
        <v>129</v>
      </c>
      <c r="B64" s="13">
        <v>76.756</v>
      </c>
      <c r="C64" s="13">
        <v>38.145000000000003</v>
      </c>
      <c r="D64" s="13">
        <v>53.570999999999998</v>
      </c>
      <c r="E64" s="13">
        <v>63.207000000000001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defaultRowHeight="14.5" x14ac:dyDescent="0.35"/>
  <cols>
    <col min="1" max="1" width="34.54296875" customWidth="1"/>
    <col min="2" max="2" width="22.26953125" customWidth="1"/>
    <col min="3" max="3" width="24.1796875" customWidth="1"/>
    <col min="4" max="4" width="22.36328125" customWidth="1"/>
    <col min="5" max="5" width="22.26953125" customWidth="1"/>
  </cols>
  <sheetData>
    <row r="1" spans="1:5" ht="15" thickBot="1" x14ac:dyDescent="0.4">
      <c r="A1" s="65" t="s">
        <v>261</v>
      </c>
      <c r="B1" s="2">
        <v>45657</v>
      </c>
      <c r="C1" s="2">
        <v>45291</v>
      </c>
      <c r="D1" s="2">
        <v>44926</v>
      </c>
      <c r="E1" s="2">
        <v>44561</v>
      </c>
    </row>
    <row r="2" spans="1:5" ht="15" thickTop="1" x14ac:dyDescent="0.35">
      <c r="A2" s="38" t="s">
        <v>130</v>
      </c>
      <c r="B2" s="13">
        <v>3.1379999999999999</v>
      </c>
      <c r="C2" s="13">
        <v>12.058</v>
      </c>
      <c r="D2" s="13">
        <v>5.7110000000000003</v>
      </c>
      <c r="E2" s="13">
        <v>10.885</v>
      </c>
    </row>
    <row r="3" spans="1:5" x14ac:dyDescent="0.35">
      <c r="A3" s="1" t="s">
        <v>131</v>
      </c>
      <c r="B3" s="13">
        <v>-50.101999999999997</v>
      </c>
      <c r="C3" s="13">
        <v>0</v>
      </c>
      <c r="D3" s="13">
        <v>-31.52</v>
      </c>
      <c r="E3" s="13">
        <v>0</v>
      </c>
    </row>
    <row r="4" spans="1:5" x14ac:dyDescent="0.35">
      <c r="A4" s="1" t="s">
        <v>132</v>
      </c>
      <c r="B4" s="13">
        <v>59.667999999999999</v>
      </c>
      <c r="C4" s="13">
        <v>1.0999999999999999E-2</v>
      </c>
      <c r="D4" s="13">
        <v>39.790999999999997</v>
      </c>
      <c r="E4" s="13">
        <v>0.14000000000000001</v>
      </c>
    </row>
    <row r="5" spans="1:5" x14ac:dyDescent="0.35">
      <c r="A5" s="1" t="s">
        <v>133</v>
      </c>
      <c r="B5" s="13">
        <v>0</v>
      </c>
      <c r="C5" s="13">
        <v>0</v>
      </c>
      <c r="D5" s="13">
        <v>0</v>
      </c>
      <c r="E5" s="13">
        <v>0.09</v>
      </c>
    </row>
    <row r="6" spans="1:5" x14ac:dyDescent="0.35">
      <c r="A6" s="1" t="s">
        <v>134</v>
      </c>
      <c r="B6" s="13">
        <v>-4.7E-2</v>
      </c>
      <c r="C6" s="13">
        <v>-2.5999999999999999E-2</v>
      </c>
      <c r="D6" s="13">
        <v>-0.33300000000000002</v>
      </c>
      <c r="E6" s="13">
        <v>-0.14000000000000001</v>
      </c>
    </row>
    <row r="7" spans="1:5" x14ac:dyDescent="0.35">
      <c r="A7" s="1" t="s">
        <v>135</v>
      </c>
      <c r="B7" s="13">
        <v>90.141999999999996</v>
      </c>
      <c r="C7" s="13">
        <v>41.017000000000003</v>
      </c>
      <c r="D7" s="13">
        <v>55.944000000000003</v>
      </c>
      <c r="E7" s="13">
        <v>65.206999999999994</v>
      </c>
    </row>
    <row r="8" spans="1:5" x14ac:dyDescent="0.35">
      <c r="A8" s="1" t="s">
        <v>136</v>
      </c>
      <c r="B8" s="13">
        <v>41.017000000000003</v>
      </c>
      <c r="C8" s="13">
        <v>55.944000000000003</v>
      </c>
      <c r="D8" s="13">
        <v>65.206999999999994</v>
      </c>
      <c r="E8" s="13">
        <v>58.002000000000002</v>
      </c>
    </row>
    <row r="9" spans="1:5" x14ac:dyDescent="0.35">
      <c r="A9" s="1" t="s">
        <v>137</v>
      </c>
      <c r="B9" s="13">
        <v>0.153</v>
      </c>
      <c r="C9" s="13">
        <v>-0.14599999999999999</v>
      </c>
      <c r="D9" s="13">
        <v>0.24399999999999999</v>
      </c>
      <c r="E9" s="13">
        <v>0</v>
      </c>
    </row>
    <row r="10" spans="1:5" x14ac:dyDescent="0.35">
      <c r="A10" s="1" t="s">
        <v>138</v>
      </c>
      <c r="B10" s="13">
        <v>48.972000000000001</v>
      </c>
      <c r="C10" s="13">
        <v>-14.781000000000001</v>
      </c>
      <c r="D10" s="13">
        <v>-9.5069999999999997</v>
      </c>
      <c r="E10" s="13">
        <v>7.2050000000000001</v>
      </c>
    </row>
    <row r="11" spans="1:5" x14ac:dyDescent="0.35">
      <c r="A11" s="1" t="s">
        <v>139</v>
      </c>
      <c r="B11" s="13">
        <v>-13.705</v>
      </c>
      <c r="C11" s="13">
        <v>-30.317</v>
      </c>
      <c r="D11" s="13">
        <v>-17.992000000000001</v>
      </c>
      <c r="E11" s="13">
        <v>-22.99</v>
      </c>
    </row>
    <row r="12" spans="1:5" x14ac:dyDescent="0.35">
      <c r="A12" s="1" t="s">
        <v>140</v>
      </c>
      <c r="B12" s="13">
        <v>0</v>
      </c>
      <c r="C12" s="13">
        <v>3.1E-2</v>
      </c>
      <c r="D12" s="13">
        <v>-1E-3</v>
      </c>
      <c r="E12" s="13">
        <v>0</v>
      </c>
    </row>
    <row r="13" spans="1:5" x14ac:dyDescent="0.35">
      <c r="A13" s="1" t="s">
        <v>141</v>
      </c>
      <c r="B13" s="13">
        <v>-22.004000000000001</v>
      </c>
      <c r="C13" s="13">
        <v>-29.193999999999999</v>
      </c>
      <c r="D13" s="13">
        <v>-25.073</v>
      </c>
      <c r="E13" s="13">
        <v>-22.244</v>
      </c>
    </row>
    <row r="14" spans="1:5" x14ac:dyDescent="0.35">
      <c r="A14" s="1" t="s">
        <v>142</v>
      </c>
      <c r="B14" s="13">
        <v>-22.004000000000001</v>
      </c>
      <c r="C14" s="13">
        <v>-29.193999999999999</v>
      </c>
      <c r="D14" s="13">
        <v>0</v>
      </c>
      <c r="E14" s="13">
        <v>0</v>
      </c>
    </row>
    <row r="15" spans="1:5" x14ac:dyDescent="0.35">
      <c r="A15" s="1" t="s">
        <v>143</v>
      </c>
      <c r="B15" s="13">
        <v>0</v>
      </c>
      <c r="C15" s="13">
        <v>0</v>
      </c>
      <c r="D15" s="13">
        <v>0</v>
      </c>
      <c r="E15" s="13">
        <v>0.09</v>
      </c>
    </row>
    <row r="16" spans="1:5" x14ac:dyDescent="0.35">
      <c r="A16" s="1" t="s">
        <v>144</v>
      </c>
      <c r="B16" s="13">
        <v>0</v>
      </c>
      <c r="C16" s="13">
        <v>0</v>
      </c>
      <c r="D16" s="13">
        <v>0</v>
      </c>
      <c r="E16" s="13">
        <v>0.09</v>
      </c>
    </row>
    <row r="17" spans="1:5" x14ac:dyDescent="0.35">
      <c r="A17" s="1" t="s">
        <v>145</v>
      </c>
      <c r="B17" s="13">
        <v>9.5660000000000007</v>
      </c>
      <c r="C17" s="13">
        <v>1.0999999999999999E-2</v>
      </c>
      <c r="D17" s="13">
        <v>8.2710000000000008</v>
      </c>
      <c r="E17" s="13">
        <v>0.14000000000000001</v>
      </c>
    </row>
    <row r="18" spans="1:5" x14ac:dyDescent="0.35">
      <c r="A18" s="1" t="s">
        <v>146</v>
      </c>
      <c r="B18" s="13">
        <v>9.5660000000000007</v>
      </c>
      <c r="C18" s="13">
        <v>1.0999999999999999E-2</v>
      </c>
      <c r="D18" s="13">
        <v>8.2710000000000008</v>
      </c>
      <c r="E18" s="13">
        <v>0.14000000000000001</v>
      </c>
    </row>
    <row r="19" spans="1:5" x14ac:dyDescent="0.35">
      <c r="A19" s="1" t="s">
        <v>147</v>
      </c>
      <c r="B19" s="13">
        <v>-50.101999999999997</v>
      </c>
      <c r="C19" s="13">
        <v>0</v>
      </c>
      <c r="D19" s="13">
        <v>-31.52</v>
      </c>
      <c r="E19" s="13">
        <v>0</v>
      </c>
    </row>
    <row r="20" spans="1:5" x14ac:dyDescent="0.35">
      <c r="A20" s="1" t="s">
        <v>148</v>
      </c>
      <c r="B20" s="13">
        <v>59.667999999999999</v>
      </c>
      <c r="C20" s="13">
        <v>1.0999999999999999E-2</v>
      </c>
      <c r="D20" s="13">
        <v>39.790999999999997</v>
      </c>
      <c r="E20" s="13">
        <v>0.14000000000000001</v>
      </c>
    </row>
    <row r="21" spans="1:5" x14ac:dyDescent="0.35">
      <c r="A21" s="1" t="s">
        <v>149</v>
      </c>
      <c r="B21" s="13">
        <v>59.491999999999997</v>
      </c>
      <c r="C21" s="13">
        <v>3.452</v>
      </c>
      <c r="D21" s="13">
        <v>2.4409999999999998</v>
      </c>
      <c r="E21" s="13">
        <v>19.170000000000002</v>
      </c>
    </row>
    <row r="22" spans="1:5" x14ac:dyDescent="0.35">
      <c r="A22" s="1" t="s">
        <v>150</v>
      </c>
      <c r="B22" s="13">
        <v>0</v>
      </c>
      <c r="C22" s="13">
        <v>0</v>
      </c>
      <c r="D22" s="13">
        <v>-1E-3</v>
      </c>
      <c r="E22" s="13">
        <v>1.389</v>
      </c>
    </row>
    <row r="23" spans="1:5" x14ac:dyDescent="0.35">
      <c r="A23" s="1" t="s">
        <v>151</v>
      </c>
      <c r="B23" s="13">
        <v>1.425</v>
      </c>
      <c r="C23" s="13">
        <v>0.78600000000000003</v>
      </c>
      <c r="D23" s="13">
        <v>8.3000000000000004E-2</v>
      </c>
      <c r="E23" s="13">
        <v>9.0999999999999998E-2</v>
      </c>
    </row>
    <row r="24" spans="1:5" x14ac:dyDescent="0.35">
      <c r="A24" s="1" t="s">
        <v>152</v>
      </c>
      <c r="B24" s="13">
        <v>-2.2410000000000001</v>
      </c>
      <c r="C24" s="13">
        <v>0.17199999999999999</v>
      </c>
      <c r="D24" s="13">
        <v>3.0390000000000001</v>
      </c>
      <c r="E24" s="13">
        <v>17.521999999999998</v>
      </c>
    </row>
    <row r="25" spans="1:5" x14ac:dyDescent="0.35">
      <c r="A25" s="1" t="s">
        <v>153</v>
      </c>
      <c r="B25" s="13">
        <v>0</v>
      </c>
      <c r="C25" s="13">
        <v>0.17199999999999999</v>
      </c>
      <c r="D25" s="13">
        <v>3.0390000000000001</v>
      </c>
      <c r="E25" s="13">
        <v>17.521999999999998</v>
      </c>
    </row>
    <row r="26" spans="1:5" x14ac:dyDescent="0.35">
      <c r="A26" s="1" t="s">
        <v>154</v>
      </c>
      <c r="B26" s="13">
        <v>-2.2410000000000001</v>
      </c>
      <c r="C26" s="13">
        <v>0</v>
      </c>
      <c r="D26" s="13">
        <v>0</v>
      </c>
      <c r="E26" s="13">
        <v>0</v>
      </c>
    </row>
    <row r="27" spans="1:5" x14ac:dyDescent="0.35">
      <c r="A27" s="1" t="s">
        <v>155</v>
      </c>
      <c r="B27" s="13">
        <v>60.762999999999998</v>
      </c>
      <c r="C27" s="13">
        <v>3.9950000000000001</v>
      </c>
      <c r="D27" s="13">
        <v>0.32200000000000001</v>
      </c>
      <c r="E27" s="13">
        <v>0.45200000000000001</v>
      </c>
    </row>
    <row r="28" spans="1:5" x14ac:dyDescent="0.35">
      <c r="A28" s="1" t="s">
        <v>156</v>
      </c>
      <c r="B28" s="13">
        <v>60.762999999999998</v>
      </c>
      <c r="C28" s="13">
        <v>4.202</v>
      </c>
      <c r="D28" s="13">
        <v>0.32200000000000001</v>
      </c>
      <c r="E28" s="13">
        <v>0.45200000000000001</v>
      </c>
    </row>
    <row r="29" spans="1:5" x14ac:dyDescent="0.35">
      <c r="A29" s="1" t="s">
        <v>157</v>
      </c>
      <c r="B29" s="13">
        <v>0</v>
      </c>
      <c r="C29" s="13">
        <v>-0.20699999999999999</v>
      </c>
      <c r="D29" s="13">
        <v>0</v>
      </c>
      <c r="E29" s="13">
        <v>0</v>
      </c>
    </row>
    <row r="30" spans="1:5" x14ac:dyDescent="0.35">
      <c r="A30" s="1" t="s">
        <v>158</v>
      </c>
      <c r="B30" s="13">
        <v>-4.7E-2</v>
      </c>
      <c r="C30" s="13">
        <v>-2.5999999999999999E-2</v>
      </c>
      <c r="D30" s="13">
        <v>-0.33300000000000002</v>
      </c>
      <c r="E30" s="13">
        <v>-0.14000000000000001</v>
      </c>
    </row>
    <row r="31" spans="1:5" x14ac:dyDescent="0.35">
      <c r="A31" s="1" t="s">
        <v>159</v>
      </c>
      <c r="B31" s="13">
        <v>-4.7E-2</v>
      </c>
      <c r="C31" s="13">
        <v>-2.5999999999999999E-2</v>
      </c>
      <c r="D31" s="13">
        <v>-0.33300000000000002</v>
      </c>
      <c r="E31" s="13">
        <v>-0.14000000000000001</v>
      </c>
    </row>
    <row r="32" spans="1:5" x14ac:dyDescent="0.35">
      <c r="A32" s="1" t="s">
        <v>160</v>
      </c>
      <c r="B32" s="13">
        <v>3.1850000000000001</v>
      </c>
      <c r="C32" s="13">
        <v>12.084</v>
      </c>
      <c r="D32" s="13">
        <v>6.0439999999999996</v>
      </c>
      <c r="E32" s="13">
        <v>11.025</v>
      </c>
    </row>
    <row r="33" spans="1:5" x14ac:dyDescent="0.35">
      <c r="A33" s="1" t="s">
        <v>161</v>
      </c>
      <c r="B33" s="13">
        <v>-4.391</v>
      </c>
      <c r="C33" s="13">
        <v>-2.6579999999999999</v>
      </c>
      <c r="D33" s="13">
        <v>-3.149</v>
      </c>
      <c r="E33" s="13">
        <v>-2.5710000000000002</v>
      </c>
    </row>
    <row r="34" spans="1:5" x14ac:dyDescent="0.35">
      <c r="A34" s="1" t="s">
        <v>162</v>
      </c>
      <c r="B34" s="13">
        <v>-3.661</v>
      </c>
      <c r="C34" s="13">
        <v>-4.3730000000000002</v>
      </c>
      <c r="D34" s="13">
        <v>-3.9550000000000001</v>
      </c>
      <c r="E34" s="13">
        <v>-3.9710000000000001</v>
      </c>
    </row>
    <row r="35" spans="1:5" x14ac:dyDescent="0.35">
      <c r="A35" s="1" t="s">
        <v>163</v>
      </c>
      <c r="B35" s="13">
        <v>-7.6349999999999998</v>
      </c>
      <c r="C35" s="13">
        <v>6.056</v>
      </c>
      <c r="D35" s="13">
        <v>-10.269</v>
      </c>
      <c r="E35" s="13">
        <v>4.5419999999999998</v>
      </c>
    </row>
    <row r="36" spans="1:5" x14ac:dyDescent="0.35">
      <c r="A36" s="1" t="s">
        <v>164</v>
      </c>
      <c r="B36" s="13">
        <v>-3.13</v>
      </c>
      <c r="C36" s="13">
        <v>-0.26300000000000001</v>
      </c>
      <c r="D36" s="13">
        <v>-2.2149999999999999</v>
      </c>
      <c r="E36" s="13">
        <v>6.0869999999999997</v>
      </c>
    </row>
    <row r="37" spans="1:5" x14ac:dyDescent="0.35">
      <c r="A37" s="1" t="s">
        <v>165</v>
      </c>
      <c r="B37" s="13">
        <v>-4.5049999999999999</v>
      </c>
      <c r="C37" s="13">
        <v>6.319</v>
      </c>
      <c r="D37" s="13">
        <v>-8.0540000000000003</v>
      </c>
      <c r="E37" s="13">
        <v>-1.5449999999999999</v>
      </c>
    </row>
    <row r="38" spans="1:5" x14ac:dyDescent="0.35">
      <c r="A38" s="1" t="s">
        <v>166</v>
      </c>
      <c r="B38" s="13">
        <v>10.037000000000001</v>
      </c>
      <c r="C38" s="13">
        <v>0.47199999999999998</v>
      </c>
      <c r="D38" s="13">
        <v>5.423</v>
      </c>
      <c r="E38" s="13">
        <v>4.0739999999999998</v>
      </c>
    </row>
    <row r="39" spans="1:5" x14ac:dyDescent="0.35">
      <c r="A39" s="1" t="s">
        <v>167</v>
      </c>
      <c r="B39" s="13">
        <v>0.61199999999999999</v>
      </c>
      <c r="C39" s="13">
        <v>0.97</v>
      </c>
      <c r="D39" s="13">
        <v>2.7269999999999999</v>
      </c>
      <c r="E39" s="13">
        <v>0.78700000000000003</v>
      </c>
    </row>
    <row r="40" spans="1:5" x14ac:dyDescent="0.35">
      <c r="A40" s="1" t="s">
        <v>168</v>
      </c>
      <c r="B40" s="13">
        <v>4.0350000000000001</v>
      </c>
      <c r="C40" s="13">
        <v>0.61799999999999999</v>
      </c>
      <c r="D40" s="13">
        <v>6.585</v>
      </c>
      <c r="E40" s="13">
        <v>5.2389999999999999</v>
      </c>
    </row>
    <row r="41" spans="1:5" x14ac:dyDescent="0.35">
      <c r="A41" s="1" t="s">
        <v>169</v>
      </c>
      <c r="B41" s="13">
        <v>2.5350000000000001</v>
      </c>
      <c r="C41" s="13">
        <v>1.4910000000000001</v>
      </c>
      <c r="D41" s="13">
        <v>4.18</v>
      </c>
      <c r="E41" s="13">
        <v>1.476</v>
      </c>
    </row>
    <row r="42" spans="1:5" x14ac:dyDescent="0.35">
      <c r="A42" s="1" t="s">
        <v>170</v>
      </c>
      <c r="B42" s="13">
        <v>2.5350000000000001</v>
      </c>
      <c r="C42" s="13">
        <v>1.4910000000000001</v>
      </c>
      <c r="D42" s="13">
        <v>4.18</v>
      </c>
      <c r="E42" s="13">
        <v>1.476</v>
      </c>
    </row>
    <row r="43" spans="1:5" x14ac:dyDescent="0.35">
      <c r="A43" s="1" t="s">
        <v>171</v>
      </c>
      <c r="B43" s="13">
        <v>0.61199999999999999</v>
      </c>
      <c r="C43" s="13">
        <v>0.97</v>
      </c>
      <c r="D43" s="13">
        <v>0</v>
      </c>
      <c r="E43" s="13">
        <v>0</v>
      </c>
    </row>
    <row r="44" spans="1:5" x14ac:dyDescent="0.35">
      <c r="A44" s="1" t="s">
        <v>172</v>
      </c>
      <c r="B44" s="13">
        <v>-7.7889999999999997</v>
      </c>
      <c r="C44" s="13">
        <v>6.1150000000000002</v>
      </c>
      <c r="D44" s="13">
        <v>-36.546999999999997</v>
      </c>
      <c r="E44" s="13">
        <v>-33.911999999999999</v>
      </c>
    </row>
    <row r="45" spans="1:5" x14ac:dyDescent="0.35">
      <c r="A45" s="1" t="s">
        <v>173</v>
      </c>
      <c r="B45" s="13">
        <v>-64.025000000000006</v>
      </c>
      <c r="C45" s="13">
        <v>0</v>
      </c>
      <c r="D45" s="13">
        <v>0</v>
      </c>
      <c r="E45" s="13">
        <v>0</v>
      </c>
    </row>
    <row r="46" spans="1:5" x14ac:dyDescent="0.35">
      <c r="A46" s="1" t="s">
        <v>174</v>
      </c>
      <c r="B46" s="13">
        <v>73.465999999999994</v>
      </c>
      <c r="C46" s="13">
        <v>3.3919999999999999</v>
      </c>
      <c r="D46" s="13">
        <v>41.048999999999999</v>
      </c>
      <c r="E46" s="13">
        <v>35.362000000000002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7"/>
  <sheetViews>
    <sheetView topLeftCell="A91" workbookViewId="0">
      <selection activeCell="C11" sqref="C11"/>
    </sheetView>
  </sheetViews>
  <sheetFormatPr defaultRowHeight="14.5" x14ac:dyDescent="0.35"/>
  <cols>
    <col min="1" max="1" width="25.54296875" customWidth="1"/>
    <col min="2" max="2" width="18.54296875" customWidth="1"/>
    <col min="3" max="3" width="22.36328125" customWidth="1"/>
    <col min="4" max="4" width="19.81640625" customWidth="1"/>
    <col min="5" max="5" width="17.1796875" customWidth="1"/>
    <col min="6" max="6" width="15.54296875" customWidth="1"/>
    <col min="7" max="7" width="10.54296875" customWidth="1"/>
    <col min="8" max="8" width="11.453125" customWidth="1"/>
  </cols>
  <sheetData>
    <row r="1" spans="1:8" x14ac:dyDescent="0.3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 x14ac:dyDescent="0.35">
      <c r="A2" s="2">
        <v>43160</v>
      </c>
      <c r="B2" s="13">
        <v>1.029322925631895</v>
      </c>
      <c r="C2" s="13">
        <v>1.0711353005994799</v>
      </c>
      <c r="D2" s="13">
        <v>0.88543909788131703</v>
      </c>
      <c r="E2" s="13">
        <v>0.88543909788131714</v>
      </c>
      <c r="F2" s="7">
        <v>4990093</v>
      </c>
      <c r="G2" s="7">
        <v>0.11</v>
      </c>
      <c r="H2" s="7">
        <v>0</v>
      </c>
    </row>
    <row r="3" spans="1:8" x14ac:dyDescent="0.35">
      <c r="A3" s="2">
        <v>43191</v>
      </c>
      <c r="B3" s="13">
        <v>0.94533964935409887</v>
      </c>
      <c r="C3" s="13">
        <v>1.063507066393756</v>
      </c>
      <c r="D3" s="13">
        <v>0.91251531032254196</v>
      </c>
      <c r="E3" s="13">
        <v>1.0372476577758789</v>
      </c>
      <c r="F3" s="7">
        <v>2528483</v>
      </c>
      <c r="G3" s="7">
        <v>0</v>
      </c>
      <c r="H3" s="7">
        <v>0</v>
      </c>
    </row>
    <row r="4" spans="1:8" x14ac:dyDescent="0.35">
      <c r="A4" s="2">
        <v>43221</v>
      </c>
      <c r="B4" s="13">
        <v>1.0372476622244431</v>
      </c>
      <c r="C4" s="13">
        <v>1.056942218772317</v>
      </c>
      <c r="D4" s="13">
        <v>0.97685095953692724</v>
      </c>
      <c r="E4" s="13">
        <v>0.97947686910629272</v>
      </c>
      <c r="F4" s="7">
        <v>1366547</v>
      </c>
      <c r="G4" s="7">
        <v>0</v>
      </c>
      <c r="H4" s="7">
        <v>0</v>
      </c>
    </row>
    <row r="5" spans="1:8" x14ac:dyDescent="0.35">
      <c r="A5" s="2">
        <v>43252</v>
      </c>
      <c r="B5" s="13">
        <v>0.98078957816046497</v>
      </c>
      <c r="C5" s="13">
        <v>1.0031101169446479</v>
      </c>
      <c r="D5" s="13">
        <v>0.91907993614921968</v>
      </c>
      <c r="E5" s="13">
        <v>0.92958372831344604</v>
      </c>
      <c r="F5" s="7">
        <v>2155288</v>
      </c>
      <c r="G5" s="7">
        <v>0</v>
      </c>
      <c r="H5" s="7">
        <v>0</v>
      </c>
    </row>
    <row r="6" spans="1:8" x14ac:dyDescent="0.35">
      <c r="A6" s="2">
        <v>43282</v>
      </c>
      <c r="B6" s="13">
        <v>0.9203930460562525</v>
      </c>
      <c r="C6" s="13">
        <v>0.99129353775084939</v>
      </c>
      <c r="D6" s="13">
        <v>0.9151412273463162</v>
      </c>
      <c r="E6" s="13">
        <v>0.97159898281097412</v>
      </c>
      <c r="F6" s="7">
        <v>1426340</v>
      </c>
      <c r="G6" s="7">
        <v>0</v>
      </c>
      <c r="H6" s="7">
        <v>0</v>
      </c>
    </row>
    <row r="7" spans="1:8" x14ac:dyDescent="0.35">
      <c r="A7" s="2">
        <v>43313</v>
      </c>
      <c r="B7" s="13">
        <v>0.97422498006563685</v>
      </c>
      <c r="C7" s="13">
        <v>1.0923924768849911</v>
      </c>
      <c r="D7" s="13">
        <v>0.97159907047374527</v>
      </c>
      <c r="E7" s="13">
        <v>1.063507080078125</v>
      </c>
      <c r="F7" s="7">
        <v>2313478</v>
      </c>
      <c r="G7" s="7">
        <v>0</v>
      </c>
      <c r="H7" s="7">
        <v>0</v>
      </c>
    </row>
    <row r="8" spans="1:8" x14ac:dyDescent="0.35">
      <c r="A8" s="2">
        <v>43344</v>
      </c>
      <c r="B8" s="13">
        <v>1.064819923573175</v>
      </c>
      <c r="C8" s="13">
        <v>1.08976637512545</v>
      </c>
      <c r="D8" s="13">
        <v>1.0516902204676839</v>
      </c>
      <c r="E8" s="13">
        <v>1.0766366720199581</v>
      </c>
      <c r="F8" s="7">
        <v>1093982</v>
      </c>
      <c r="G8" s="7">
        <v>0</v>
      </c>
      <c r="H8" s="7">
        <v>0</v>
      </c>
    </row>
    <row r="9" spans="1:8" x14ac:dyDescent="0.35">
      <c r="A9" s="2">
        <v>43374</v>
      </c>
      <c r="B9" s="13">
        <v>1.0766366727857271</v>
      </c>
      <c r="C9" s="13">
        <v>1.0805756150238579</v>
      </c>
      <c r="D9" s="13">
        <v>0.98472867272271192</v>
      </c>
      <c r="E9" s="13">
        <v>1.0267437696456909</v>
      </c>
      <c r="F9" s="7">
        <v>1565004</v>
      </c>
      <c r="G9" s="7">
        <v>0</v>
      </c>
      <c r="H9" s="7">
        <v>0</v>
      </c>
    </row>
    <row r="10" spans="1:8" x14ac:dyDescent="0.35">
      <c r="A10" s="2">
        <v>43405</v>
      </c>
      <c r="B10" s="13">
        <v>1.045125348775559</v>
      </c>
      <c r="C10" s="13">
        <v>1.0635069484208779</v>
      </c>
      <c r="D10" s="13">
        <v>1.0044232073254951</v>
      </c>
      <c r="E10" s="13">
        <v>1.0438123941421511</v>
      </c>
      <c r="F10" s="7">
        <v>1611618</v>
      </c>
      <c r="G10" s="7">
        <v>0</v>
      </c>
      <c r="H10" s="7">
        <v>0</v>
      </c>
    </row>
    <row r="11" spans="1:8" x14ac:dyDescent="0.35">
      <c r="A11" s="2">
        <v>43435</v>
      </c>
      <c r="B11" s="13">
        <v>1.043812507077218</v>
      </c>
      <c r="C11" s="13">
        <v>1.0503773592137431</v>
      </c>
      <c r="D11" s="13">
        <v>0.93483585204800734</v>
      </c>
      <c r="E11" s="13">
        <v>0.96634715795516968</v>
      </c>
      <c r="F11" s="7">
        <v>1697763</v>
      </c>
      <c r="G11" s="7">
        <v>0</v>
      </c>
      <c r="H11" s="7">
        <v>0</v>
      </c>
    </row>
    <row r="12" spans="1:8" x14ac:dyDescent="0.35">
      <c r="A12" s="2">
        <v>43466</v>
      </c>
      <c r="B12" s="13">
        <v>0.96634718484675863</v>
      </c>
      <c r="C12" s="13">
        <v>1.1396594112887031</v>
      </c>
      <c r="D12" s="13">
        <v>0.96634718484675863</v>
      </c>
      <c r="E12" s="13">
        <v>1.121277809143066</v>
      </c>
      <c r="F12" s="7">
        <v>2716275</v>
      </c>
      <c r="G12" s="7">
        <v>0</v>
      </c>
      <c r="H12" s="7">
        <v>0</v>
      </c>
    </row>
    <row r="13" spans="1:8" x14ac:dyDescent="0.35">
      <c r="A13" s="2">
        <v>43497</v>
      </c>
      <c r="B13" s="13">
        <v>1.125216571685153</v>
      </c>
      <c r="C13" s="13">
        <v>1.172483563423157</v>
      </c>
      <c r="D13" s="13">
        <v>1.109460959945286</v>
      </c>
      <c r="E13" s="13">
        <v>1.172483563423157</v>
      </c>
      <c r="F13" s="7">
        <v>2055495</v>
      </c>
      <c r="G13" s="7">
        <v>0</v>
      </c>
      <c r="H13" s="7">
        <v>0</v>
      </c>
    </row>
    <row r="14" spans="1:8" x14ac:dyDescent="0.35">
      <c r="A14" s="2">
        <v>43525</v>
      </c>
      <c r="B14" s="13">
        <v>1.1737964444344759</v>
      </c>
      <c r="C14" s="13">
        <v>1.193490997004172</v>
      </c>
      <c r="D14" s="13">
        <v>0.99260637297120091</v>
      </c>
      <c r="E14" s="13">
        <v>0.99654531478881836</v>
      </c>
      <c r="F14" s="7">
        <v>2376934</v>
      </c>
      <c r="G14" s="7">
        <v>0.12</v>
      </c>
      <c r="H14" s="7">
        <v>0</v>
      </c>
    </row>
    <row r="15" spans="1:8" x14ac:dyDescent="0.35">
      <c r="A15" s="2">
        <v>43556</v>
      </c>
      <c r="B15" s="13">
        <v>1.0712546727492089</v>
      </c>
      <c r="C15" s="13">
        <v>1.199692349635209</v>
      </c>
      <c r="D15" s="13">
        <v>1.0712546727492089</v>
      </c>
      <c r="E15" s="13">
        <v>1.179932713508606</v>
      </c>
      <c r="F15" s="7">
        <v>1912143</v>
      </c>
      <c r="G15" s="7">
        <v>0</v>
      </c>
      <c r="H15" s="7">
        <v>0</v>
      </c>
    </row>
    <row r="16" spans="1:8" x14ac:dyDescent="0.35">
      <c r="A16" s="2">
        <v>43586</v>
      </c>
      <c r="B16" s="13">
        <v>1.179932747056563</v>
      </c>
      <c r="C16" s="13">
        <v>1.185578285430829</v>
      </c>
      <c r="D16" s="13">
        <v>1.0881915707084999</v>
      </c>
      <c r="E16" s="13">
        <v>1.103716969490051</v>
      </c>
      <c r="F16" s="7">
        <v>1532015</v>
      </c>
      <c r="G16" s="7">
        <v>0</v>
      </c>
      <c r="H16" s="7">
        <v>0</v>
      </c>
    </row>
    <row r="17" spans="1:8" x14ac:dyDescent="0.35">
      <c r="A17" s="2">
        <v>43617</v>
      </c>
      <c r="B17" s="13">
        <v>1.10512838919176</v>
      </c>
      <c r="C17" s="13">
        <v>1.213806436493627</v>
      </c>
      <c r="D17" s="13">
        <v>1.09524861259677</v>
      </c>
      <c r="E17" s="13">
        <v>1.2011038064956669</v>
      </c>
      <c r="F17" s="7">
        <v>1146642</v>
      </c>
      <c r="G17" s="7">
        <v>0</v>
      </c>
      <c r="H17" s="7">
        <v>0</v>
      </c>
    </row>
    <row r="18" spans="1:8" x14ac:dyDescent="0.35">
      <c r="A18" s="2">
        <v>43647</v>
      </c>
      <c r="B18" s="13">
        <v>1.216628874445713</v>
      </c>
      <c r="C18" s="13">
        <v>1.2194517270799361</v>
      </c>
      <c r="D18" s="13">
        <v>1.137590346705716</v>
      </c>
      <c r="E18" s="13">
        <v>1.191223621368408</v>
      </c>
      <c r="F18" s="7">
        <v>1417151</v>
      </c>
      <c r="G18" s="7">
        <v>0</v>
      </c>
      <c r="H18" s="7">
        <v>0</v>
      </c>
    </row>
    <row r="19" spans="1:8" x14ac:dyDescent="0.35">
      <c r="A19" s="2">
        <v>43678</v>
      </c>
      <c r="B19" s="13">
        <v>1.191223837390422</v>
      </c>
      <c r="C19" s="13">
        <v>1.3380097613307811</v>
      </c>
      <c r="D19" s="13">
        <v>1.1601730416660569</v>
      </c>
      <c r="E19" s="13">
        <v>1.31683874130249</v>
      </c>
      <c r="F19" s="7">
        <v>3578280</v>
      </c>
      <c r="G19" s="7">
        <v>0</v>
      </c>
      <c r="H19" s="7">
        <v>0</v>
      </c>
    </row>
    <row r="20" spans="1:8" x14ac:dyDescent="0.35">
      <c r="A20" s="2">
        <v>43709</v>
      </c>
      <c r="B20" s="13">
        <v>1.3182501204062651</v>
      </c>
      <c r="C20" s="13">
        <v>1.376117642213867</v>
      </c>
      <c r="D20" s="13">
        <v>1.308370260624554</v>
      </c>
      <c r="E20" s="13">
        <v>1.369060635566711</v>
      </c>
      <c r="F20" s="7">
        <v>1563951</v>
      </c>
      <c r="G20" s="7">
        <v>0</v>
      </c>
      <c r="H20" s="7">
        <v>0</v>
      </c>
    </row>
    <row r="21" spans="1:8" x14ac:dyDescent="0.35">
      <c r="A21" s="2">
        <v>43739</v>
      </c>
      <c r="B21" s="13">
        <v>1.376117752675049</v>
      </c>
      <c r="C21" s="13">
        <v>1.485501448612365</v>
      </c>
      <c r="D21" s="13">
        <v>1.3309528560321651</v>
      </c>
      <c r="E21" s="13">
        <v>1.45021641254425</v>
      </c>
      <c r="F21" s="7">
        <v>1860865</v>
      </c>
      <c r="G21" s="7">
        <v>0</v>
      </c>
      <c r="H21" s="7">
        <v>0</v>
      </c>
    </row>
    <row r="22" spans="1:8" x14ac:dyDescent="0.35">
      <c r="A22" s="2">
        <v>43770</v>
      </c>
      <c r="B22" s="13">
        <v>1.4396306917674491</v>
      </c>
      <c r="C22" s="13">
        <v>1.474915724751493</v>
      </c>
      <c r="D22" s="13">
        <v>1.3987000366807281</v>
      </c>
      <c r="E22" s="13">
        <v>1.446687698364258</v>
      </c>
      <c r="F22" s="7">
        <v>18947332</v>
      </c>
      <c r="G22" s="7">
        <v>0</v>
      </c>
      <c r="H22" s="7">
        <v>0</v>
      </c>
    </row>
    <row r="23" spans="1:8" x14ac:dyDescent="0.35">
      <c r="A23" s="2">
        <v>43800</v>
      </c>
      <c r="B23" s="13">
        <v>1.446687676788101</v>
      </c>
      <c r="C23" s="13">
        <v>1.6619266271591191</v>
      </c>
      <c r="D23" s="13">
        <v>1.4114026443303049</v>
      </c>
      <c r="E23" s="13">
        <v>1.6619266271591191</v>
      </c>
      <c r="F23" s="7">
        <v>2424555</v>
      </c>
      <c r="G23" s="7">
        <v>0</v>
      </c>
      <c r="H23" s="7">
        <v>0</v>
      </c>
    </row>
    <row r="24" spans="1:8" x14ac:dyDescent="0.35">
      <c r="A24" s="2">
        <v>43831</v>
      </c>
      <c r="B24" s="13">
        <v>1.661926849483524</v>
      </c>
      <c r="C24" s="13">
        <v>1.915979285417851</v>
      </c>
      <c r="D24" s="13">
        <v>1.570185584568252</v>
      </c>
      <c r="E24" s="13">
        <v>1.8489376306533809</v>
      </c>
      <c r="F24" s="7">
        <v>6461877</v>
      </c>
      <c r="G24" s="7">
        <v>0</v>
      </c>
      <c r="H24" s="7">
        <v>0</v>
      </c>
    </row>
    <row r="25" spans="1:8" x14ac:dyDescent="0.35">
      <c r="A25" s="2">
        <v>43862</v>
      </c>
      <c r="B25" s="13">
        <v>1.8559948402311151</v>
      </c>
      <c r="C25" s="13">
        <v>2.039477205159653</v>
      </c>
      <c r="D25" s="13">
        <v>1.5737142011476739</v>
      </c>
      <c r="E25" s="13">
        <v>1.690154910087585</v>
      </c>
      <c r="F25" s="7">
        <v>9431621</v>
      </c>
      <c r="G25" s="7">
        <v>0</v>
      </c>
      <c r="H25" s="7">
        <v>0</v>
      </c>
    </row>
    <row r="26" spans="1:8" x14ac:dyDescent="0.35">
      <c r="A26" s="2">
        <v>43891</v>
      </c>
      <c r="B26" s="13">
        <v>1.7642535519806331</v>
      </c>
      <c r="C26" s="13">
        <v>1.8665802445353239</v>
      </c>
      <c r="D26" s="13">
        <v>1.051495123710551</v>
      </c>
      <c r="E26" s="13">
        <v>1.226509094238281</v>
      </c>
      <c r="F26" s="7">
        <v>14014280</v>
      </c>
      <c r="G26" s="7">
        <v>0.13</v>
      </c>
      <c r="H26" s="7">
        <v>0</v>
      </c>
    </row>
    <row r="27" spans="1:8" x14ac:dyDescent="0.35">
      <c r="A27" s="2">
        <v>43922</v>
      </c>
      <c r="B27" s="13">
        <v>1.2948298565228671</v>
      </c>
      <c r="C27" s="13">
        <v>1.448833847972967</v>
      </c>
      <c r="D27" s="13">
        <v>1.241003191046733</v>
      </c>
      <c r="E27" s="13">
        <v>1.3785601854324341</v>
      </c>
      <c r="F27" s="7">
        <v>4893037</v>
      </c>
      <c r="G27" s="7">
        <v>0</v>
      </c>
      <c r="H27" s="7">
        <v>0</v>
      </c>
    </row>
    <row r="28" spans="1:8" x14ac:dyDescent="0.35">
      <c r="A28" s="2">
        <v>43952</v>
      </c>
      <c r="B28" s="13">
        <v>1.3785602704932181</v>
      </c>
      <c r="C28" s="13">
        <v>1.420425437531192</v>
      </c>
      <c r="D28" s="13">
        <v>1.2709070220184071</v>
      </c>
      <c r="E28" s="13">
        <v>1.3755699396133421</v>
      </c>
      <c r="F28" s="7">
        <v>3231727</v>
      </c>
      <c r="G28" s="7">
        <v>0</v>
      </c>
      <c r="H28" s="7">
        <v>0</v>
      </c>
    </row>
    <row r="29" spans="1:8" x14ac:dyDescent="0.35">
      <c r="A29" s="2">
        <v>43983</v>
      </c>
      <c r="B29" s="13">
        <v>1.3875312311279151</v>
      </c>
      <c r="C29" s="13">
        <v>1.5288262689466321</v>
      </c>
      <c r="D29" s="13">
        <v>1.356132403150379</v>
      </c>
      <c r="E29" s="13">
        <v>1.450329065322876</v>
      </c>
      <c r="F29" s="7">
        <v>3068382</v>
      </c>
      <c r="G29" s="7">
        <v>0</v>
      </c>
      <c r="H29" s="7">
        <v>0</v>
      </c>
    </row>
    <row r="30" spans="1:8" x14ac:dyDescent="0.35">
      <c r="A30" s="2">
        <v>44013</v>
      </c>
      <c r="B30" s="13">
        <v>1.45182437006746</v>
      </c>
      <c r="C30" s="13">
        <v>1.5026606193096319</v>
      </c>
      <c r="D30" s="13">
        <v>1.4204254499543849</v>
      </c>
      <c r="E30" s="13">
        <v>1.4338821172714229</v>
      </c>
      <c r="F30" s="7">
        <v>2344193</v>
      </c>
      <c r="G30" s="7">
        <v>0</v>
      </c>
      <c r="H30" s="7">
        <v>0</v>
      </c>
    </row>
    <row r="31" spans="1:8" x14ac:dyDescent="0.35">
      <c r="A31" s="2">
        <v>44044</v>
      </c>
      <c r="B31" s="13">
        <v>1.4533194853941831</v>
      </c>
      <c r="C31" s="13">
        <v>1.5512541114281151</v>
      </c>
      <c r="D31" s="13">
        <v>1.442853149344167</v>
      </c>
      <c r="E31" s="13">
        <v>1.5138745307922361</v>
      </c>
      <c r="F31" s="7">
        <v>1988627</v>
      </c>
      <c r="G31" s="7">
        <v>0</v>
      </c>
      <c r="H31" s="7">
        <v>0</v>
      </c>
    </row>
    <row r="32" spans="1:8" x14ac:dyDescent="0.35">
      <c r="A32" s="2">
        <v>44075</v>
      </c>
      <c r="B32" s="13">
        <v>1.5138743546647599</v>
      </c>
      <c r="C32" s="13">
        <v>1.54003996894576</v>
      </c>
      <c r="D32" s="13">
        <v>1.42042523570724</v>
      </c>
      <c r="E32" s="13">
        <v>1.5063984394073491</v>
      </c>
      <c r="F32" s="7">
        <v>2993300</v>
      </c>
      <c r="G32" s="7">
        <v>0</v>
      </c>
      <c r="H32" s="7">
        <v>0</v>
      </c>
    </row>
    <row r="33" spans="1:8" x14ac:dyDescent="0.35">
      <c r="A33" s="2">
        <v>44105</v>
      </c>
      <c r="B33" s="13">
        <v>1.5101363706732309</v>
      </c>
      <c r="C33" s="13">
        <v>1.603585404394297</v>
      </c>
      <c r="D33" s="13">
        <v>1.3830457168957619</v>
      </c>
      <c r="E33" s="13">
        <v>1.49892258644104</v>
      </c>
      <c r="F33" s="7">
        <v>2909625</v>
      </c>
      <c r="G33" s="7">
        <v>0</v>
      </c>
      <c r="H33" s="7">
        <v>0</v>
      </c>
    </row>
    <row r="34" spans="1:8" x14ac:dyDescent="0.35">
      <c r="A34" s="2">
        <v>44136</v>
      </c>
      <c r="B34" s="13">
        <v>1.5288262195963249</v>
      </c>
      <c r="C34" s="13">
        <v>1.6559167818333631</v>
      </c>
      <c r="D34" s="13">
        <v>1.487708595634988</v>
      </c>
      <c r="E34" s="13">
        <v>1.573681712150574</v>
      </c>
      <c r="F34" s="7">
        <v>2338718</v>
      </c>
      <c r="G34" s="7">
        <v>0</v>
      </c>
      <c r="H34" s="7">
        <v>0</v>
      </c>
    </row>
    <row r="35" spans="1:8" x14ac:dyDescent="0.35">
      <c r="A35" s="2">
        <v>44166</v>
      </c>
      <c r="B35" s="13">
        <v>1.637227138991775</v>
      </c>
      <c r="C35" s="13">
        <v>1.775531668268826</v>
      </c>
      <c r="D35" s="13">
        <v>1.599847560570935</v>
      </c>
      <c r="E35" s="13">
        <v>1.7306761741638179</v>
      </c>
      <c r="F35" s="7">
        <v>2711429</v>
      </c>
      <c r="G35" s="7">
        <v>0</v>
      </c>
      <c r="H35" s="7">
        <v>0</v>
      </c>
    </row>
    <row r="36" spans="1:8" x14ac:dyDescent="0.35">
      <c r="A36" s="2">
        <v>44197</v>
      </c>
      <c r="B36" s="13">
        <v>1.7306762045675319</v>
      </c>
      <c r="C36" s="13">
        <v>1.883932567905255</v>
      </c>
      <c r="D36" s="13">
        <v>1.6746067468313259</v>
      </c>
      <c r="E36" s="13">
        <v>1.797959446907043</v>
      </c>
      <c r="F36" s="7">
        <v>2421986</v>
      </c>
      <c r="G36" s="7">
        <v>0</v>
      </c>
      <c r="H36" s="7">
        <v>0</v>
      </c>
    </row>
    <row r="37" spans="1:8" x14ac:dyDescent="0.35">
      <c r="A37" s="2">
        <v>44228</v>
      </c>
      <c r="B37" s="13">
        <v>1.794221458886633</v>
      </c>
      <c r="C37" s="13">
        <v>2.1231619111492819</v>
      </c>
      <c r="D37" s="13">
        <v>1.786745543567934</v>
      </c>
      <c r="E37" s="13">
        <v>1.9624296426773069</v>
      </c>
      <c r="F37" s="7">
        <v>3813927</v>
      </c>
      <c r="G37" s="7">
        <v>0</v>
      </c>
      <c r="H37" s="7">
        <v>0</v>
      </c>
    </row>
    <row r="38" spans="1:8" x14ac:dyDescent="0.35">
      <c r="A38" s="2">
        <v>44256</v>
      </c>
      <c r="B38" s="13">
        <v>1.9624298826398141</v>
      </c>
      <c r="C38" s="13">
        <v>2.1754937626356452</v>
      </c>
      <c r="D38" s="13">
        <v>1.8951466365442431</v>
      </c>
      <c r="E38" s="13">
        <v>1.9586918354034419</v>
      </c>
      <c r="F38" s="7">
        <v>3145378</v>
      </c>
      <c r="G38" s="7">
        <v>7.0000000000000007E-2</v>
      </c>
      <c r="H38" s="7">
        <v>0</v>
      </c>
    </row>
    <row r="39" spans="1:8" x14ac:dyDescent="0.35">
      <c r="A39" s="2">
        <v>44287</v>
      </c>
      <c r="B39" s="13">
        <v>2.007658858727948</v>
      </c>
      <c r="C39" s="13">
        <v>2.180072427484764</v>
      </c>
      <c r="D39" s="13">
        <v>1.938693540842747</v>
      </c>
      <c r="E39" s="13">
        <v>2.1570839881896968</v>
      </c>
      <c r="F39" s="7">
        <v>2674937</v>
      </c>
      <c r="G39" s="7">
        <v>0</v>
      </c>
      <c r="H39" s="7">
        <v>0</v>
      </c>
    </row>
    <row r="40" spans="1:8" x14ac:dyDescent="0.35">
      <c r="A40" s="2">
        <v>44317</v>
      </c>
      <c r="B40" s="13">
        <v>2.1647473474926011</v>
      </c>
      <c r="C40" s="13">
        <v>2.183904293724193</v>
      </c>
      <c r="D40" s="13">
        <v>1.965513973969327</v>
      </c>
      <c r="E40" s="13">
        <v>2.030647993087769</v>
      </c>
      <c r="F40" s="7">
        <v>1945554</v>
      </c>
      <c r="G40" s="7">
        <v>0</v>
      </c>
      <c r="H40" s="7">
        <v>0</v>
      </c>
    </row>
    <row r="41" spans="1:8" x14ac:dyDescent="0.35">
      <c r="A41" s="2">
        <v>44348</v>
      </c>
      <c r="B41" s="13">
        <v>2.0651302724726448</v>
      </c>
      <c r="C41" s="13">
        <v>2.1839039797373609</v>
      </c>
      <c r="D41" s="13">
        <v>2.0421418306823029</v>
      </c>
      <c r="E41" s="13">
        <v>2.1302642822265621</v>
      </c>
      <c r="F41" s="7">
        <v>1853247</v>
      </c>
      <c r="G41" s="7">
        <v>0</v>
      </c>
      <c r="H41" s="7">
        <v>0</v>
      </c>
    </row>
    <row r="42" spans="1:8" x14ac:dyDescent="0.35">
      <c r="A42" s="2">
        <v>44378</v>
      </c>
      <c r="B42" s="13">
        <v>2.1149384263005748</v>
      </c>
      <c r="C42" s="13">
        <v>2.3831370676290882</v>
      </c>
      <c r="D42" s="13">
        <v>2.1111071110966182</v>
      </c>
      <c r="E42" s="13">
        <v>2.3678114414215088</v>
      </c>
      <c r="F42" s="7">
        <v>1743139</v>
      </c>
      <c r="G42" s="7">
        <v>0</v>
      </c>
      <c r="H42" s="7">
        <v>0</v>
      </c>
    </row>
    <row r="43" spans="1:8" x14ac:dyDescent="0.35">
      <c r="A43" s="2">
        <v>44409</v>
      </c>
      <c r="B43" s="13">
        <v>2.337160472444356</v>
      </c>
      <c r="C43" s="13">
        <v>2.5057425638683162</v>
      </c>
      <c r="D43" s="13">
        <v>2.2835207742126999</v>
      </c>
      <c r="E43" s="13">
        <v>2.413788795471191</v>
      </c>
      <c r="F43" s="7">
        <v>2607053</v>
      </c>
      <c r="G43" s="7">
        <v>0</v>
      </c>
      <c r="H43" s="7">
        <v>0</v>
      </c>
    </row>
    <row r="44" spans="1:8" x14ac:dyDescent="0.35">
      <c r="A44" s="2">
        <v>44440</v>
      </c>
      <c r="B44" s="13">
        <v>2.4137889075536179</v>
      </c>
      <c r="C44" s="13">
        <v>2.42528303778903</v>
      </c>
      <c r="D44" s="13">
        <v>1.9808394378404039</v>
      </c>
      <c r="E44" s="13">
        <v>2.0076591968536381</v>
      </c>
      <c r="F44" s="7">
        <v>3202832</v>
      </c>
      <c r="G44" s="7">
        <v>7.0000000000000007E-2</v>
      </c>
      <c r="H44" s="7">
        <v>0</v>
      </c>
    </row>
    <row r="45" spans="1:8" x14ac:dyDescent="0.35">
      <c r="A45" s="2">
        <v>44470</v>
      </c>
      <c r="B45" s="13">
        <v>2.0520297361713968</v>
      </c>
      <c r="C45" s="13">
        <v>2.4326164295354831</v>
      </c>
      <c r="D45" s="13">
        <v>1.9774817885865481</v>
      </c>
      <c r="E45" s="13">
        <v>2.307062149047852</v>
      </c>
      <c r="F45" s="7">
        <v>2860299</v>
      </c>
      <c r="G45" s="7">
        <v>0</v>
      </c>
      <c r="H45" s="7">
        <v>0</v>
      </c>
    </row>
    <row r="46" spans="1:8" x14ac:dyDescent="0.35">
      <c r="A46" s="2">
        <v>44501</v>
      </c>
      <c r="B46" s="13">
        <v>2.3070622377163001</v>
      </c>
      <c r="C46" s="13">
        <v>2.4012279517011401</v>
      </c>
      <c r="D46" s="13">
        <v>2.2050491938087471</v>
      </c>
      <c r="E46" s="13">
        <v>2.2168200016021729</v>
      </c>
      <c r="F46" s="7">
        <v>2257342</v>
      </c>
      <c r="G46" s="7">
        <v>0</v>
      </c>
      <c r="H46" s="7">
        <v>0</v>
      </c>
    </row>
    <row r="47" spans="1:8" x14ac:dyDescent="0.35">
      <c r="A47" s="2">
        <v>44531</v>
      </c>
      <c r="B47" s="13">
        <v>2.2717499698910091</v>
      </c>
      <c r="C47" s="13">
        <v>2.405151583275007</v>
      </c>
      <c r="D47" s="13">
        <v>2.1658134495833168</v>
      </c>
      <c r="E47" s="13">
        <v>2.3816101551055908</v>
      </c>
      <c r="F47" s="7">
        <v>2586310</v>
      </c>
      <c r="G47" s="7">
        <v>0</v>
      </c>
      <c r="H47" s="7">
        <v>0</v>
      </c>
    </row>
    <row r="48" spans="1:8" x14ac:dyDescent="0.35">
      <c r="A48" s="2">
        <v>44562</v>
      </c>
      <c r="B48" s="13">
        <v>2.3855336488860601</v>
      </c>
      <c r="C48" s="13">
        <v>2.499317312678341</v>
      </c>
      <c r="D48" s="13">
        <v>2.0834183713874759</v>
      </c>
      <c r="E48" s="13">
        <v>2.2992150783538818</v>
      </c>
      <c r="F48" s="7">
        <v>3093574</v>
      </c>
      <c r="G48" s="7">
        <v>0</v>
      </c>
      <c r="H48" s="7">
        <v>0</v>
      </c>
    </row>
    <row r="49" spans="1:8" x14ac:dyDescent="0.35">
      <c r="A49" s="2">
        <v>44593</v>
      </c>
      <c r="B49" s="13">
        <v>2.3462980262519721</v>
      </c>
      <c r="C49" s="13">
        <v>2.4129988359842378</v>
      </c>
      <c r="D49" s="13">
        <v>2.0010233565147399</v>
      </c>
      <c r="E49" s="13">
        <v>2.1030364036560059</v>
      </c>
      <c r="F49" s="7">
        <v>3267190</v>
      </c>
      <c r="G49" s="7">
        <v>0</v>
      </c>
      <c r="H49" s="7">
        <v>0</v>
      </c>
    </row>
    <row r="50" spans="1:8" x14ac:dyDescent="0.35">
      <c r="A50" s="2">
        <v>44621</v>
      </c>
      <c r="B50" s="13">
        <v>2.083417905414819</v>
      </c>
      <c r="C50" s="13">
        <v>2.2756731410548849</v>
      </c>
      <c r="D50" s="13">
        <v>1.742066990383766</v>
      </c>
      <c r="E50" s="13">
        <v>1.946092844009399</v>
      </c>
      <c r="F50" s="7">
        <v>5747293</v>
      </c>
      <c r="G50" s="7">
        <v>0.08</v>
      </c>
      <c r="H50" s="7">
        <v>0</v>
      </c>
    </row>
    <row r="51" spans="1:8" x14ac:dyDescent="0.35">
      <c r="A51" s="2">
        <v>44652</v>
      </c>
      <c r="B51" s="13">
        <v>2.0057315682619921</v>
      </c>
      <c r="C51" s="13">
        <v>2.259979288762215</v>
      </c>
      <c r="D51" s="13">
        <v>1.9048396340097851</v>
      </c>
      <c r="E51" s="13">
        <v>2.2236583232879639</v>
      </c>
      <c r="F51" s="7">
        <v>2145910</v>
      </c>
      <c r="G51" s="7">
        <v>0</v>
      </c>
      <c r="H51" s="7">
        <v>0</v>
      </c>
    </row>
    <row r="52" spans="1:8" x14ac:dyDescent="0.35">
      <c r="A52" s="2">
        <v>44682</v>
      </c>
      <c r="B52" s="13">
        <v>2.2357652246616651</v>
      </c>
      <c r="C52" s="13">
        <v>2.2357652246616651</v>
      </c>
      <c r="D52" s="13">
        <v>1.9774819295119661</v>
      </c>
      <c r="E52" s="13">
        <v>2.1752300262451172</v>
      </c>
      <c r="F52" s="7">
        <v>1834507</v>
      </c>
      <c r="G52" s="7">
        <v>0</v>
      </c>
      <c r="H52" s="7">
        <v>0</v>
      </c>
    </row>
    <row r="53" spans="1:8" x14ac:dyDescent="0.35">
      <c r="A53" s="2">
        <v>44713</v>
      </c>
      <c r="B53" s="13">
        <v>2.195408416259093</v>
      </c>
      <c r="C53" s="13">
        <v>2.3568355424791601</v>
      </c>
      <c r="D53" s="13">
        <v>2.126801873182858</v>
      </c>
      <c r="E53" s="13">
        <v>2.2640149593353271</v>
      </c>
      <c r="F53" s="7">
        <v>2430720</v>
      </c>
      <c r="G53" s="7">
        <v>0</v>
      </c>
      <c r="H53" s="7">
        <v>0</v>
      </c>
    </row>
    <row r="54" spans="1:8" x14ac:dyDescent="0.35">
      <c r="A54" s="2">
        <v>44743</v>
      </c>
      <c r="B54" s="13">
        <v>2.2115512845401968</v>
      </c>
      <c r="C54" s="13">
        <v>2.4415849720289389</v>
      </c>
      <c r="D54" s="13">
        <v>2.1954085898851381</v>
      </c>
      <c r="E54" s="13">
        <v>2.421406507492065</v>
      </c>
      <c r="F54" s="7">
        <v>1256741</v>
      </c>
      <c r="G54" s="7">
        <v>0</v>
      </c>
      <c r="H54" s="7">
        <v>0</v>
      </c>
    </row>
    <row r="55" spans="1:8" x14ac:dyDescent="0.35">
      <c r="A55" s="2">
        <v>44774</v>
      </c>
      <c r="B55" s="13">
        <v>2.4214062453248619</v>
      </c>
      <c r="C55" s="13">
        <v>2.5747620203800961</v>
      </c>
      <c r="D55" s="13">
        <v>2.21962239154779</v>
      </c>
      <c r="E55" s="13">
        <v>2.2317295074462891</v>
      </c>
      <c r="F55" s="7">
        <v>1874140</v>
      </c>
      <c r="G55" s="7">
        <v>0</v>
      </c>
      <c r="H55" s="7">
        <v>0</v>
      </c>
    </row>
    <row r="56" spans="1:8" x14ac:dyDescent="0.35">
      <c r="A56" s="2">
        <v>44805</v>
      </c>
      <c r="B56" s="13">
        <v>2.2317294210478802</v>
      </c>
      <c r="C56" s="13">
        <v>2.356835382454026</v>
      </c>
      <c r="D56" s="13">
        <v>1.8685184598231599</v>
      </c>
      <c r="E56" s="13">
        <v>2.005731344223022</v>
      </c>
      <c r="F56" s="7">
        <v>2635995</v>
      </c>
      <c r="G56" s="7">
        <v>7.0000000000000007E-2</v>
      </c>
      <c r="H56" s="7">
        <v>0</v>
      </c>
    </row>
    <row r="57" spans="1:8" x14ac:dyDescent="0.35">
      <c r="A57" s="2">
        <v>44835</v>
      </c>
      <c r="B57" s="13">
        <v>2.0517383578543078</v>
      </c>
      <c r="C57" s="13">
        <v>2.3288885283634131</v>
      </c>
      <c r="D57" s="13">
        <v>1.9524605935725881</v>
      </c>
      <c r="E57" s="13">
        <v>2.0558748245239258</v>
      </c>
      <c r="F57" s="7">
        <v>2021968</v>
      </c>
      <c r="G57" s="7">
        <v>0</v>
      </c>
      <c r="H57" s="7">
        <v>0</v>
      </c>
    </row>
    <row r="58" spans="1:8" x14ac:dyDescent="0.35">
      <c r="A58" s="2">
        <v>44866</v>
      </c>
      <c r="B58" s="13">
        <v>2.0600115574364719</v>
      </c>
      <c r="C58" s="13">
        <v>2.2254743719498551</v>
      </c>
      <c r="D58" s="13">
        <v>1.9979629773380789</v>
      </c>
      <c r="E58" s="13">
        <v>2.151015996932983</v>
      </c>
      <c r="F58" s="7">
        <v>3161587</v>
      </c>
      <c r="G58" s="7">
        <v>0</v>
      </c>
      <c r="H58" s="7">
        <v>0</v>
      </c>
    </row>
    <row r="59" spans="1:8" x14ac:dyDescent="0.35">
      <c r="A59" s="2">
        <v>44896</v>
      </c>
      <c r="B59" s="13">
        <v>2.1634254034091249</v>
      </c>
      <c r="C59" s="13">
        <v>2.2751127486340068</v>
      </c>
      <c r="D59" s="13">
        <v>2.1055134977639551</v>
      </c>
      <c r="E59" s="13">
        <v>2.237883567810059</v>
      </c>
      <c r="F59" s="7">
        <v>1579975</v>
      </c>
      <c r="G59" s="7">
        <v>0</v>
      </c>
      <c r="H59" s="7">
        <v>0</v>
      </c>
    </row>
    <row r="60" spans="1:8" x14ac:dyDescent="0.35">
      <c r="A60" s="2">
        <v>44927</v>
      </c>
      <c r="B60" s="13">
        <v>2.2378837976069859</v>
      </c>
      <c r="C60" s="13">
        <v>2.3661174147552901</v>
      </c>
      <c r="D60" s="13">
        <v>2.2337473311167741</v>
      </c>
      <c r="E60" s="13">
        <v>2.3123421669006352</v>
      </c>
      <c r="F60" s="7">
        <v>1301149</v>
      </c>
      <c r="G60" s="7">
        <v>0</v>
      </c>
      <c r="H60" s="7">
        <v>0</v>
      </c>
    </row>
    <row r="61" spans="1:8" x14ac:dyDescent="0.35">
      <c r="A61" s="2">
        <v>44958</v>
      </c>
      <c r="B61" s="13">
        <v>2.3247515560256828</v>
      </c>
      <c r="C61" s="13">
        <v>2.5233068610001128</v>
      </c>
      <c r="D61" s="13">
        <v>2.295795701438911</v>
      </c>
      <c r="E61" s="13">
        <v>2.4984874725341801</v>
      </c>
      <c r="F61" s="7">
        <v>2102584</v>
      </c>
      <c r="G61" s="7">
        <v>0</v>
      </c>
      <c r="H61" s="7">
        <v>0</v>
      </c>
    </row>
    <row r="62" spans="1:8" x14ac:dyDescent="0.35">
      <c r="A62" s="2">
        <v>44986</v>
      </c>
      <c r="B62" s="13">
        <v>2.5026242108073302</v>
      </c>
      <c r="C62" s="13">
        <v>2.5522629892249209</v>
      </c>
      <c r="D62" s="13">
        <v>2.2047911458078442</v>
      </c>
      <c r="E62" s="13">
        <v>2.308205366134644</v>
      </c>
      <c r="F62" s="7">
        <v>1776773</v>
      </c>
      <c r="G62" s="7">
        <v>0.09</v>
      </c>
      <c r="H62" s="7">
        <v>0</v>
      </c>
    </row>
    <row r="63" spans="1:8" x14ac:dyDescent="0.35">
      <c r="A63" s="2">
        <v>45017</v>
      </c>
      <c r="B63" s="13">
        <v>2.387881537911944</v>
      </c>
      <c r="C63" s="13">
        <v>2.469043902215085</v>
      </c>
      <c r="D63" s="13">
        <v>2.20419821733987</v>
      </c>
      <c r="E63" s="13">
        <v>2.212741613388062</v>
      </c>
      <c r="F63" s="7">
        <v>2011194</v>
      </c>
      <c r="G63" s="7">
        <v>0</v>
      </c>
      <c r="H63" s="7">
        <v>0</v>
      </c>
    </row>
    <row r="64" spans="1:8" x14ac:dyDescent="0.35">
      <c r="A64" s="2">
        <v>45047</v>
      </c>
      <c r="B64" s="13">
        <v>2.2127417044989328</v>
      </c>
      <c r="C64" s="13">
        <v>2.3280776577438629</v>
      </c>
      <c r="D64" s="13">
        <v>2.1657531261444092</v>
      </c>
      <c r="E64" s="13">
        <v>2.1657531261444092</v>
      </c>
      <c r="F64" s="7">
        <v>1544505</v>
      </c>
      <c r="G64" s="7">
        <v>0</v>
      </c>
      <c r="H64" s="7">
        <v>0</v>
      </c>
    </row>
    <row r="65" spans="1:8" x14ac:dyDescent="0.35">
      <c r="A65" s="2">
        <v>45078</v>
      </c>
      <c r="B65" s="13">
        <v>2.1785678360698548</v>
      </c>
      <c r="C65" s="13">
        <v>2.310990564923153</v>
      </c>
      <c r="D65" s="13">
        <v>2.152937650197341</v>
      </c>
      <c r="E65" s="13">
        <v>2.225556612014771</v>
      </c>
      <c r="F65" s="7">
        <v>1105480</v>
      </c>
      <c r="G65" s="7">
        <v>0</v>
      </c>
      <c r="H65" s="7">
        <v>0</v>
      </c>
    </row>
    <row r="66" spans="1:8" x14ac:dyDescent="0.35">
      <c r="A66" s="2">
        <v>45108</v>
      </c>
      <c r="B66" s="13">
        <v>2.225556754909201</v>
      </c>
      <c r="C66" s="13">
        <v>2.2597303382667082</v>
      </c>
      <c r="D66" s="13">
        <v>2.1785679759473169</v>
      </c>
      <c r="E66" s="13">
        <v>2.2170133590698242</v>
      </c>
      <c r="F66" s="7">
        <v>684768</v>
      </c>
      <c r="G66" s="7">
        <v>0</v>
      </c>
      <c r="H66" s="7">
        <v>0</v>
      </c>
    </row>
    <row r="67" spans="1:8" x14ac:dyDescent="0.35">
      <c r="A67" s="2">
        <v>45139</v>
      </c>
      <c r="B67" s="13">
        <v>2.2170132631761441</v>
      </c>
      <c r="C67" s="13">
        <v>2.2640020401055971</v>
      </c>
      <c r="D67" s="13">
        <v>2.0546885455584798</v>
      </c>
      <c r="E67" s="13">
        <v>2.2084698677062988</v>
      </c>
      <c r="F67" s="7">
        <v>1820423</v>
      </c>
      <c r="G67" s="7">
        <v>0</v>
      </c>
      <c r="H67" s="7">
        <v>0</v>
      </c>
    </row>
    <row r="68" spans="1:8" x14ac:dyDescent="0.35">
      <c r="A68" s="2">
        <v>45170</v>
      </c>
      <c r="B68" s="13">
        <v>2.2084699670689218</v>
      </c>
      <c r="C68" s="13">
        <v>2.2212849590049482</v>
      </c>
      <c r="D68" s="13">
        <v>1.9991564631044541</v>
      </c>
      <c r="E68" s="13">
        <v>2.0589604377746582</v>
      </c>
      <c r="F68" s="7">
        <v>1167125</v>
      </c>
      <c r="G68" s="7">
        <v>0.08</v>
      </c>
      <c r="H68" s="7">
        <v>0</v>
      </c>
    </row>
    <row r="69" spans="1:8" x14ac:dyDescent="0.35">
      <c r="A69" s="2">
        <v>45200</v>
      </c>
      <c r="B69" s="13">
        <v>2.1255126777507458</v>
      </c>
      <c r="C69" s="13">
        <v>2.1475614374994101</v>
      </c>
      <c r="D69" s="13">
        <v>1.6915905121363941</v>
      </c>
      <c r="E69" s="13">
        <v>1.748035669326782</v>
      </c>
      <c r="F69" s="7">
        <v>2829812</v>
      </c>
      <c r="G69" s="7">
        <v>0</v>
      </c>
      <c r="H69" s="7">
        <v>0</v>
      </c>
    </row>
    <row r="70" spans="1:8" x14ac:dyDescent="0.35">
      <c r="A70" s="2">
        <v>45231</v>
      </c>
      <c r="B70" s="13">
        <v>1.7480357909250701</v>
      </c>
      <c r="C70" s="13">
        <v>1.9799899918253381</v>
      </c>
      <c r="D70" s="13">
        <v>1.714521492939628</v>
      </c>
      <c r="E70" s="13">
        <v>1.878565311431885</v>
      </c>
      <c r="F70" s="7">
        <v>1878048</v>
      </c>
      <c r="G70" s="7">
        <v>0</v>
      </c>
      <c r="H70" s="7">
        <v>0</v>
      </c>
    </row>
    <row r="71" spans="1:8" x14ac:dyDescent="0.35">
      <c r="A71" s="2">
        <v>45261</v>
      </c>
      <c r="B71" s="13">
        <v>1.8829750037530699</v>
      </c>
      <c r="C71" s="13">
        <v>2.019678082447721</v>
      </c>
      <c r="D71" s="13">
        <v>1.7445080367496519</v>
      </c>
      <c r="E71" s="13">
        <v>2.010858535766602</v>
      </c>
      <c r="F71" s="7">
        <v>2575606</v>
      </c>
      <c r="G71" s="7">
        <v>0</v>
      </c>
      <c r="H71" s="7">
        <v>0</v>
      </c>
    </row>
    <row r="72" spans="1:8" x14ac:dyDescent="0.35">
      <c r="A72" s="2">
        <v>45292</v>
      </c>
      <c r="B72" s="13">
        <v>2.0108584655764652</v>
      </c>
      <c r="C72" s="13">
        <v>2.0814148365626171</v>
      </c>
      <c r="D72" s="13">
        <v>1.922663001843776</v>
      </c>
      <c r="E72" s="13">
        <v>1.9888097047805791</v>
      </c>
      <c r="F72" s="7">
        <v>1842020</v>
      </c>
      <c r="G72" s="7">
        <v>0</v>
      </c>
      <c r="H72" s="7">
        <v>0</v>
      </c>
    </row>
    <row r="73" spans="1:8" x14ac:dyDescent="0.35">
      <c r="A73" s="2">
        <v>45323</v>
      </c>
      <c r="B73" s="13">
        <v>1.975580204168542</v>
      </c>
      <c r="C73" s="13">
        <v>1.993219296237269</v>
      </c>
      <c r="D73" s="13">
        <v>1.6351453697753451</v>
      </c>
      <c r="E73" s="13">
        <v>1.744507908821106</v>
      </c>
      <c r="F73" s="7">
        <v>3586380</v>
      </c>
      <c r="G73" s="7">
        <v>0</v>
      </c>
      <c r="H73" s="7">
        <v>0</v>
      </c>
    </row>
    <row r="74" spans="1:8" x14ac:dyDescent="0.35">
      <c r="A74" s="2">
        <v>45352</v>
      </c>
      <c r="B74" s="13">
        <v>1.748035844582237</v>
      </c>
      <c r="C74" s="13">
        <v>1.7621471615789339</v>
      </c>
      <c r="D74" s="13">
        <v>1.673951588055516</v>
      </c>
      <c r="E74" s="13">
        <v>1.7074658870697019</v>
      </c>
      <c r="F74" s="7">
        <v>1775476</v>
      </c>
      <c r="G74" s="7">
        <v>0.06</v>
      </c>
      <c r="H74" s="7">
        <v>0</v>
      </c>
    </row>
    <row r="75" spans="1:8" x14ac:dyDescent="0.35">
      <c r="A75" s="2">
        <v>45383</v>
      </c>
      <c r="B75" s="13">
        <v>1.76121606833245</v>
      </c>
      <c r="C75" s="13">
        <v>1.878569887185477</v>
      </c>
      <c r="D75" s="13">
        <v>1.712091221494924</v>
      </c>
      <c r="E75" s="13">
        <v>1.8603755235671999</v>
      </c>
      <c r="F75" s="7">
        <v>1816732</v>
      </c>
      <c r="G75" s="7">
        <v>0</v>
      </c>
      <c r="H75" s="7">
        <v>0</v>
      </c>
    </row>
    <row r="76" spans="1:8" x14ac:dyDescent="0.35">
      <c r="A76" s="2">
        <v>45413</v>
      </c>
      <c r="B76" s="13">
        <v>1.8603754167123361</v>
      </c>
      <c r="C76" s="13">
        <v>1.933152867005308</v>
      </c>
      <c r="D76" s="13">
        <v>1.7029939418704829</v>
      </c>
      <c r="E76" s="13">
        <v>1.7375632524490361</v>
      </c>
      <c r="F76" s="7">
        <v>2654211</v>
      </c>
      <c r="G76" s="7">
        <v>0</v>
      </c>
      <c r="H76" s="7">
        <v>0</v>
      </c>
    </row>
    <row r="77" spans="1:8" x14ac:dyDescent="0.35">
      <c r="A77" s="2">
        <v>45444</v>
      </c>
      <c r="B77" s="13">
        <v>1.748480133960532</v>
      </c>
      <c r="C77" s="13">
        <v>1.801243812459973</v>
      </c>
      <c r="D77" s="13">
        <v>1.6629664476842749</v>
      </c>
      <c r="E77" s="13">
        <v>1.69207751750946</v>
      </c>
      <c r="F77" s="7">
        <v>1456968</v>
      </c>
      <c r="G77" s="7">
        <v>0</v>
      </c>
      <c r="H77" s="7">
        <v>0</v>
      </c>
    </row>
    <row r="78" spans="1:8" x14ac:dyDescent="0.35">
      <c r="A78" s="2">
        <v>45474</v>
      </c>
      <c r="B78" s="13">
        <v>1.684799667946745</v>
      </c>
      <c r="C78" s="13">
        <v>1.71936898034424</v>
      </c>
      <c r="D78" s="13">
        <v>1.5920083271832179</v>
      </c>
      <c r="E78" s="13">
        <v>1.7011746168136599</v>
      </c>
      <c r="F78" s="7">
        <v>1447363</v>
      </c>
      <c r="G78" s="7">
        <v>0</v>
      </c>
      <c r="H78" s="7">
        <v>0</v>
      </c>
    </row>
    <row r="79" spans="1:8" x14ac:dyDescent="0.35">
      <c r="A79" s="2">
        <v>45505</v>
      </c>
      <c r="B79" s="13">
        <v>1.7011745397335669</v>
      </c>
      <c r="C79" s="13">
        <v>1.732105021402272</v>
      </c>
      <c r="D79" s="13">
        <v>1.5701749547338339</v>
      </c>
      <c r="E79" s="13">
        <v>1.677521824836731</v>
      </c>
      <c r="F79" s="7">
        <v>1901503</v>
      </c>
      <c r="G79" s="7">
        <v>0</v>
      </c>
      <c r="H79" s="7">
        <v>0</v>
      </c>
    </row>
    <row r="80" spans="1:8" x14ac:dyDescent="0.35">
      <c r="A80" s="2">
        <v>45536</v>
      </c>
      <c r="B80" s="13">
        <v>1.677521872849066</v>
      </c>
      <c r="C80" s="13">
        <v>1.693896821442699</v>
      </c>
      <c r="D80" s="13">
        <v>1.588369471347689</v>
      </c>
      <c r="E80" s="13">
        <v>1.6647858619689939</v>
      </c>
      <c r="F80" s="7">
        <v>1574459</v>
      </c>
      <c r="G80" s="7">
        <v>0.04</v>
      </c>
      <c r="H80" s="7">
        <v>0</v>
      </c>
    </row>
    <row r="81" spans="1:8" x14ac:dyDescent="0.35">
      <c r="A81" s="2">
        <v>45566</v>
      </c>
      <c r="B81" s="13">
        <v>1.7120994481633729</v>
      </c>
      <c r="C81" s="13">
        <v>1.7977044261176871</v>
      </c>
      <c r="D81" s="13">
        <v>1.6581310153327591</v>
      </c>
      <c r="E81" s="13">
        <v>1.676740884780884</v>
      </c>
      <c r="F81" s="7">
        <v>2268840</v>
      </c>
      <c r="G81" s="7">
        <v>0</v>
      </c>
      <c r="H81" s="7">
        <v>0</v>
      </c>
    </row>
    <row r="82" spans="1:8" x14ac:dyDescent="0.35">
      <c r="A82" s="2">
        <v>45597</v>
      </c>
      <c r="B82" s="13">
        <v>1.6841848071364789</v>
      </c>
      <c r="C82" s="13">
        <v>1.7232653912765019</v>
      </c>
      <c r="D82" s="13">
        <v>1.553916378207933</v>
      </c>
      <c r="E82" s="13">
        <v>1.6488262414932251</v>
      </c>
      <c r="F82" s="7">
        <v>2891295</v>
      </c>
      <c r="G82" s="7">
        <v>0</v>
      </c>
      <c r="H82" s="7">
        <v>0</v>
      </c>
    </row>
    <row r="83" spans="1:8" x14ac:dyDescent="0.35">
      <c r="A83" s="2">
        <v>45627</v>
      </c>
      <c r="B83" s="13">
        <v>1.6488261337598811</v>
      </c>
      <c r="C83" s="13">
        <v>1.663713984928356</v>
      </c>
      <c r="D83" s="13">
        <v>1.552055323010612</v>
      </c>
      <c r="E83" s="13">
        <v>1.594857811927795</v>
      </c>
      <c r="F83" s="7">
        <v>3042717</v>
      </c>
      <c r="G83" s="7">
        <v>0</v>
      </c>
      <c r="H83" s="7">
        <v>0</v>
      </c>
    </row>
    <row r="84" spans="1:8" x14ac:dyDescent="0.35">
      <c r="A84" s="2">
        <v>45658</v>
      </c>
      <c r="B84" s="13">
        <v>1.5948577749813759</v>
      </c>
      <c r="C84" s="13">
        <v>1.691628583488856</v>
      </c>
      <c r="D84" s="13">
        <v>1.5818309887029209</v>
      </c>
      <c r="E84" s="13">
        <v>1.6283553838729861</v>
      </c>
      <c r="F84" s="7">
        <v>1520810</v>
      </c>
      <c r="G84" s="7">
        <v>0</v>
      </c>
      <c r="H84" s="7">
        <v>0</v>
      </c>
    </row>
    <row r="85" spans="1:8" x14ac:dyDescent="0.35">
      <c r="A85" s="2">
        <v>45689</v>
      </c>
      <c r="B85" s="13">
        <v>1.611606561221572</v>
      </c>
      <c r="C85" s="13">
        <v>1.860977560546484</v>
      </c>
      <c r="D85" s="13">
        <v>1.581830970833674</v>
      </c>
      <c r="E85" s="13">
        <v>1.799565315246582</v>
      </c>
      <c r="F85" s="7">
        <v>2041307</v>
      </c>
      <c r="G85" s="7">
        <v>0</v>
      </c>
      <c r="H85" s="7">
        <v>0</v>
      </c>
    </row>
    <row r="86" spans="1:8" x14ac:dyDescent="0.35">
      <c r="A86" s="2">
        <v>45717</v>
      </c>
      <c r="B86" s="13">
        <v>1.8088702429699579</v>
      </c>
      <c r="C86" s="13">
        <v>1.907502006646062</v>
      </c>
      <c r="D86" s="13">
        <v>1.7083774147195461</v>
      </c>
      <c r="E86" s="13">
        <v>1.712099432945251</v>
      </c>
      <c r="F86" s="7">
        <v>2670249</v>
      </c>
      <c r="G86" s="7">
        <v>7.0000000000000007E-2</v>
      </c>
      <c r="H86" s="7">
        <v>0</v>
      </c>
    </row>
    <row r="87" spans="1:8" x14ac:dyDescent="0.35">
      <c r="A87" s="2">
        <v>45748</v>
      </c>
      <c r="B87" s="13">
        <v>1.7926783497045029</v>
      </c>
      <c r="C87" s="13">
        <v>1.848579041675128</v>
      </c>
      <c r="D87" s="13">
        <v>1.5228128213346841</v>
      </c>
      <c r="E87" s="13">
        <v>1.8080992698669429</v>
      </c>
      <c r="F87" s="7">
        <v>2497073</v>
      </c>
      <c r="G87" s="7">
        <v>0</v>
      </c>
      <c r="H87" s="7">
        <v>0</v>
      </c>
    </row>
    <row r="88" spans="1:8" x14ac:dyDescent="0.35">
      <c r="A88" s="2">
        <v>45778</v>
      </c>
      <c r="B88" s="13">
        <v>1.808099222432306</v>
      </c>
      <c r="C88" s="13">
        <v>1.873637959061434</v>
      </c>
      <c r="D88" s="13">
        <v>1.7444879571546981</v>
      </c>
      <c r="E88" s="13">
        <v>1.8447238206863401</v>
      </c>
      <c r="F88" s="7">
        <v>1621375</v>
      </c>
      <c r="G88" s="7">
        <v>0</v>
      </c>
      <c r="H88" s="7">
        <v>0</v>
      </c>
    </row>
    <row r="89" spans="1:8" x14ac:dyDescent="0.35">
      <c r="A89" s="2">
        <v>45809</v>
      </c>
      <c r="B89" s="13">
        <v>1.844723869081806</v>
      </c>
      <c r="C89" s="13">
        <v>1.863999961837568</v>
      </c>
      <c r="D89" s="13">
        <v>1.7521984630017431</v>
      </c>
      <c r="E89" s="13">
        <v>1.8080992698669429</v>
      </c>
      <c r="F89" s="7">
        <v>1423416</v>
      </c>
      <c r="G89" s="7">
        <v>0</v>
      </c>
      <c r="H89" s="7">
        <v>0</v>
      </c>
    </row>
    <row r="90" spans="1:8" x14ac:dyDescent="0.35">
      <c r="A90" s="2">
        <v>45839</v>
      </c>
      <c r="B90" s="13">
        <v>1.808099301118286</v>
      </c>
      <c r="C90" s="13">
        <v>1.917973100661944</v>
      </c>
      <c r="D90" s="13">
        <v>1.7676194137158681</v>
      </c>
      <c r="E90" s="13">
        <v>1.858217120170593</v>
      </c>
      <c r="F90" s="7">
        <v>2042049</v>
      </c>
      <c r="G90" s="7">
        <v>0</v>
      </c>
      <c r="H90" s="7">
        <v>0</v>
      </c>
    </row>
    <row r="91" spans="1:8" x14ac:dyDescent="0.35">
      <c r="A91" s="2">
        <v>45870</v>
      </c>
      <c r="B91" s="13">
        <v>1.8582170770670119</v>
      </c>
      <c r="C91" s="13">
        <v>1.9179730561722499</v>
      </c>
      <c r="D91" s="13">
        <v>1.761836498963439</v>
      </c>
      <c r="E91" s="13">
        <v>1.8235200643539431</v>
      </c>
      <c r="F91" s="7">
        <v>2129914</v>
      </c>
      <c r="G91" s="7">
        <v>0</v>
      </c>
      <c r="H91" s="7">
        <v>0</v>
      </c>
    </row>
    <row r="92" spans="1:8" x14ac:dyDescent="0.35">
      <c r="A92" s="2">
        <v>45901</v>
      </c>
      <c r="B92" s="13">
        <v>1.8254477609199951</v>
      </c>
      <c r="C92" s="13">
        <v>1.8794208661384479</v>
      </c>
      <c r="D92" s="13">
        <v>1.7117186767473369</v>
      </c>
      <c r="E92" s="13">
        <v>1.7753298282623291</v>
      </c>
      <c r="F92" s="7">
        <v>2211217</v>
      </c>
      <c r="G92" s="7">
        <v>7.0000000000000007E-2</v>
      </c>
      <c r="H92" s="7">
        <v>0</v>
      </c>
    </row>
    <row r="93" spans="1:8" x14ac:dyDescent="0.35">
      <c r="A93" s="2">
        <v>45931</v>
      </c>
      <c r="B93" s="13">
        <v>1.842000007629395</v>
      </c>
      <c r="C93" s="13">
        <v>1.8500000238418579</v>
      </c>
      <c r="D93" s="13">
        <v>1.76800000667572</v>
      </c>
      <c r="E93" s="13">
        <v>1.825999975204468</v>
      </c>
      <c r="F93" s="7">
        <v>2294449</v>
      </c>
      <c r="G93" s="7">
        <v>0</v>
      </c>
      <c r="H93" s="7">
        <v>0</v>
      </c>
    </row>
    <row r="94" spans="1:8" x14ac:dyDescent="0.35">
      <c r="A94" s="2">
        <v>45962</v>
      </c>
      <c r="B94" s="13">
        <v>1.827999949455261</v>
      </c>
      <c r="C94" s="13">
        <v>1.9259999990463259</v>
      </c>
      <c r="D94" s="13">
        <v>1.76800000667572</v>
      </c>
      <c r="E94" s="13">
        <v>1.861999988555908</v>
      </c>
      <c r="F94" s="7">
        <v>2615424</v>
      </c>
      <c r="G94" s="7">
        <v>0</v>
      </c>
      <c r="H94" s="7">
        <v>0</v>
      </c>
    </row>
    <row r="95" spans="1:8" x14ac:dyDescent="0.35">
      <c r="A95" s="2">
        <v>45992</v>
      </c>
      <c r="B95" s="13">
        <v>1.861999988555908</v>
      </c>
      <c r="C95" s="13">
        <v>1.947999954223633</v>
      </c>
      <c r="D95" s="13">
        <v>1.817999958992004</v>
      </c>
      <c r="E95" s="13">
        <v>1.924000024795532</v>
      </c>
      <c r="F95" s="7">
        <v>2513483</v>
      </c>
      <c r="G95" s="7">
        <v>0</v>
      </c>
      <c r="H95" s="7">
        <v>0</v>
      </c>
    </row>
    <row r="96" spans="1:8" x14ac:dyDescent="0.35">
      <c r="A96" s="2">
        <v>46023</v>
      </c>
      <c r="B96" s="13">
        <v>1.9259999990463259</v>
      </c>
      <c r="C96" s="13">
        <v>1.9960000514984131</v>
      </c>
      <c r="D96" s="13">
        <v>1.8999999761581421</v>
      </c>
      <c r="E96" s="13">
        <v>1.906000018119812</v>
      </c>
      <c r="F96" s="7">
        <v>2593377</v>
      </c>
      <c r="G96" s="7">
        <v>0</v>
      </c>
      <c r="H96" s="7">
        <v>0</v>
      </c>
    </row>
    <row r="97" spans="1:8" x14ac:dyDescent="0.35">
      <c r="A97" s="2">
        <v>46054</v>
      </c>
      <c r="B97" s="13">
        <v>1.907999992370605</v>
      </c>
      <c r="C97" s="13">
        <v>1.9340000152587891</v>
      </c>
      <c r="D97" s="13">
        <v>1.889999985694885</v>
      </c>
      <c r="E97" s="13">
        <v>1.9140000343322749</v>
      </c>
      <c r="F97" s="7">
        <v>215880</v>
      </c>
      <c r="G97" s="7">
        <v>0</v>
      </c>
      <c r="H97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DCF</vt:lpstr>
      <vt:lpstr>AUM</vt:lpstr>
      <vt:lpstr>Overview</vt:lpstr>
      <vt:lpstr>Comparable Analysis</vt:lpstr>
      <vt:lpstr>Capital structure</vt:lpstr>
      <vt:lpstr>Monte Carlo</vt:lpstr>
      <vt:lpstr>Tuloslaskelma</vt:lpstr>
      <vt:lpstr>Tase</vt:lpstr>
      <vt:lpstr>Rahavirtalaskelma</vt:lpstr>
      <vt:lpstr>Hinta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Otto Markkola</cp:lastModifiedBy>
  <dcterms:created xsi:type="dcterms:W3CDTF">2026-02-03T19:31:14Z</dcterms:created>
  <dcterms:modified xsi:type="dcterms:W3CDTF">2026-08-09T18:34:48Z</dcterms:modified>
</cp:coreProperties>
</file>